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4"/>
    <sheet state="visible" name="Projections" sheetId="2" r:id="rId5"/>
    <sheet state="visible" name="Team" sheetId="3" r:id="rId6"/>
    <sheet state="hidden" name="Trades" sheetId="4" r:id="rId7"/>
    <sheet state="hidden" name="NO USAR1" sheetId="5" r:id="rId8"/>
    <sheet state="hidden" name="NO USAR2" sheetId="6" r:id="rId9"/>
    <sheet state="hidden" name="Sheet9" sheetId="7" r:id="rId10"/>
    <sheet state="hidden" name="NO USAR3" sheetId="8" r:id="rId11"/>
    <sheet state="hidden" name="Paste #BBall" sheetId="9" r:id="rId12"/>
  </sheets>
  <definedNames>
    <definedName hidden="1" localSheetId="1" name="_xlnm._FilterDatabase">Projections!$A$5:$AD$401</definedName>
    <definedName hidden="1" localSheetId="4" name="_xlnm._FilterDatabase">'NO USAR1'!$O$20:$AL$220</definedName>
    <definedName hidden="1" localSheetId="5" name="_xlnm._FilterDatabase">'NO USAR2'!$A$1:$S$216</definedName>
    <definedName hidden="1" localSheetId="1" name="Z_9ED54846_5930_4053_9863_60C199249F67_.wvu.FilterData">Projections!$Y$2:$Y$5</definedName>
  </definedNames>
  <calcPr/>
  <customWorkbookViews>
    <customWorkbookView activeSheetId="0" maximized="1" windowHeight="0" windowWidth="0" guid="{9ED54846-5930-4053-9863-60C199249F67}" name="Filter 1"/>
  </customWorkbookViews>
</workbook>
</file>

<file path=xl/sharedStrings.xml><?xml version="1.0" encoding="utf-8"?>
<sst xmlns="http://schemas.openxmlformats.org/spreadsheetml/2006/main" count="6933" uniqueCount="1070">
  <si>
    <t xml:space="preserve">son </t>
  </si>
  <si>
    <t>Team</t>
  </si>
  <si>
    <t>PTS</t>
  </si>
  <si>
    <t>3P</t>
  </si>
  <si>
    <t>Sort by</t>
  </si>
  <si>
    <t>REB</t>
  </si>
  <si>
    <t>Pick</t>
  </si>
  <si>
    <t>AST</t>
  </si>
  <si>
    <t>Remove Drafted</t>
  </si>
  <si>
    <t>STL</t>
  </si>
  <si>
    <t>BLK</t>
  </si>
  <si>
    <t>Your Pick</t>
  </si>
  <si>
    <t>FG%</t>
  </si>
  <si>
    <t>FT%</t>
  </si>
  <si>
    <t>Round 1</t>
  </si>
  <si>
    <t>TO</t>
  </si>
  <si>
    <t>Round 2</t>
  </si>
  <si>
    <t>Categories won</t>
  </si>
  <si>
    <t>Round 3</t>
  </si>
  <si>
    <t>-1 Cat</t>
  </si>
  <si>
    <t>Round 4</t>
  </si>
  <si>
    <t>Round 5</t>
  </si>
  <si>
    <t>Round 6</t>
  </si>
  <si>
    <t>-2 Cat</t>
  </si>
  <si>
    <t>Round 7</t>
  </si>
  <si>
    <t>Round 8</t>
  </si>
  <si>
    <t>Round 9</t>
  </si>
  <si>
    <t>Round 10</t>
  </si>
  <si>
    <t>Round 11</t>
  </si>
  <si>
    <t>Categories Won</t>
  </si>
  <si>
    <t>Round 12</t>
  </si>
  <si>
    <t>Winrate</t>
  </si>
  <si>
    <t xml:space="preserve">BLK </t>
  </si>
  <si>
    <t>PG</t>
  </si>
  <si>
    <t>SG</t>
  </si>
  <si>
    <t>SF</t>
  </si>
  <si>
    <t>PF</t>
  </si>
  <si>
    <t>C</t>
  </si>
  <si>
    <t>TOP</t>
  </si>
  <si>
    <t>Nikola Jokic</t>
  </si>
  <si>
    <t>PuntV</t>
  </si>
  <si>
    <t>Tyrese Haliburton</t>
  </si>
  <si>
    <t>Donovan Mitchell</t>
  </si>
  <si>
    <t>Don't sort this table!</t>
  </si>
  <si>
    <t>John Collins</t>
  </si>
  <si>
    <t>Jamal Murray</t>
  </si>
  <si>
    <t>Marcus Smart</t>
  </si>
  <si>
    <t>Tyrese Maxey</t>
  </si>
  <si>
    <t>Gordon Hayward</t>
  </si>
  <si>
    <t>RJ Barrett</t>
  </si>
  <si>
    <t>Luguentz Dort</t>
  </si>
  <si>
    <t>Onyeka Okongwu</t>
  </si>
  <si>
    <t>Giannis Antetokounmpo</t>
  </si>
  <si>
    <t>LeBron James</t>
  </si>
  <si>
    <t>Jrue Holiday</t>
  </si>
  <si>
    <t>Khris Middleton</t>
  </si>
  <si>
    <t>Jakob Poeltl</t>
  </si>
  <si>
    <t>OG Anunoby</t>
  </si>
  <si>
    <t>Jabari Smith Jr</t>
  </si>
  <si>
    <t>Anfernee Simons</t>
  </si>
  <si>
    <t>Herbert Jones</t>
  </si>
  <si>
    <t>L4 y M4 que onda?</t>
  </si>
  <si>
    <t>Joel Embiid</t>
  </si>
  <si>
    <t>Paul George</t>
  </si>
  <si>
    <t>Dejounte Murray</t>
  </si>
  <si>
    <t>Deandre Ayton</t>
  </si>
  <si>
    <t>Jalen Green</t>
  </si>
  <si>
    <t>TM</t>
  </si>
  <si>
    <t>Gary Trent Jr.</t>
  </si>
  <si>
    <t>Mikal Bridges</t>
  </si>
  <si>
    <t>W19</t>
  </si>
  <si>
    <t>W20</t>
  </si>
  <si>
    <t>Jerami Grant</t>
  </si>
  <si>
    <t>W21</t>
  </si>
  <si>
    <t>Total</t>
  </si>
  <si>
    <t>Cameron Johnson</t>
  </si>
  <si>
    <t>Rank</t>
  </si>
  <si>
    <t>LgRank</t>
  </si>
  <si>
    <t>Robert Williams</t>
  </si>
  <si>
    <t>Player</t>
  </si>
  <si>
    <t>JaVale McGee</t>
  </si>
  <si>
    <t>GP</t>
  </si>
  <si>
    <t>Pos</t>
  </si>
  <si>
    <t>LeagV</t>
  </si>
  <si>
    <t>Punt+</t>
  </si>
  <si>
    <t>Luka Doncic</t>
  </si>
  <si>
    <t>Anthony Davis</t>
  </si>
  <si>
    <t>Bradley Beal</t>
  </si>
  <si>
    <t>De'Aaron Fox</t>
  </si>
  <si>
    <t>Jonas Valanciunas</t>
  </si>
  <si>
    <t>z p/g</t>
  </si>
  <si>
    <t>Jalen Brunson</t>
  </si>
  <si>
    <t>z 3/g</t>
  </si>
  <si>
    <t>z r/g</t>
  </si>
  <si>
    <t>Michael Porter Jr.</t>
  </si>
  <si>
    <t>z a/g</t>
  </si>
  <si>
    <t>z s/g</t>
  </si>
  <si>
    <t>Jalen Smith</t>
  </si>
  <si>
    <t>z b/g</t>
  </si>
  <si>
    <t>Brook Lopez</t>
  </si>
  <si>
    <t>z fg%</t>
  </si>
  <si>
    <t>Spencer Dinwiddie</t>
  </si>
  <si>
    <t>z ft%</t>
  </si>
  <si>
    <t>z to/g</t>
  </si>
  <si>
    <t>Steven Adams</t>
  </si>
  <si>
    <t>James Harden</t>
  </si>
  <si>
    <t>Kyrie Irving</t>
  </si>
  <si>
    <t>Zion Williamson</t>
  </si>
  <si>
    <t>Jarrett Allen</t>
  </si>
  <si>
    <t>Christian Wood</t>
  </si>
  <si>
    <t>Wendell Carter Jr.</t>
  </si>
  <si>
    <t>Keldon Johnson</t>
  </si>
  <si>
    <t>Mitchell Robinson</t>
  </si>
  <si>
    <t>Nicolas Claxton</t>
  </si>
  <si>
    <t>Josh Hart</t>
  </si>
  <si>
    <t>Isaiah Stewart</t>
  </si>
  <si>
    <t>Kevin Durant</t>
  </si>
  <si>
    <t>Bam Adebayo</t>
  </si>
  <si>
    <t>Jimmy Butler</t>
  </si>
  <si>
    <t>Myles Turner</t>
  </si>
  <si>
    <t>Desmond Bane</t>
  </si>
  <si>
    <t>Jordan Poole</t>
  </si>
  <si>
    <t>Jusuf Nurkic</t>
  </si>
  <si>
    <t>Al Horford</t>
  </si>
  <si>
    <t>Keegan Murray</t>
  </si>
  <si>
    <t>Kelly Olynyk</t>
  </si>
  <si>
    <t>Bobby Portis</t>
  </si>
  <si>
    <t>Stephen Curry</t>
  </si>
  <si>
    <t>Fred VanVleet</t>
  </si>
  <si>
    <t>Chris Paul</t>
  </si>
  <si>
    <t>Nikola Vucevic</t>
  </si>
  <si>
    <t>Draymond Green</t>
  </si>
  <si>
    <t>D'Angelo Russell</t>
  </si>
  <si>
    <t>Klay Thompson</t>
  </si>
  <si>
    <t>Saddiq Bey</t>
  </si>
  <si>
    <t>Jarred Vanderbilt</t>
  </si>
  <si>
    <t>Monte Morris</t>
  </si>
  <si>
    <t>Ivica Zubac</t>
  </si>
  <si>
    <t>Jayson Tatum</t>
  </si>
  <si>
    <t>Devin Booker</t>
  </si>
  <si>
    <t>Darius Garland</t>
  </si>
  <si>
    <t>DeMar DeRozan</t>
  </si>
  <si>
    <t>Jaylen Brown</t>
  </si>
  <si>
    <t>CJ McCollum</t>
  </si>
  <si>
    <t>Kyle Lowry</t>
  </si>
  <si>
    <t>Andrew Wiggins</t>
  </si>
  <si>
    <t>Kyle Kuzma</t>
  </si>
  <si>
    <t>Malcolm Brogdon</t>
  </si>
  <si>
    <t>Bojan Bogdanovic</t>
  </si>
  <si>
    <t>LaMelo Ball</t>
  </si>
  <si>
    <t>Ja Morant</t>
  </si>
  <si>
    <t>Kristaps Porzingis</t>
  </si>
  <si>
    <t>Shai Gilgeous-Alexander</t>
  </si>
  <si>
    <t>Terry Rozier</t>
  </si>
  <si>
    <t>Brandon Ingram</t>
  </si>
  <si>
    <t>Lauri Markkanen</t>
  </si>
  <si>
    <t>Tobias Harris</t>
  </si>
  <si>
    <t>Tre Jones</t>
  </si>
  <si>
    <t>Jaren Jackson Jr.</t>
  </si>
  <si>
    <t>Isaiah Hartenstein</t>
  </si>
  <si>
    <t>Trae Young</t>
  </si>
  <si>
    <t>Rudy Gobert</t>
  </si>
  <si>
    <t>Cade Cunningham</t>
  </si>
  <si>
    <t>Zach LaVine</t>
  </si>
  <si>
    <t>Julius Randle</t>
  </si>
  <si>
    <t>Devin Vassell</t>
  </si>
  <si>
    <t>Buddy Hield</t>
  </si>
  <si>
    <t>PJ Washington</t>
  </si>
  <si>
    <t>Mike Conley</t>
  </si>
  <si>
    <t>Brandon Clarke</t>
  </si>
  <si>
    <t>Cole Anthony</t>
  </si>
  <si>
    <t>Karl-Anthony Towns</t>
  </si>
  <si>
    <t>Domantas Sabonis</t>
  </si>
  <si>
    <t>Pascal Siakam</t>
  </si>
  <si>
    <t>Scottie Barnes</t>
  </si>
  <si>
    <t>Ben Simmons</t>
  </si>
  <si>
    <t>Kevin Porter Jr.</t>
  </si>
  <si>
    <t>Franz Wagner</t>
  </si>
  <si>
    <t>Tyler Herro</t>
  </si>
  <si>
    <t>Clint Capela</t>
  </si>
  <si>
    <t>Bones Hyland</t>
  </si>
  <si>
    <t>Harrison Barnes</t>
  </si>
  <si>
    <t>Markelle Fultz</t>
  </si>
  <si>
    <t>Damian Lillard</t>
  </si>
  <si>
    <t>Kawhi Leonard</t>
  </si>
  <si>
    <t>Anthony Edwards</t>
  </si>
  <si>
    <t>Evan Mobley</t>
  </si>
  <si>
    <t>Alperen Sengun</t>
  </si>
  <si>
    <t>Josh Giddey</t>
  </si>
  <si>
    <t>Paolo Banchero</t>
  </si>
  <si>
    <t>Collin Sexton</t>
  </si>
  <si>
    <t>Jalen Suggs</t>
  </si>
  <si>
    <t>Isaiah Jackson</t>
  </si>
  <si>
    <t>Chris Duarte</t>
  </si>
  <si>
    <t>Alex Caruso</t>
  </si>
  <si>
    <t>Pick #</t>
  </si>
  <si>
    <t>3RR</t>
  </si>
  <si>
    <t>MAKE A COPY</t>
  </si>
  <si>
    <t>File -&gt; Make a copy</t>
  </si>
  <si>
    <t>avg</t>
  </si>
  <si>
    <t>std</t>
  </si>
  <si>
    <t>fga/g</t>
  </si>
  <si>
    <t>fta/g</t>
  </si>
  <si>
    <t>min 1</t>
  </si>
  <si>
    <t>min 2</t>
  </si>
  <si>
    <t>R#</t>
  </si>
  <si>
    <t>NAME</t>
  </si>
  <si>
    <t>POS</t>
  </si>
  <si>
    <t>TEAM</t>
  </si>
  <si>
    <t>MPG</t>
  </si>
  <si>
    <t>FGM</t>
  </si>
  <si>
    <t>FTM</t>
  </si>
  <si>
    <t>3PM</t>
  </si>
  <si>
    <t>TREB</t>
  </si>
  <si>
    <t>FGA</t>
  </si>
  <si>
    <t>FTA</t>
  </si>
  <si>
    <t>Count</t>
  </si>
  <si>
    <t>Average</t>
  </si>
  <si>
    <t>PLAYERS</t>
  </si>
  <si>
    <t>STATUS</t>
  </si>
  <si>
    <t>RANK</t>
  </si>
  <si>
    <t>PLAYER</t>
  </si>
  <si>
    <t>TYPE</t>
  </si>
  <si>
    <t>ACTION</t>
  </si>
  <si>
    <t>Team 8</t>
  </si>
  <si>
    <t>Team 10</t>
  </si>
  <si>
    <t>Nikola Jokic
DenC</t>
  </si>
  <si>
    <t/>
  </si>
  <si>
    <t>Giannis AntetokounmpoDTD
MilPF</t>
  </si>
  <si>
    <t>Luka Doncic
DalPG</t>
  </si>
  <si>
    <t>James Harden
BknSG, PG</t>
  </si>
  <si>
    <t>Karl-Anthony Towns
MinC</t>
  </si>
  <si>
    <t>Bradley Beal
WshSG</t>
  </si>
  <si>
    <t>Damian Lillard
PorPG</t>
  </si>
  <si>
    <t>Paul George
LACSF, SG</t>
  </si>
  <si>
    <t>Stephen Curry
GSPG</t>
  </si>
  <si>
    <t>Jayson Tatum
BosPF, SF</t>
  </si>
  <si>
    <t>Kevin Durant
BknSF, PF</t>
  </si>
  <si>
    <t>Nikola Vucevic
ChiC</t>
  </si>
  <si>
    <t>Zion WilliamsonO
NOPF</t>
  </si>
  <si>
    <t>De'Aaron Fox
SacPG</t>
  </si>
  <si>
    <t>Joel Embiid
PhiC</t>
  </si>
  <si>
    <t>LeBron JamesO
LALSF, PG, PF</t>
  </si>
  <si>
    <t>Trae Young
AtlPG</t>
  </si>
  <si>
    <t>Fred VanVleet
TorSG, PG</t>
  </si>
  <si>
    <t>Donovan Mitchell
UtahSG, PG</t>
  </si>
  <si>
    <t>Domantas Sabonis
IndPF</t>
  </si>
  <si>
    <t>Anthony Davis
LALPF</t>
  </si>
  <si>
    <t>Julius Randle
NYPF</t>
  </si>
  <si>
    <t>Rudy Gobert
UtahC</t>
  </si>
  <si>
    <t>LaMelo Ball
ChaPG</t>
  </si>
  <si>
    <t>Jimmy Butler
MiaSF, SG</t>
  </si>
  <si>
    <t>Shai Gilgeous-Alexander
OKCSG, PG</t>
  </si>
  <si>
    <t>Dejounte Murray
SAPG, SG</t>
  </si>
  <si>
    <t>Bam Adebayo
MiaC, PF</t>
  </si>
  <si>
    <t>Jrue Holiday
MilPG, SG</t>
  </si>
  <si>
    <t>Ben Simmons
PhiPG</t>
  </si>
  <si>
    <t>Kyrie Irving
BknPG, SG</t>
  </si>
  <si>
    <t>Michael Porter Jr.
DenSF, PF</t>
  </si>
  <si>
    <t>Chris PaulDTD
PhxPG</t>
  </si>
  <si>
    <t>Russell WestbrookO
LALPG</t>
  </si>
  <si>
    <t>Clint CapelaDTD
AtlC</t>
  </si>
  <si>
    <t>Deandre Ayton
PhxC</t>
  </si>
  <si>
    <t>Tobias Harris
PhiSF, PF</t>
  </si>
  <si>
    <t>Devin Booker
PhxSG, PG</t>
  </si>
  <si>
    <t>Khris Middleton
MilSF, SG</t>
  </si>
  <si>
    <t>Christian Wood
HouC, PF</t>
  </si>
  <si>
    <t>Jaylen Brown
BosSG, SF</t>
  </si>
  <si>
    <t>Lonzo Ball
ChiPG</t>
  </si>
  <si>
    <t>Zach LaVine
ChiSG</t>
  </si>
  <si>
    <t>Ja Morant
MemPG</t>
  </si>
  <si>
    <t>Brandon Ingram
NOSF, PF</t>
  </si>
  <si>
    <t>Caris LeVertO
IndSG, SF</t>
  </si>
  <si>
    <t>CJ McCollum
PorSG</t>
  </si>
  <si>
    <t>DeMar DeRozan
ChiSG, SF</t>
  </si>
  <si>
    <t>Collin Sexton
CleSG, PG</t>
  </si>
  <si>
    <t>Montrezl Harrell
WshC, PF</t>
  </si>
  <si>
    <t>Terry Rozier
ChaPG, SG</t>
  </si>
  <si>
    <t>Jusuf Nurkic
PorC</t>
  </si>
  <si>
    <t>Pascal SiakamO
TorPF</t>
  </si>
  <si>
    <t>Draymond Green
GSPF</t>
  </si>
  <si>
    <t>Jakob Poeltl
SAC</t>
  </si>
  <si>
    <t>Anthony Edwards
MinSG, SF</t>
  </si>
  <si>
    <t>Robert Williams III
BosC, PF</t>
  </si>
  <si>
    <t>Tyrese Haliburton
SacPG, SG</t>
  </si>
  <si>
    <t>Kyle Lowry
MiaPG</t>
  </si>
  <si>
    <t>Jalen Suggs
OrlPG, SG</t>
  </si>
  <si>
    <t>Derrick White
SAPG, SG</t>
  </si>
  <si>
    <t>Cade CunninghamDTD
DetPG</t>
  </si>
  <si>
    <t>Buddy Hield
SacSG, SF</t>
  </si>
  <si>
    <t>Jarrett AllenDTD
CleC</t>
  </si>
  <si>
    <t>Malcolm Brogdon
IndPG, SG</t>
  </si>
  <si>
    <t>Spencer Dinwiddie
WshSG, PG</t>
  </si>
  <si>
    <t>Jonathan IsaacO
OrlPF, SF</t>
  </si>
  <si>
    <t>D'Angelo Russell
MinPG, SG</t>
  </si>
  <si>
    <t>Kemba Walker
NYPG</t>
  </si>
  <si>
    <t>Andrew Wiggins
GSSF, SG</t>
  </si>
  <si>
    <t>OG Anunoby
TorSF, PF</t>
  </si>
  <si>
    <t>John Collins
AtlPF</t>
  </si>
  <si>
    <t>Kristaps Porzingis
DalC, PF</t>
  </si>
  <si>
    <t>Chris Boucher
TorC, PF</t>
  </si>
  <si>
    <t>Jerami Grant
DetSF, PF</t>
  </si>
  <si>
    <t>Isaiah StewartDTD
DetC, PF</t>
  </si>
  <si>
    <t>Richaun Holmes
SacC, PF</t>
  </si>
  <si>
    <t>Darius Garland
ClePG, SG</t>
  </si>
  <si>
    <t>Myles Turner
IndC, PF</t>
  </si>
  <si>
    <t>Nickeil Alexander-Walker
NOSG</t>
  </si>
  <si>
    <t>Jaren Jackson Jr.
MemPF</t>
  </si>
  <si>
    <t>RJ Barrett
NYSF, SG</t>
  </si>
  <si>
    <t>Mike Conley
UtahPG</t>
  </si>
  <si>
    <t>P.J. Washington
ChaPF</t>
  </si>
  <si>
    <t>Jalen Green
HouSG</t>
  </si>
  <si>
    <t>Norman Powell
PorSG, SF</t>
  </si>
  <si>
    <t>Ivica ZubacDTD
LACC</t>
  </si>
  <si>
    <t>Devonte' Graham
NOPG, SG</t>
  </si>
  <si>
    <t>Eric Bledsoe
LACPG, SG</t>
  </si>
  <si>
    <t>Mikal Bridges
PhxSF</t>
  </si>
  <si>
    <t>Wendell Carter Jr.
OrlC</t>
  </si>
  <si>
    <t>Robert Covington
PorPF, SF</t>
  </si>
  <si>
    <t>Thaddeus Young
SAPF, SF, C</t>
  </si>
  <si>
    <t>Marcus Smart
BosSG, PG</t>
  </si>
  <si>
    <t>Dennis Schroder
BosPG</t>
  </si>
  <si>
    <t>Bogdan Bogdanovic
AtlSG, SF</t>
  </si>
  <si>
    <t>Harrison Barnes
SacSF, PF</t>
  </si>
  <si>
    <t>Reggie Jackson
LACPG</t>
  </si>
  <si>
    <t>Keldon Johnson
SASF, PF</t>
  </si>
  <si>
    <t>Tim Hardaway Jr.
DalSG, SF</t>
  </si>
  <si>
    <t>RESEARCH</t>
  </si>
  <si>
    <t>%ROST</t>
  </si>
  <si>
    <t>Scottie Barnes
TorPF, SF</t>
  </si>
  <si>
    <t>Donte DiVincenzoO
MilSG, PG</t>
  </si>
  <si>
    <t>Saddiq Bey
DetSF</t>
  </si>
  <si>
    <t>Joe Ingles
UtahSF, SG, PF</t>
  </si>
  <si>
    <t>Miles Bridges
ChaSF, PF</t>
  </si>
  <si>
    <t>Brook Lopez
MilC</t>
  </si>
  <si>
    <t>Daniel Theis
HouC, PF</t>
  </si>
  <si>
    <t>Mitchell RobinsonO
NYC</t>
  </si>
  <si>
    <t>Jordan Clarkson
UtahSG</t>
  </si>
  <si>
    <t>Killian Hayes
DetPG</t>
  </si>
  <si>
    <t>Marvin Bagley III
SacPF</t>
  </si>
  <si>
    <t>Gordon Hayward
ChaSF</t>
  </si>
  <si>
    <t>Evan Fournier
NYSG, SF</t>
  </si>
  <si>
    <t>Brandon Clarke
MemPF, C</t>
  </si>
  <si>
    <t>Jonas Valanciunas
NOC</t>
  </si>
  <si>
    <t>Hassan Whiteside
UtahC</t>
  </si>
  <si>
    <t>Joe Harris
BknSG, SF</t>
  </si>
  <si>
    <t>Malik Beasley
MinSG, SF</t>
  </si>
  <si>
    <t>Kyle Kuzma
WshPF, SF</t>
  </si>
  <si>
    <t>T.J. McConnell
IndPG</t>
  </si>
  <si>
    <t>Lauri Markkanen
ClePF</t>
  </si>
  <si>
    <t>Thomas BryantO
WshC</t>
  </si>
  <si>
    <t>T.J. WarrenO
IndSF</t>
  </si>
  <si>
    <t>Bojan BogdanovicDTD
UtahPF, SF</t>
  </si>
  <si>
    <t>Steven Adams
MemC</t>
  </si>
  <si>
    <t>Bobby Portis
MilPF</t>
  </si>
  <si>
    <t>Mason Plumlee
ChaC</t>
  </si>
  <si>
    <t>Ricky Rubio
ClePG</t>
  </si>
  <si>
    <t>Klay ThompsonO
GSSG</t>
  </si>
  <si>
    <t>Kelly Olynyk
DetC, PF</t>
  </si>
  <si>
    <t>Monte Morris
DenPG</t>
  </si>
  <si>
    <t>John WallO
HouPG</t>
  </si>
  <si>
    <t>Kyle Anderson
MemSF, PF</t>
  </si>
  <si>
    <t>Kevin Porter Jr.
HouSG, PG</t>
  </si>
  <si>
    <t>Alperen Sengun
HouC</t>
  </si>
  <si>
    <t>Tyler Herro
MiaSG, PG</t>
  </si>
  <si>
    <t>Isaiah Roby
OKCPF</t>
  </si>
  <si>
    <t>Andre Drummond
PhiC</t>
  </si>
  <si>
    <t>Isaac OkoroDTD
CleSF</t>
  </si>
  <si>
    <t>Derrick Rose
NYPG</t>
  </si>
  <si>
    <t>Aaron Gordon
DenPF</t>
  </si>
  <si>
    <t>Patrick WilliamsO
ChiSF, PF</t>
  </si>
  <si>
    <t>Markelle FultzO
OrlPG</t>
  </si>
  <si>
    <t>Darius Bazley
OKCSF, PF</t>
  </si>
  <si>
    <t>Otto Porter Jr.
GSSF</t>
  </si>
  <si>
    <t>Serge IbakaDTD
LACC, PF</t>
  </si>
  <si>
    <t>Al Horford
BosC, PF</t>
  </si>
  <si>
    <t>Kelly Oubre Jr.
ChaPF, SF</t>
  </si>
  <si>
    <t>Dillon Brooks
MemSG, SF</t>
  </si>
  <si>
    <t>Rui HachimuraDTD
WshPF, SF</t>
  </si>
  <si>
    <t>Seth Curry
PhiSG, PG</t>
  </si>
  <si>
    <t>Marcus Morris Sr.
LACPF, SF</t>
  </si>
  <si>
    <t>Doug McDermott
SASF, PF</t>
  </si>
  <si>
    <t>Nerlens Noel
NYC</t>
  </si>
  <si>
    <t>LaMarcus Aldridge
BknPF</t>
  </si>
  <si>
    <t>Moses Brown
DalC</t>
  </si>
  <si>
    <t>Cole Anthony
OrlPG</t>
  </si>
  <si>
    <t>Duncan Robinson
MiaSG, SF</t>
  </si>
  <si>
    <t>Enes Kanter
BosC</t>
  </si>
  <si>
    <t>Talen Horton-Tucker
LALSG, SF</t>
  </si>
  <si>
    <t>Jalen Brunson
DalPG</t>
  </si>
  <si>
    <t>Jae Crowder
PhxPF, SF</t>
  </si>
  <si>
    <t>Danny Green
PhiSG, SF</t>
  </si>
  <si>
    <t>Terrence Ross
OrlSG, SF</t>
  </si>
  <si>
    <t>James WisemanO
GSC</t>
  </si>
  <si>
    <t>Daniel Gafford
WshC, PF</t>
  </si>
  <si>
    <t>Goran Dragic
TorPG</t>
  </si>
  <si>
    <t>Kevin Huerter
AtlSG, SF</t>
  </si>
  <si>
    <t>Alec Burks
NYSG</t>
  </si>
  <si>
    <t>Aleksej Pokusevski
OKCPF</t>
  </si>
  <si>
    <t>Evan Mobley
ClePF, C</t>
  </si>
  <si>
    <t>Dorian Finney-Smith
DalSF, PF</t>
  </si>
  <si>
    <t>Chuma OkekeDTD
OrlPF</t>
  </si>
  <si>
    <t>Khem Birch
TorC</t>
  </si>
  <si>
    <t>Terance Mann
LACSF</t>
  </si>
  <si>
    <t>Larry Nance Jr.
PorPF</t>
  </si>
  <si>
    <t>Franz Wagner
OrlSF</t>
  </si>
  <si>
    <t>Coby WhiteO
ChiPG</t>
  </si>
  <si>
    <t>Blake Griffin
BknPF</t>
  </si>
  <si>
    <t>Rudy GayO
UtahPF</t>
  </si>
  <si>
    <t>Josh Hart
NOSG, SF</t>
  </si>
  <si>
    <t>Kenrich Williams
OKCSF</t>
  </si>
  <si>
    <t>Terence Davis
SacSG</t>
  </si>
  <si>
    <t>Tomas Satoransky
NOPG, SG</t>
  </si>
  <si>
    <t>Kendrick Nunn
LALSG</t>
  </si>
  <si>
    <t>Luguentz Dort
OKCSG, SF</t>
  </si>
  <si>
    <t>Shake Milton
PhiPG, SG</t>
  </si>
  <si>
    <t>Nicolas Batum
LACSF, SG</t>
  </si>
  <si>
    <t>Jaxson Hayes
NOC</t>
  </si>
  <si>
    <t>Matisse Thybulle
PhiSF, SG</t>
  </si>
  <si>
    <t>Royce O'Neale
UtahSF, PF</t>
  </si>
  <si>
    <t>Devin Vassell
SASG, SF</t>
  </si>
  <si>
    <t>Victor OladipoO
MiaSG</t>
  </si>
  <si>
    <t>Davis Bertans
WshPF</t>
  </si>
  <si>
    <t>Kevin Love
ClePF</t>
  </si>
  <si>
    <t>Jeremy Lamb
IndSG, SF</t>
  </si>
  <si>
    <t>Bruce Brown
BknSG</t>
  </si>
  <si>
    <t>Derrick Favors
OKCC, PF</t>
  </si>
  <si>
    <t>Ish Smith
ChaPG</t>
  </si>
  <si>
    <t>Cedi Osman
CleSF</t>
  </si>
  <si>
    <t>Cameron Johnson
PhxSF</t>
  </si>
  <si>
    <t>Tyus Jones
MemPG</t>
  </si>
  <si>
    <t>Gary Trent Jr.
TorSG, SF</t>
  </si>
  <si>
    <t>Reggie BullockO
DalSF, SG</t>
  </si>
  <si>
    <t>Willie Cauley-Stein
DalC</t>
  </si>
  <si>
    <t>Hamidou Diallo
DetSG</t>
  </si>
  <si>
    <t>Carmelo AnthonyO
LALPF, SF</t>
  </si>
  <si>
    <t>Naz Reid
MinC</t>
  </si>
  <si>
    <t>De'Anthony Melton
MemPG</t>
  </si>
  <si>
    <t>Nicolas Claxton
BknC, PF</t>
  </si>
  <si>
    <t>De'Andre Hunter
AtlSF, PF</t>
  </si>
  <si>
    <t>Josh Jackson
DetSF, SG</t>
  </si>
  <si>
    <t>Marc Gasol
LALC</t>
  </si>
  <si>
    <t>Bryn Forbes
SASG, PG</t>
  </si>
  <si>
    <t>Lou Williams
AtlSG</t>
  </si>
  <si>
    <t>Josh Richardson
BosSG, SF</t>
  </si>
  <si>
    <t>Paul Millsap
BknPF</t>
  </si>
  <si>
    <t>Maxi Kleber
DalPF</t>
  </si>
  <si>
    <t>Danilo Gallinari
AtlPF, SF</t>
  </si>
  <si>
    <t>Dwight Howard
LALC</t>
  </si>
  <si>
    <t>Kentavious Caldwell-Pope
WshSG, SF</t>
  </si>
  <si>
    <t>Dwight Powell
DalC</t>
  </si>
  <si>
    <t>Onyeka OkongwuO
AtlC</t>
  </si>
  <si>
    <t>Justin Holiday
IndSG, SF</t>
  </si>
  <si>
    <t>Taurean PrinceO
MinSF, PF</t>
  </si>
  <si>
    <t>Patrick BeverleyO
MinPG</t>
  </si>
  <si>
    <t>Rajon Rondo
LALPG</t>
  </si>
  <si>
    <t>Tristan Thompson
SacC, PF</t>
  </si>
  <si>
    <t>Jeff Green
DenPF</t>
  </si>
  <si>
    <t>Cory Joseph
DetPG</t>
  </si>
  <si>
    <t>Patty Mills
BknPG</t>
  </si>
  <si>
    <t>Kira Lewis Jr.
NOPG</t>
  </si>
  <si>
    <t>James Bouknight
ChaSG</t>
  </si>
  <si>
    <t>Saben Lee
DetPG</t>
  </si>
  <si>
    <t>Delon Wright
AtlSG, PG</t>
  </si>
  <si>
    <t>Pat Connaughton
MilSG, SF</t>
  </si>
  <si>
    <t>Anfernee Simons
PorSG, PG</t>
  </si>
  <si>
    <t>George Hill
MilPG, SG</t>
  </si>
  <si>
    <t>Lonnie Walker IV
SASF, SG</t>
  </si>
  <si>
    <t>D.J. Augustin
HouPG</t>
  </si>
  <si>
    <t>Mo Bamba
OrlC</t>
  </si>
  <si>
    <t>JaMychal Green
DenPF</t>
  </si>
  <si>
    <t>Danuel House Jr.
HouSF, SG</t>
  </si>
  <si>
    <t>Cam Reddish
AtlSF, SG</t>
  </si>
  <si>
    <t>Landry Shamet
PhxSG</t>
  </si>
  <si>
    <t>Deni AvdijaDTD
WshSF</t>
  </si>
  <si>
    <t>Willy Hernangomez
NOC</t>
  </si>
  <si>
    <t>Gorgui Dieng
AtlC, PF</t>
  </si>
  <si>
    <t>Garrett Temple
NOSG, SF</t>
  </si>
  <si>
    <t>Eric Gordon
HouSG</t>
  </si>
  <si>
    <t>Kent Bazemore
LALSG, SF</t>
  </si>
  <si>
    <t>Alex Caruso
ChiPG, SG</t>
  </si>
  <si>
    <t>Grayson Allen
MilSG</t>
  </si>
  <si>
    <t>Elfrid Payton
PhxPG</t>
  </si>
  <si>
    <t>Frank Kaminsky
PhxC, PF</t>
  </si>
  <si>
    <t>Gary Harris
OrlSG</t>
  </si>
  <si>
    <t>Furkan Korkmaz
PhiSG</t>
  </si>
  <si>
    <t>Austin Rivers
DenSG</t>
  </si>
  <si>
    <t>Jamal MurrayO
DenPG, SG</t>
  </si>
  <si>
    <t>Trevor ArizaO
LALSF</t>
  </si>
  <si>
    <t>Luke Kennard
LACSG</t>
  </si>
  <si>
    <t>Wayne Ellington
LALSG</t>
  </si>
  <si>
    <t>Kenyon Martin Jr.
HouSF</t>
  </si>
  <si>
    <t>Justise Winslow
LACSF</t>
  </si>
  <si>
    <t>JaVale McGee
PhxC</t>
  </si>
  <si>
    <t>Jordan Poole
GSSG, PG</t>
  </si>
  <si>
    <t>Juancho HernangomezDTD
BosPF, SF</t>
  </si>
  <si>
    <t>PJ Dozier
DenPG</t>
  </si>
  <si>
    <t>Torrey Craig
IndSF</t>
  </si>
  <si>
    <t>DeAndre Jordan
LALC</t>
  </si>
  <si>
    <t>Eric Paschall
UtahPF</t>
  </si>
  <si>
    <t>Aaron Holiday
WshPG, SG</t>
  </si>
  <si>
    <t>Raul Neto
WshPG</t>
  </si>
  <si>
    <t>Sterling Brown
DalSG, SF</t>
  </si>
  <si>
    <t>Moritz Wagner
OrlC, PF</t>
  </si>
  <si>
    <t>Jalen McDaniels
ChaPF</t>
  </si>
  <si>
    <t>Dwayne Bacon
NYSG</t>
  </si>
  <si>
    <t>Damion Lee
GSSF, SG</t>
  </si>
  <si>
    <t>Aaron Nesmith
BosSF</t>
  </si>
  <si>
    <t>Juan Toscano-Anderson
GSPF, SF</t>
  </si>
  <si>
    <t>Josh Okogie
MinSG, SF</t>
  </si>
  <si>
    <t>Andre Iguodala
GSSF, SG</t>
  </si>
  <si>
    <t>Kevon Looney
GSPF</t>
  </si>
  <si>
    <t>Mike Muscala
OKCC, PF</t>
  </si>
  <si>
    <t>DeMarcus Cousins
LACC</t>
  </si>
  <si>
    <t>Jarrett CulverDTD
MemSG, SF</t>
  </si>
  <si>
    <t>Bismack Biyombo
ChaC</t>
  </si>
  <si>
    <t>Maurice Harkless
SacSF</t>
  </si>
  <si>
    <t>James Johnson
BknPF, SF</t>
  </si>
  <si>
    <t>Cody Martin
ChaSF</t>
  </si>
  <si>
    <t>Michael Carter-WilliamsO
OrlPG</t>
  </si>
  <si>
    <t>Al-Farouq Aminu
SAPF</t>
  </si>
  <si>
    <t>D.J. Wilson
OKCPF</t>
  </si>
  <si>
    <t>Trey Burke
DalPG, SG</t>
  </si>
  <si>
    <t>Zach CollinsO
SAC</t>
  </si>
  <si>
    <t>Edmond SumnerO
IndSG</t>
  </si>
  <si>
    <t>Georges Niang
PhiPF</t>
  </si>
  <si>
    <t>Aron Baynes
TorC</t>
  </si>
  <si>
    <t>Brad Wanamaker
ChaPG</t>
  </si>
  <si>
    <t>Robin Lopez
OrlC</t>
  </si>
  <si>
    <t>STATS</t>
  </si>
  <si>
    <t>MIN</t>
  </si>
  <si>
    <t>FANTASY PTS</t>
  </si>
  <si>
    <t>TOT</t>
  </si>
  <si>
    <t>AVG</t>
  </si>
  <si>
    <t>ADP</t>
  </si>
  <si>
    <t>TOTAL</t>
  </si>
  <si>
    <t>DEN</t>
  </si>
  <si>
    <t>0.577(10.1/17.4)</t>
  </si>
  <si>
    <t>0.831(5.0/6.0)</t>
  </si>
  <si>
    <t>SF/PF</t>
  </si>
  <si>
    <t>BRO</t>
  </si>
  <si>
    <t>0.517(10.3/19.8)</t>
  </si>
  <si>
    <t>0.907(6.6/7.3)</t>
  </si>
  <si>
    <t>PHI</t>
  </si>
  <si>
    <t>0.495(9.8/19.8)</t>
  </si>
  <si>
    <t>0.821(9.5/11.6)</t>
  </si>
  <si>
    <t>PG/SF</t>
  </si>
  <si>
    <t>0.446(6.3/14.2)</t>
  </si>
  <si>
    <t>0.868(7.2/8.2)</t>
  </si>
  <si>
    <t>PF/C</t>
  </si>
  <si>
    <t>MIL</t>
  </si>
  <si>
    <t>0.551(10.4/18.8)</t>
  </si>
  <si>
    <t>0.728(8.4/11.6)</t>
  </si>
  <si>
    <t>PG/SF/PF</t>
  </si>
  <si>
    <t>LAL</t>
  </si>
  <si>
    <t>0.523(10.4/19.9)</t>
  </si>
  <si>
    <t>0.750(4.1/5.5)</t>
  </si>
  <si>
    <t>GSW</t>
  </si>
  <si>
    <t>0.441(8.1/18.4)</t>
  </si>
  <si>
    <t>0.914(4.4/4.8)</t>
  </si>
  <si>
    <t>0.514(8.1/15.7)</t>
  </si>
  <si>
    <t>0.833(5.0/6.0)</t>
  </si>
  <si>
    <t>PG/SG</t>
  </si>
  <si>
    <t>0.470(9.7/20.7)</t>
  </si>
  <si>
    <t>0.912(4.1/4.4)</t>
  </si>
  <si>
    <t>DAL</t>
  </si>
  <si>
    <t>0.459(10.7/23.2)</t>
  </si>
  <si>
    <t>0.749(5.7/7.7)</t>
  </si>
  <si>
    <t>ATL</t>
  </si>
  <si>
    <t>0.452(9.0/20.0)</t>
  </si>
  <si>
    <t>0.905(6.4/7.0)</t>
  </si>
  <si>
    <t>CHA</t>
  </si>
  <si>
    <t>0.431(7.7/17.8)</t>
  </si>
  <si>
    <t>0.875(2.9/3.4)</t>
  </si>
  <si>
    <t>POR</t>
  </si>
  <si>
    <t>0.439(8.0/18.2)</t>
  </si>
  <si>
    <t>0.892(6.0/6.7)</t>
  </si>
  <si>
    <t>BOS</t>
  </si>
  <si>
    <t>0.452(9.5/21.0)</t>
  </si>
  <si>
    <t>0.856(5.4/6.3)</t>
  </si>
  <si>
    <t>0.535(9.5/17.8)</t>
  </si>
  <si>
    <t>0.722(4.5/6.2)</t>
  </si>
  <si>
    <t>IND</t>
  </si>
  <si>
    <t>0.472(6.7/14.2)</t>
  </si>
  <si>
    <t>0.856(3.0/3.5)</t>
  </si>
  <si>
    <t>LAC</t>
  </si>
  <si>
    <t>0.495(8.5/17.2)</t>
  </si>
  <si>
    <t>0.877(4.8/5.5)</t>
  </si>
  <si>
    <t>PHX</t>
  </si>
  <si>
    <t>0.471(9.9/21.0)</t>
  </si>
  <si>
    <t>0.867(4.7/5.4)</t>
  </si>
  <si>
    <t>0.457(8.3/18.1)</t>
  </si>
  <si>
    <t>0.854(4.1/4.8)</t>
  </si>
  <si>
    <t>MIA</t>
  </si>
  <si>
    <t>0.478(7.0/14.7)</t>
  </si>
  <si>
    <t>0.860(6.7/7.8)</t>
  </si>
  <si>
    <t>0.473(7.1/15.0)</t>
  </si>
  <si>
    <t>0.888(4.0/4.5)</t>
  </si>
  <si>
    <t>WAS</t>
  </si>
  <si>
    <t>0.460(7.0/15.2)</t>
  </si>
  <si>
    <t>0.868(5.0/5.8)</t>
  </si>
  <si>
    <t>0.557(7.6/13.7)</t>
  </si>
  <si>
    <t>0.760(4.7/6.2)</t>
  </si>
  <si>
    <t>SG/SF</t>
  </si>
  <si>
    <t>CHI</t>
  </si>
  <si>
    <t>0.494(9.3/18.7)</t>
  </si>
  <si>
    <t>0.871(6.8/7.9)</t>
  </si>
  <si>
    <t>0.496(5.4/11.0)</t>
  </si>
  <si>
    <t>0.837(2.5/3.0)</t>
  </si>
  <si>
    <t>SAC</t>
  </si>
  <si>
    <t>0.560(7.3/13.1)</t>
  </si>
  <si>
    <t>0.747(3.8/5.1)</t>
  </si>
  <si>
    <t>OKL</t>
  </si>
  <si>
    <t>0.468(8.6/18.4)</t>
  </si>
  <si>
    <t>0.808(6.0/7.4)</t>
  </si>
  <si>
    <t>TOR</t>
  </si>
  <si>
    <t>0.403(6.7/16.6)</t>
  </si>
  <si>
    <t>0.871(3.0/3.4)</t>
  </si>
  <si>
    <t>0.716(4.4/6.1)</t>
  </si>
  <si>
    <t>0.711(1.1/1.5)</t>
  </si>
  <si>
    <t>CLE</t>
  </si>
  <si>
    <t>0.466(7.7/16.4)</t>
  </si>
  <si>
    <t>0.900(3.0/3.3)</t>
  </si>
  <si>
    <t>0.500(7.0/14.0)</t>
  </si>
  <si>
    <t>0.764(2.1/2.8)</t>
  </si>
  <si>
    <t>0.484(5.0/10.3)</t>
  </si>
  <si>
    <t>0.758(2.0/2.6)</t>
  </si>
  <si>
    <t>0.451(8.6/19.0)</t>
  </si>
  <si>
    <t>0.852(3.7/4.4)</t>
  </si>
  <si>
    <t>0.717(5.4/7.5)</t>
  </si>
  <si>
    <t>0.681(4.1/6.0)</t>
  </si>
  <si>
    <t>MEM</t>
  </si>
  <si>
    <t>0.485(10.4/21.5)</t>
  </si>
  <si>
    <t>0.754(5.6/7.4)</t>
  </si>
  <si>
    <t>0.658(6.5/9.8)</t>
  </si>
  <si>
    <t>0.715(3.0/4.2)</t>
  </si>
  <si>
    <t>0.464(9.0/19.3)</t>
  </si>
  <si>
    <t>0.825(4.2/5.1)</t>
  </si>
  <si>
    <t>0.634(8.0/12.7)</t>
  </si>
  <si>
    <t>0.720(1.9/2.6)</t>
  </si>
  <si>
    <t>0.489(8.5/17.5)</t>
  </si>
  <si>
    <t>0.834(4.7/5.6)</t>
  </si>
  <si>
    <t>0.442(7.7/17.5)</t>
  </si>
  <si>
    <t>0.852(2.4/2.8)</t>
  </si>
  <si>
    <t>0.474(7.3/15.4)</t>
  </si>
  <si>
    <t>0.765(1.3/1.7)</t>
  </si>
  <si>
    <t>0.463(7.0/15.2)</t>
  </si>
  <si>
    <t>0.898(1.9/2.1)</t>
  </si>
  <si>
    <t>0.440(8.0/18.1)</t>
  </si>
  <si>
    <t>0.794(3.2/4.1)</t>
  </si>
  <si>
    <t>DET</t>
  </si>
  <si>
    <t>0.423(7.7/18.1)</t>
  </si>
  <si>
    <t>0.846(2.5/2.9)</t>
  </si>
  <si>
    <t>0.460(7.4/16.0)</t>
  </si>
  <si>
    <t>0.806(2.5/3.0)</t>
  </si>
  <si>
    <t>0.423(5.6/13.1)</t>
  </si>
  <si>
    <t>0.818(3.6/4.4)</t>
  </si>
  <si>
    <t>0.473(9.0/18.9)</t>
  </si>
  <si>
    <t>0.771(3.8/4.9)</t>
  </si>
  <si>
    <t>0.475(8.4/17.6)</t>
  </si>
  <si>
    <t>0.749(4.2/5.6)</t>
  </si>
  <si>
    <t>NOP</t>
  </si>
  <si>
    <t>0.544(6.5/12.0)</t>
  </si>
  <si>
    <t>0.818(3.0/3.7)</t>
  </si>
  <si>
    <t>0.437(5.0/11.3)</t>
  </si>
  <si>
    <t>0.858(2.5/2.9)</t>
  </si>
  <si>
    <t>0.506(6.6/13.0)</t>
  </si>
  <si>
    <t>0.692(2.7/3.9)</t>
  </si>
  <si>
    <t>0.451(6.5/14.5)</t>
  </si>
  <si>
    <t>0.913(3.3/3.6)</t>
  </si>
  <si>
    <t>0.520(6.2/12.0)</t>
  </si>
  <si>
    <t>0.807(2.6/3.2)</t>
  </si>
  <si>
    <t>0.477(9.0/18.9)</t>
  </si>
  <si>
    <t>0.749(4.5/6.0)</t>
  </si>
  <si>
    <t>0.492(6.8/13.8)</t>
  </si>
  <si>
    <t>0.747(2.2/3.0)</t>
  </si>
  <si>
    <t>0.531(6.1/11.4)</t>
  </si>
  <si>
    <t>0.842(1.9/2.2)</t>
  </si>
  <si>
    <t>0.462(8.9/19.2)</t>
  </si>
  <si>
    <t>0.705(1.9/2.8)</t>
  </si>
  <si>
    <t>0.477(7.0/14.6)</t>
  </si>
  <si>
    <t>0.849(2.9/3.4)</t>
  </si>
  <si>
    <t>0.461(6.5/14.1)</t>
  </si>
  <si>
    <t>0.844(3.0/3.5)</t>
  </si>
  <si>
    <t>0.482(6.8/14.1)</t>
  </si>
  <si>
    <t>0.785(1.5/1.9)</t>
  </si>
  <si>
    <t>0.623(6.0/9.7)</t>
  </si>
  <si>
    <t>0.668(1.7/2.6)</t>
  </si>
  <si>
    <t>0.467(5.0/10.7)</t>
  </si>
  <si>
    <t>0.729(1.2/1.7)</t>
  </si>
  <si>
    <t>0.463(6.8/14.7)</t>
  </si>
  <si>
    <t>0.861(2.4/2.8)</t>
  </si>
  <si>
    <t>NYK</t>
  </si>
  <si>
    <t>0.449(7.2/16.1)</t>
  </si>
  <si>
    <t>0.785(4.1/5.3)</t>
  </si>
  <si>
    <t>0.458(8.4/18.3)</t>
  </si>
  <si>
    <t>0.814(4.9/6.0)</t>
  </si>
  <si>
    <t>0.442(7.8/17.7)</t>
  </si>
  <si>
    <t>0.878(3.0/3.4)</t>
  </si>
  <si>
    <t>0.519(2.9/5.7)</t>
  </si>
  <si>
    <t>0.650(1.3/2.0)</t>
  </si>
  <si>
    <t>0.442(6.5/14.8)</t>
  </si>
  <si>
    <t>0.761(1.9/2.6)</t>
  </si>
  <si>
    <t>SAS</t>
  </si>
  <si>
    <t>0.447(6.1/13.6)</t>
  </si>
  <si>
    <t>0.854(1.4/1.6)</t>
  </si>
  <si>
    <t>0.486(6.6/13.5)</t>
  </si>
  <si>
    <t>0.859(2.3/2.7)</t>
  </si>
  <si>
    <t>0.422(6.0/14.3)</t>
  </si>
  <si>
    <t>0.801(3.0/3.8)</t>
  </si>
  <si>
    <t>0.631(4.8/7.6)</t>
  </si>
  <si>
    <t>0.735(2.6/3.5)</t>
  </si>
  <si>
    <t>0.643(4.2/6.5)</t>
  </si>
  <si>
    <t>0.760(2.0/2.6)</t>
  </si>
  <si>
    <t>0.587(9.5/16.2)</t>
  </si>
  <si>
    <t>0.701(6.2/8.8)</t>
  </si>
  <si>
    <t>0.447(5.8/12.9)</t>
  </si>
  <si>
    <t>0.837(3.0/3.6)</t>
  </si>
  <si>
    <t>ORL</t>
  </si>
  <si>
    <t>0.525(5.8/11.0)</t>
  </si>
  <si>
    <t>0.723(2.2/3.1)</t>
  </si>
  <si>
    <t>UTA</t>
  </si>
  <si>
    <t>0.445(6.4/14.3)</t>
  </si>
  <si>
    <t>0.843(2.5/2.9)</t>
  </si>
  <si>
    <t>0.516(6.0/11.7)</t>
  </si>
  <si>
    <t>0.761(2.8/3.7)</t>
  </si>
  <si>
    <t>0.470(3.7/7.9)</t>
  </si>
  <si>
    <t>0.814(1.1/1.4)</t>
  </si>
  <si>
    <t>0.416(4.2/10.0)</t>
  </si>
  <si>
    <t>0.798(1.8/2.2)</t>
  </si>
  <si>
    <t>0.478(6.9/14.5)</t>
  </si>
  <si>
    <t>0.833(2.5/3.0)</t>
  </si>
  <si>
    <t>0.413(6.5/15.8)</t>
  </si>
  <si>
    <t>0.836(2.3/2.8)</t>
  </si>
  <si>
    <t>0.613(6.1/9.9)</t>
  </si>
  <si>
    <t>0.473(1.4/3.0)</t>
  </si>
  <si>
    <t>HOU</t>
  </si>
  <si>
    <t>0.471(5.2/11.0)</t>
  </si>
  <si>
    <t>0.718(3.4/4.7)</t>
  </si>
  <si>
    <t>0.508(5.1/10.0)</t>
  </si>
  <si>
    <t>0.689(3.1/4.5)</t>
  </si>
  <si>
    <t>0.465(7.2/15.5)</t>
  </si>
  <si>
    <t>0.774(3.3/4.2)</t>
  </si>
  <si>
    <t>0.477(4.6/9.6)</t>
  </si>
  <si>
    <t>0.886(1.8/2.0)</t>
  </si>
  <si>
    <t>0.460(6.5/14.1)</t>
  </si>
  <si>
    <t>0.870(2.5/2.9)</t>
  </si>
  <si>
    <t>0.416(6.0/14.4)</t>
  </si>
  <si>
    <t>0.838(2.7/3.2)</t>
  </si>
  <si>
    <t>Robert Covington</t>
  </si>
  <si>
    <t>0.415(2.8/6.8)</t>
  </si>
  <si>
    <t>0.804(0.8/1.0)</t>
  </si>
  <si>
    <t>0.452(4.1/9.1)</t>
  </si>
  <si>
    <t>0.775(2.0/2.6)</t>
  </si>
  <si>
    <t>0.430(7.8/18.0)</t>
  </si>
  <si>
    <t>0.870(1.4/1.6)</t>
  </si>
  <si>
    <t>Lonzo Ball</t>
  </si>
  <si>
    <t>0.411(3.8/9.3)</t>
  </si>
  <si>
    <t>0.745(0.4/0.5)</t>
  </si>
  <si>
    <t>0.618(4.1/6.7)</t>
  </si>
  <si>
    <t>0.684(1.6/2.3)</t>
  </si>
  <si>
    <t>0.470(6.6/14.1)</t>
  </si>
  <si>
    <t>0.729(3.5/4.8)</t>
  </si>
  <si>
    <t>0.479(4.8/10.0)</t>
  </si>
  <si>
    <t>0.858(1.2/1.4)</t>
  </si>
  <si>
    <t>0.426(6.0/14.1)</t>
  </si>
  <si>
    <t>0.737(1.3/1.8)</t>
  </si>
  <si>
    <t>0.504(6.2/12.4)</t>
  </si>
  <si>
    <t>0.644(2.9/4.5)</t>
  </si>
  <si>
    <t>0.515(5.2/10.1)</t>
  </si>
  <si>
    <t>0.677(3.0/4.5)</t>
  </si>
  <si>
    <t>0.437(4.6/10.6)</t>
  </si>
  <si>
    <t>0.821(1.7/2.1)</t>
  </si>
  <si>
    <t>0.448(5.8/13.0)</t>
  </si>
  <si>
    <t>0.770(3.5/4.6)</t>
  </si>
  <si>
    <t>0.580(5.1/8.8)</t>
  </si>
  <si>
    <t>0.712(1.5/2.1)</t>
  </si>
  <si>
    <t>0.475(4.7/10.0)</t>
  </si>
  <si>
    <t>0.832(2.0/2.4)</t>
  </si>
  <si>
    <t>0.423(6.0/14.2)</t>
  </si>
  <si>
    <t>0.708(2.3/3.3)</t>
  </si>
  <si>
    <t>0.576(3.8/6.6)</t>
  </si>
  <si>
    <t>0.663(1.3/2.0)</t>
  </si>
  <si>
    <t>0.610(5.0/8.1)</t>
  </si>
  <si>
    <t>0.478(1.1/2.3)</t>
  </si>
  <si>
    <t>0.473(3.6/7.6)</t>
  </si>
  <si>
    <t>0.860(1.8/2.1)</t>
  </si>
  <si>
    <t>0.479(5.5/11.4)</t>
  </si>
  <si>
    <t>0.742(1.1/1.5)</t>
  </si>
  <si>
    <t>0.421(5.6/13.4)</t>
  </si>
  <si>
    <t>0.873(1.4/1.6)</t>
  </si>
  <si>
    <t>Dorian Finney-Smith</t>
  </si>
  <si>
    <t>0.476(4.5/9.5)</t>
  </si>
  <si>
    <t>0.778(0.8/1.0)</t>
  </si>
  <si>
    <t>0.449(6.1/13.5)</t>
  </si>
  <si>
    <t>0.712(2.5/3.4)</t>
  </si>
  <si>
    <t>0.456(4.6/10.1)</t>
  </si>
  <si>
    <t>0.854(1.6/1.9)</t>
  </si>
  <si>
    <t>Bogdan Bogdanovic</t>
  </si>
  <si>
    <t>0.435(5.3/12.2)</t>
  </si>
  <si>
    <t>0.834(1.5/1.8)</t>
  </si>
  <si>
    <t>0.438(7.6/17.4)</t>
  </si>
  <si>
    <t>0.802(3.0/3.8)</t>
  </si>
  <si>
    <t>0.636(4.6/7.3)</t>
  </si>
  <si>
    <t>0.599(1.6/2.7)</t>
  </si>
  <si>
    <t>0.443(6.9/15.5)</t>
  </si>
  <si>
    <t>0.901(2.0/2.2)</t>
  </si>
  <si>
    <t>0.439(5.4/12.3)</t>
  </si>
  <si>
    <t>0.773(3.2/4.2)</t>
  </si>
  <si>
    <t>0.460(8.3/18.1)</t>
  </si>
  <si>
    <t>0.802(3.5/4.4)</t>
  </si>
  <si>
    <t>Cody Martin</t>
  </si>
  <si>
    <t>0.478(4.0/8.3)</t>
  </si>
  <si>
    <t>0.736(1.3/1.7)</t>
  </si>
  <si>
    <t>0.436(4.0/9.3)</t>
  </si>
  <si>
    <t>0.862(2.0/2.3)</t>
  </si>
  <si>
    <t>0.480(5.1/10.5)</t>
  </si>
  <si>
    <t>0.757(2.1/2.8)</t>
  </si>
  <si>
    <t>Kendrick Nunn</t>
  </si>
  <si>
    <t>0.483(5.3/11.0)</t>
  </si>
  <si>
    <t>0.903(0.9/1.0)</t>
  </si>
  <si>
    <t>0.451(5.7/12.7)</t>
  </si>
  <si>
    <t>0.840(3.4/4.0)</t>
  </si>
  <si>
    <t>Daniel Gafford</t>
  </si>
  <si>
    <t>0.643(4.0/6.3)</t>
  </si>
  <si>
    <t>0.703(1.7/2.4)</t>
  </si>
  <si>
    <t>0.725(3.6/5.0)</t>
  </si>
  <si>
    <t>0.478(1.2/2.5)</t>
  </si>
  <si>
    <t>Norman Powell</t>
  </si>
  <si>
    <t>0.463(5.3/11.4)</t>
  </si>
  <si>
    <t>0.825(3.6/4.3)</t>
  </si>
  <si>
    <t>Aaron Gordon</t>
  </si>
  <si>
    <t>0.512(5.5/10.8)</t>
  </si>
  <si>
    <t>0.744(2.4/3.2)</t>
  </si>
  <si>
    <t>Patrick Williams</t>
  </si>
  <si>
    <t>0.511(3.8/7.4)</t>
  </si>
  <si>
    <t>0.747(2.1/2.9)</t>
  </si>
  <si>
    <t>0.473(4.7/9.8)</t>
  </si>
  <si>
    <t>0.823(3.7/4.5)</t>
  </si>
  <si>
    <t>De'Anthony Melton</t>
  </si>
  <si>
    <t>0.411(4.4/10.7)</t>
  </si>
  <si>
    <t>0.799(1.3/1.6)</t>
  </si>
  <si>
    <t>Otto Porter Jr.</t>
  </si>
  <si>
    <t>0.470(3.2/6.7)</t>
  </si>
  <si>
    <t>Kentavious Caldwell-Pope</t>
  </si>
  <si>
    <t>0.436(4.6/10.5)</t>
  </si>
  <si>
    <t>0.902(1.8/1.9)</t>
  </si>
  <si>
    <t>Richaun Holmes</t>
  </si>
  <si>
    <t>0.656(4.3/6.5)</t>
  </si>
  <si>
    <t>0.772(1.5/1.9)</t>
  </si>
  <si>
    <t>0.458(6.1/13.4)</t>
  </si>
  <si>
    <t>0.660(2.0/3.0)</t>
  </si>
  <si>
    <t>Matisse Thybulle</t>
  </si>
  <si>
    <t>0.499(2.3/4.5)</t>
  </si>
  <si>
    <t>0.754(0.5/0.6)</t>
  </si>
  <si>
    <t>Gary Payton II</t>
  </si>
  <si>
    <t>0.612(3.6/5.9)</t>
  </si>
  <si>
    <t>0.667(0.6/0.9)</t>
  </si>
  <si>
    <t>0.428(4.6/10.7)</t>
  </si>
  <si>
    <t>0.764(2.9/3.8)</t>
  </si>
  <si>
    <t>Mo Bamba</t>
  </si>
  <si>
    <t>0.483(3.4/7.0)</t>
  </si>
  <si>
    <t>0.802(0.7/0.8)</t>
  </si>
  <si>
    <t>Dillon Brooks</t>
  </si>
  <si>
    <t>0.422(7.5/17.8)</t>
  </si>
  <si>
    <t>0.848(3.1/3.6)</t>
  </si>
  <si>
    <t>Bruce Brown</t>
  </si>
  <si>
    <t>0.514(3.6/6.9)</t>
  </si>
  <si>
    <t>0.758(1.4/1.8)</t>
  </si>
  <si>
    <t>Patrick Beverley</t>
  </si>
  <si>
    <t>0.414(2.8/6.7)</t>
  </si>
  <si>
    <t>0.741(1.5/2.1)</t>
  </si>
  <si>
    <t>Nassir Little</t>
  </si>
  <si>
    <t>0.467(3.7/8.0)</t>
  </si>
  <si>
    <t>0.762(1.7/2.2)</t>
  </si>
  <si>
    <t>Jaden McDaniels</t>
  </si>
  <si>
    <t>0.456(4.3/9.3)</t>
  </si>
  <si>
    <t>0.788(0.9/1.2)</t>
  </si>
  <si>
    <t>Derrick White</t>
  </si>
  <si>
    <t>0.420(4.0/9.5)</t>
  </si>
  <si>
    <t>0.843(2.3/2.7)</t>
  </si>
  <si>
    <t>0.433(2.5/5.9)</t>
  </si>
  <si>
    <t>0.778(1.3/1.7)</t>
  </si>
  <si>
    <t>Caleb Martin</t>
  </si>
  <si>
    <t>0.503(3.7/7.4)</t>
  </si>
  <si>
    <t>0.464(5.9/12.8)</t>
  </si>
  <si>
    <t>0.824(1.8/2.2)</t>
  </si>
  <si>
    <t>0.452(5.8/12.9)</t>
  </si>
  <si>
    <t>0.857(3.1/3.6)</t>
  </si>
  <si>
    <t>Jae'Sean Tate</t>
  </si>
  <si>
    <t>0.499(4.8/9.6)</t>
  </si>
  <si>
    <t>0.706(1.7/2.5)</t>
  </si>
  <si>
    <t>Kelly Oubre Jr.</t>
  </si>
  <si>
    <t>SG/PF</t>
  </si>
  <si>
    <t>0.439(5.8/13.3)</t>
  </si>
  <si>
    <t>0.679(1.8/2.7)</t>
  </si>
  <si>
    <t>Reggie Jackson</t>
  </si>
  <si>
    <t>0.443(5.9/13.2)</t>
  </si>
  <si>
    <t>0.821(1.7/2.0)</t>
  </si>
  <si>
    <t>Pat Connaughton</t>
  </si>
  <si>
    <t>0.461(3.6/7.8)</t>
  </si>
  <si>
    <t>0.824(0.7/0.9)</t>
  </si>
  <si>
    <t>0.496(3.9/7.8)</t>
  </si>
  <si>
    <t>0.727(1.2/1.7)</t>
  </si>
  <si>
    <t>0.409(5.4/13.3)</t>
  </si>
  <si>
    <t>0.840(3.0/3.6)</t>
  </si>
  <si>
    <t>Chuma Okeke</t>
  </si>
  <si>
    <t>0.403(2.8/7.0)</t>
  </si>
  <si>
    <t>0.830(0.7/0.9)</t>
  </si>
  <si>
    <t>Seth Curry</t>
  </si>
  <si>
    <t>0.482(4.7/9.6)</t>
  </si>
  <si>
    <t>0.864(1.1/1.3)</t>
  </si>
  <si>
    <t>Kevin Huerter</t>
  </si>
  <si>
    <t>0.456(4.6/10.2)</t>
  </si>
  <si>
    <t>0.808(0.6/0.7)</t>
  </si>
  <si>
    <t>Mason Plumlee</t>
  </si>
  <si>
    <t>0.637(2.9/4.5)</t>
  </si>
  <si>
    <t>0.567(0.9/1.6)</t>
  </si>
  <si>
    <t>0.434(5.2/11.9)</t>
  </si>
  <si>
    <t>0.801(1.7/2.1)</t>
  </si>
  <si>
    <t>Darius Bazley</t>
  </si>
  <si>
    <t>0.425(4.1/9.6)</t>
  </si>
  <si>
    <t>0.716(1.7/2.4)</t>
  </si>
  <si>
    <t>0.400(5.0/12.5)</t>
  </si>
  <si>
    <t>0.845(3.0/3.5)</t>
  </si>
  <si>
    <t>Jonathan Isaac</t>
  </si>
  <si>
    <t>0.457(3.2/7.0)</t>
  </si>
  <si>
    <t>0.753(1.3/1.7)</t>
  </si>
  <si>
    <t>Jae Crowder</t>
  </si>
  <si>
    <t>0.396(3.0/7.5)</t>
  </si>
  <si>
    <t>0.773(1.0/1.3)</t>
  </si>
  <si>
    <t>Grayson Allen</t>
  </si>
  <si>
    <t>0.443(4.0/9.0)</t>
  </si>
  <si>
    <t>0.868(1.1/1.2)</t>
  </si>
  <si>
    <t>Damian Jones</t>
  </si>
  <si>
    <t>0.647(3.5/5.4)</t>
  </si>
  <si>
    <t>0.736(1.9/2.6)</t>
  </si>
  <si>
    <t>Andre Drummond</t>
  </si>
  <si>
    <t>0.577(3.2/5.5)</t>
  </si>
  <si>
    <t>0.554(1.1/2.0)</t>
  </si>
  <si>
    <t>Paul Reed</t>
  </si>
  <si>
    <t>0.561(2.5/4.5)</t>
  </si>
  <si>
    <t>0.500(0.4/0.7)</t>
  </si>
  <si>
    <t>Will Barton</t>
  </si>
  <si>
    <t>0.436(4.7/10.8)</t>
  </si>
  <si>
    <t>0.795(1.2/1.5)</t>
  </si>
  <si>
    <t>Thomas Bryant</t>
  </si>
  <si>
    <t>0.528(4.2/7.9)</t>
  </si>
  <si>
    <t>0.759(1.6/2.2)</t>
  </si>
  <si>
    <t>Immanuel Quickley</t>
  </si>
  <si>
    <t>0.415(4.0/9.6)</t>
  </si>
  <si>
    <t>0.885(2.4/2.7)</t>
  </si>
  <si>
    <t>Victor Oladipo</t>
  </si>
  <si>
    <t>0.445(5.3/11.9)</t>
  </si>
  <si>
    <t>0.751(2.2/2.9)</t>
  </si>
  <si>
    <t>0.578(4.2/7.3)</t>
  </si>
  <si>
    <t>0.610(1.8/2.9)</t>
  </si>
  <si>
    <t>Grant Williams</t>
  </si>
  <si>
    <t>0.481(2.9/6.1)</t>
  </si>
  <si>
    <t>0.878(1.2/1.3)</t>
  </si>
  <si>
    <t>0.550(2.9/5.2)</t>
  </si>
  <si>
    <t>0.540(1.4/2.7)</t>
  </si>
  <si>
    <t>Aleksej Pokusevski</t>
  </si>
  <si>
    <t>0.413(3.9/9.4)</t>
  </si>
  <si>
    <t>0.743(0.8/1.0)</t>
  </si>
  <si>
    <t>Kevin Love</t>
  </si>
  <si>
    <t>0.427(4.0/9.3)</t>
  </si>
  <si>
    <t>0.816(2.0/2.4)</t>
  </si>
  <si>
    <t>Tim Hardaway Jr.</t>
  </si>
  <si>
    <t>0.424(5.4/12.8)</t>
  </si>
  <si>
    <t>0.774(1.9/2.5)</t>
  </si>
  <si>
    <t>0.432(7.0/16.1)</t>
  </si>
  <si>
    <t>0.719(4.0/5.6)</t>
  </si>
  <si>
    <t>Killian Hayes</t>
  </si>
  <si>
    <t>0.407(3.1/7.6)</t>
  </si>
  <si>
    <t>0.813(0.9/1.1)</t>
  </si>
  <si>
    <t>Derrick Rose</t>
  </si>
  <si>
    <t>0.448(4.2/9.4)</t>
  </si>
  <si>
    <t>0.870(1.1/1.2)</t>
  </si>
  <si>
    <t>Quentin Grimes</t>
  </si>
  <si>
    <t>0.424(4.0/9.5)</t>
  </si>
  <si>
    <t>0.758(1.4/1.9)</t>
  </si>
  <si>
    <t>Kyle Anderson</t>
  </si>
  <si>
    <t>0.441(3.0/6.8)</t>
  </si>
  <si>
    <t>0.690(1.0/1.5)</t>
  </si>
  <si>
    <t>Delon Wright</t>
  </si>
  <si>
    <t>0.458(2.4/5.3)</t>
  </si>
  <si>
    <t>0.879(0.8/0.9)</t>
  </si>
  <si>
    <t>Royce O'Neale</t>
  </si>
  <si>
    <t>0.448(2.3/5.2)</t>
  </si>
  <si>
    <t>0.806(0.5/0.7)</t>
  </si>
  <si>
    <t>Deni Avdija</t>
  </si>
  <si>
    <t>0.437(3.7/8.5)</t>
  </si>
  <si>
    <t>0.773(1.4/1.8)</t>
  </si>
  <si>
    <t>Cameron Payne</t>
  </si>
  <si>
    <t>0.424(4.2/9.8)</t>
  </si>
  <si>
    <t>0.868(1.3/1.5)</t>
  </si>
  <si>
    <t>Bennedict Mathurin</t>
  </si>
  <si>
    <t>0.443(5.6/12.5)</t>
  </si>
  <si>
    <t>0.776(2.2/2.8)</t>
  </si>
  <si>
    <t>Jaxson Hayes</t>
  </si>
  <si>
    <t>0.614(3.4/5.6)</t>
  </si>
  <si>
    <t>0.778(1.8/2.3)</t>
  </si>
  <si>
    <t>Jordan Clarkson</t>
  </si>
  <si>
    <t>0.418(5.5/13.2)</t>
  </si>
  <si>
    <t>0.820(1.7/2.1)</t>
  </si>
  <si>
    <t>Talen Horton-Tucker</t>
  </si>
  <si>
    <t>0.428(3.8/8.8)</t>
  </si>
  <si>
    <t>0.808(1.7/2.1)</t>
  </si>
  <si>
    <t>Josh Richardson</t>
  </si>
  <si>
    <t>0.438(3.4/7.7)</t>
  </si>
  <si>
    <t>0.887(1.4/1.6)</t>
  </si>
  <si>
    <t>Tyus Jones</t>
  </si>
  <si>
    <t>0.447(3.5/7.7)</t>
  </si>
  <si>
    <t>0.890(0.8/0.9)</t>
  </si>
  <si>
    <t>0.448(4.0/9.0)</t>
  </si>
  <si>
    <t>0.769(2.6/3.3)</t>
  </si>
  <si>
    <t>Reggie Bullock</t>
  </si>
  <si>
    <t>0.439(3.5/8.0)</t>
  </si>
  <si>
    <t>0.851(0.6/0.7)</t>
  </si>
  <si>
    <t>Obi Toppin</t>
  </si>
  <si>
    <t>0.528(4.2/8.0)</t>
  </si>
  <si>
    <t>0.766(1.6/2.1)</t>
  </si>
  <si>
    <t>Trendon Watford</t>
  </si>
  <si>
    <t>0.505(3.4/6.7)</t>
  </si>
  <si>
    <t>0.798(1.7/2.1)</t>
  </si>
  <si>
    <t>De'Andre Hunter</t>
  </si>
  <si>
    <t>0.459(3.7/8.1)</t>
  </si>
  <si>
    <t>0.804(2.1/2.6)</t>
  </si>
  <si>
    <t>Montrezl Harrell</t>
  </si>
  <si>
    <t>0.615(4.9/7.9)</t>
  </si>
  <si>
    <t>0.703(2.0/2.9)</t>
  </si>
  <si>
    <t>Jonathan Kuminga</t>
  </si>
  <si>
    <t>0.504(4.8/9.5)</t>
  </si>
  <si>
    <t>0.715(2.2/3.1)</t>
  </si>
  <si>
    <t>Jaden Ivey</t>
  </si>
  <si>
    <t>0.448(5.2/11.7)</t>
  </si>
  <si>
    <t>0.742(3.9/5.3)</t>
  </si>
  <si>
    <t>W18</t>
  </si>
  <si>
    <t>@MIA</t>
  </si>
  <si>
    <t>@NYK</t>
  </si>
  <si>
    <t>@CLE</t>
  </si>
  <si>
    <t>BKN</t>
  </si>
  <si>
    <t>@BOS</t>
  </si>
  <si>
    <t>@HOU</t>
  </si>
  <si>
    <t>@BRO</t>
  </si>
  <si>
    <t>@TOR</t>
  </si>
  <si>
    <t>@DET</t>
  </si>
  <si>
    <t>@CHA</t>
  </si>
  <si>
    <t>@LAL</t>
  </si>
  <si>
    <t>@OKL</t>
  </si>
  <si>
    <t>@SAS</t>
  </si>
  <si>
    <t>@DAL</t>
  </si>
  <si>
    <t>@CHI</t>
  </si>
  <si>
    <t>@GSW</t>
  </si>
  <si>
    <t>@SAC</t>
  </si>
  <si>
    <t>@MEM</t>
  </si>
  <si>
    <t>@DEN</t>
  </si>
  <si>
    <t>@LAC</t>
  </si>
  <si>
    <t>@PHI</t>
  </si>
  <si>
    <t>@WAS</t>
  </si>
  <si>
    <t>@ORL</t>
  </si>
  <si>
    <t>@POR</t>
  </si>
  <si>
    <t>OKC</t>
  </si>
  <si>
    <t>@NOP</t>
  </si>
  <si>
    <t>@MIL</t>
  </si>
  <si>
    <t>@IND</t>
  </si>
  <si>
    <t>@MIN</t>
  </si>
  <si>
    <t>@ATL</t>
  </si>
  <si>
    <t>@UTA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</si>
</sst>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h:mm am/pm"/>
  </numFmts>
  <fonts count="32">
    <font>
      <sz val="10.0"/>
      <color rgb="FF000000"/>
      <name val="Arial"/>
    </font>
    <font>
      <sz val="11.0"/>
      <name val="Roboto"/>
    </font>
    <font/>
    <font>
      <b/>
      <sz val="11.0"/>
      <name val="Roboto"/>
    </font>
    <font>
      <sz val="14.0"/>
    </font>
    <font>
      <sz val="11.0"/>
      <color rgb="FF000000"/>
      <name val="Inconsolata"/>
    </font>
    <font>
      <b/>
      <sz val="12.0"/>
    </font>
    <font>
      <name val="Arial"/>
    </font>
    <font>
      <sz val="11.0"/>
      <color rgb="FF000000"/>
      <name val="Roboto"/>
    </font>
    <font>
      <b/>
    </font>
    <font>
      <b/>
      <name val="Arial"/>
    </font>
    <font>
      <sz val="36.0"/>
    </font>
    <font>
      <color rgb="FF000000"/>
      <name val="Arial"/>
    </font>
    <font>
      <sz val="11.0"/>
      <color rgb="FF1155CC"/>
      <name val="Inconsolata"/>
    </font>
    <font>
      <sz val="11.0"/>
      <color rgb="FF4285F4"/>
      <name val="Inconsolata"/>
    </font>
    <font>
      <sz val="11.0"/>
      <color rgb="FF7E3794"/>
      <name val="Inconsolata"/>
    </font>
    <font>
      <b/>
      <sz val="8.0"/>
      <color rgb="FF48494A"/>
      <name val="-apple-system"/>
    </font>
    <font>
      <sz val="9.0"/>
      <color rgb="FF009444"/>
      <name val="-apple-system"/>
    </font>
    <font>
      <sz val="9.0"/>
      <color rgb="FF797B7D"/>
      <name val="-apple-system"/>
    </font>
    <font>
      <sz val="8.0"/>
      <color rgb="FF151617"/>
      <name val="-apple-system"/>
    </font>
    <font>
      <u/>
      <sz val="8.0"/>
      <color rgb="FF151617"/>
      <name val="-apple-system"/>
    </font>
    <font>
      <sz val="9.0"/>
      <color rgb="FF6C6D6F"/>
      <name val="-apple-system"/>
    </font>
    <font>
      <sz val="9.0"/>
      <color rgb="FFCC0000"/>
      <name val="-apple-system"/>
    </font>
    <font>
      <u/>
      <sz val="8.0"/>
      <color rgb="FF151617"/>
      <name val="-apple-system"/>
    </font>
    <font>
      <u/>
      <sz val="8.0"/>
      <color rgb="FF151617"/>
      <name val="-apple-system"/>
    </font>
    <font>
      <u/>
      <sz val="8.0"/>
      <color rgb="FF151617"/>
      <name val="-apple-system"/>
    </font>
    <font>
      <u/>
      <sz val="8.0"/>
      <color rgb="FF151617"/>
      <name val="-apple-system"/>
    </font>
    <font>
      <b/>
      <sz val="11.0"/>
      <color rgb="FF333333"/>
      <name val="Oswald"/>
    </font>
    <font>
      <b/>
      <sz val="11.0"/>
      <color rgb="FF000000"/>
      <name val="Oswald"/>
    </font>
    <font>
      <sz val="11.0"/>
      <color rgb="FF333333"/>
      <name val="Oswald"/>
    </font>
    <font>
      <sz val="11.0"/>
      <color rgb="FF333333"/>
      <name val="Arial"/>
    </font>
    <font>
      <sz val="11.0"/>
      <color rgb="FF22292F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EBEBEB"/>
        <bgColor rgb="FFEBEBEB"/>
      </patternFill>
    </fill>
    <fill>
      <patternFill patternType="solid">
        <fgColor rgb="FF079B00"/>
        <bgColor rgb="FF079B00"/>
      </patternFill>
    </fill>
    <fill>
      <patternFill patternType="solid">
        <fgColor rgb="FF5CD856"/>
        <bgColor rgb="FF5CD856"/>
      </patternFill>
    </fill>
    <fill>
      <patternFill patternType="solid">
        <fgColor rgb="FFDB9D9D"/>
        <bgColor rgb="FFDB9D9D"/>
      </patternFill>
    </fill>
    <fill>
      <patternFill patternType="solid">
        <fgColor rgb="FFABE5A8"/>
        <bgColor rgb="FFABE5A8"/>
      </patternFill>
    </fill>
    <fill>
      <patternFill patternType="solid">
        <fgColor rgb="FFE70B0B"/>
        <bgColor rgb="FFE70B0B"/>
      </patternFill>
    </fill>
    <fill>
      <patternFill patternType="solid">
        <fgColor rgb="FFFEFEFE"/>
        <bgColor rgb="FFFEFEF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1" numFmtId="0" xfId="0" applyFont="1"/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0" fontId="3" numFmtId="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" fillId="0" fontId="1" numFmtId="3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2" fontId="5" numFmtId="0" xfId="0" applyAlignment="1" applyFill="1" applyFont="1">
      <alignment horizontal="left"/>
    </xf>
    <xf borderId="1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1" numFmtId="2" xfId="0" applyBorder="1" applyFont="1" applyNumberFormat="1"/>
    <xf borderId="0" fillId="2" fontId="8" numFmtId="0" xfId="0" applyAlignment="1" applyFill="1" applyFont="1">
      <alignment horizontal="right"/>
    </xf>
    <xf borderId="1" fillId="0" fontId="1" numFmtId="0" xfId="0" applyBorder="1" applyFont="1"/>
    <xf borderId="1" fillId="0" fontId="1" numFmtId="164" xfId="0" applyBorder="1" applyFont="1" applyNumberFormat="1"/>
    <xf borderId="1" fillId="2" fontId="8" numFmtId="164" xfId="0" applyAlignment="1" applyBorder="1" applyFill="1" applyFont="1" applyNumberFormat="1">
      <alignment horizontal="right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1" fillId="0" fontId="9" numFmtId="0" xfId="0" applyAlignment="1" applyBorder="1" applyFont="1">
      <alignment readingOrder="0"/>
    </xf>
    <xf borderId="1" fillId="2" fontId="8" numFmtId="2" xfId="0" applyAlignment="1" applyBorder="1" applyFill="1" applyFont="1" applyNumberFormat="1">
      <alignment horizontal="right"/>
    </xf>
    <xf borderId="0" fillId="2" fontId="5" numFmtId="0" xfId="0" applyAlignment="1" applyFill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 readingOrder="0"/>
    </xf>
    <xf borderId="0" fillId="0" fontId="3" numFmtId="0" xfId="0" applyAlignment="1" applyFont="1">
      <alignment vertical="bottom"/>
    </xf>
    <xf borderId="1" fillId="0" fontId="1" numFmtId="4" xfId="0" applyAlignment="1" applyBorder="1" applyFont="1" applyNumberFormat="1">
      <alignment horizontal="center"/>
    </xf>
    <xf borderId="0" fillId="0" fontId="2" numFmtId="2" xfId="0" applyFont="1" applyNumberFormat="1"/>
    <xf borderId="0" fillId="2" fontId="5" numFmtId="2" xfId="0" applyFill="1" applyFont="1" applyNumberFormat="1"/>
    <xf borderId="1" fillId="0" fontId="10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3" xfId="0" applyAlignment="1" applyBorder="1" applyFont="1" applyNumberFormat="1">
      <alignment horizontal="center" vertical="bottom"/>
    </xf>
    <xf borderId="1" fillId="0" fontId="1" numFmtId="2" xfId="0" applyAlignment="1" applyBorder="1" applyFont="1" applyNumberFormat="1">
      <alignment readingOrder="0"/>
    </xf>
    <xf borderId="0" fillId="2" fontId="5" numFmtId="0" xfId="0" applyFill="1" applyFont="1"/>
    <xf borderId="5" fillId="3" fontId="11" numFmtId="0" xfId="0" applyAlignment="1" applyBorder="1" applyFill="1" applyFont="1">
      <alignment readingOrder="0"/>
    </xf>
    <xf borderId="6" fillId="0" fontId="2" numFmtId="0" xfId="0" applyBorder="1" applyFont="1"/>
    <xf borderId="4" fillId="0" fontId="2" numFmtId="0" xfId="0" applyBorder="1" applyFont="1"/>
    <xf borderId="0" fillId="0" fontId="11" numFmtId="0" xfId="0" applyAlignment="1" applyFont="1">
      <alignment readingOrder="0"/>
    </xf>
    <xf borderId="5" fillId="3" fontId="4" numFmtId="0" xfId="0" applyAlignment="1" applyBorder="1" applyFill="1" applyFont="1">
      <alignment readingOrder="0"/>
    </xf>
    <xf borderId="1" fillId="2" fontId="8" numFmtId="0" xfId="0" applyAlignment="1" applyBorder="1" applyFill="1" applyFont="1">
      <alignment horizontal="center"/>
    </xf>
    <xf borderId="0" fillId="2" fontId="12" numFmtId="0" xfId="0" applyAlignment="1" applyFill="1" applyFont="1">
      <alignment horizontal="left" readingOrder="0"/>
    </xf>
    <xf borderId="1" fillId="2" fontId="8" numFmtId="2" xfId="0" applyAlignment="1" applyBorder="1" applyFill="1" applyFont="1" applyNumberFormat="1">
      <alignment horizontal="right" readingOrder="0"/>
    </xf>
    <xf borderId="0" fillId="0" fontId="2" numFmtId="4" xfId="0" applyFont="1" applyNumberFormat="1"/>
    <xf borderId="0" fillId="2" fontId="13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horizontal="right" vertical="bottom"/>
    </xf>
    <xf borderId="0" fillId="2" fontId="14" numFmtId="2" xfId="0" applyFill="1" applyFont="1" applyNumberFormat="1"/>
    <xf borderId="0" fillId="2" fontId="15" numFmtId="2" xfId="0" applyFill="1" applyFont="1" applyNumberFormat="1"/>
    <xf borderId="0" fillId="0" fontId="7" numFmtId="164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7" numFmtId="2" xfId="0" applyAlignment="1" applyFont="1" applyNumberFormat="1">
      <alignment horizontal="right" vertical="bottom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horizontal="right" readingOrder="0" vertical="bottom"/>
    </xf>
    <xf borderId="0" fillId="2" fontId="12" numFmtId="2" xfId="0" applyAlignment="1" applyFill="1" applyFont="1" applyNumberFormat="1">
      <alignment horizontal="right" vertical="bottom"/>
    </xf>
    <xf borderId="0" fillId="2" fontId="5" numFmtId="2" xfId="0" applyAlignment="1" applyFill="1" applyFont="1" applyNumberFormat="1">
      <alignment horizontal="left"/>
    </xf>
    <xf borderId="1" fillId="0" fontId="1" numFmtId="164" xfId="0" applyAlignment="1" applyBorder="1" applyFont="1" applyNumberFormat="1">
      <alignment readingOrder="0"/>
    </xf>
    <xf borderId="1" fillId="2" fontId="8" numFmtId="164" xfId="0" applyAlignment="1" applyBorder="1" applyFill="1" applyFont="1" applyNumberFormat="1">
      <alignment horizontal="right" readingOrder="0"/>
    </xf>
    <xf borderId="0" fillId="2" fontId="8" numFmtId="2" xfId="0" applyAlignment="1" applyFill="1" applyFont="1" applyNumberFormat="1">
      <alignment horizontal="right"/>
    </xf>
    <xf borderId="0" fillId="2" fontId="5" numFmtId="0" xfId="0" applyAlignment="1" applyFill="1" applyFont="1">
      <alignment horizontal="right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7" numFmtId="4" xfId="0" applyAlignment="1" applyFont="1" applyNumberFormat="1">
      <alignment vertical="bottom"/>
    </xf>
    <xf borderId="0" fillId="0" fontId="7" numFmtId="4" xfId="0" applyAlignment="1" applyFont="1" applyNumberFormat="1">
      <alignment horizontal="right" vertical="bottom"/>
    </xf>
    <xf borderId="1" fillId="2" fontId="5" numFmtId="0" xfId="0" applyAlignment="1" applyBorder="1" applyFill="1" applyFont="1">
      <alignment horizontal="center"/>
    </xf>
    <xf borderId="1" fillId="0" fontId="3" numFmtId="0" xfId="0" applyBorder="1" applyFont="1"/>
    <xf borderId="1" fillId="0" fontId="1" numFmtId="165" xfId="0" applyBorder="1" applyFont="1" applyNumberFormat="1"/>
    <xf borderId="0" fillId="2" fontId="8" numFmtId="0" xfId="0" applyAlignment="1" applyFill="1" applyFont="1">
      <alignment horizontal="left"/>
    </xf>
    <xf borderId="0" fillId="2" fontId="8" numFmtId="4" xfId="0" applyAlignment="1" applyFill="1" applyFont="1" applyNumberFormat="1">
      <alignment horizontal="left"/>
    </xf>
    <xf borderId="1" fillId="0" fontId="3" numFmtId="0" xfId="0" applyAlignment="1" applyBorder="1" applyFont="1">
      <alignment horizontal="center" readingOrder="0"/>
    </xf>
    <xf borderId="5" fillId="0" fontId="1" numFmtId="0" xfId="0" applyBorder="1" applyFont="1"/>
    <xf borderId="0" fillId="2" fontId="16" numFmtId="0" xfId="0" applyAlignment="1" applyFill="1" applyFont="1">
      <alignment horizontal="center" readingOrder="0" shrinkToFit="0" wrapText="0"/>
    </xf>
    <xf borderId="0" fillId="4" fontId="17" numFmtId="0" xfId="0" applyAlignment="1" applyFill="1" applyFont="1">
      <alignment shrinkToFit="0" wrapText="0"/>
    </xf>
    <xf borderId="0" fillId="4" fontId="18" numFmtId="0" xfId="0" applyAlignment="1" applyFill="1" applyFont="1">
      <alignment readingOrder="0" shrinkToFit="0" wrapText="0"/>
    </xf>
    <xf borderId="0" fillId="2" fontId="19" numFmtId="0" xfId="0" applyAlignment="1" applyFill="1" applyFont="1">
      <alignment horizontal="left" readingOrder="0" shrinkToFit="0" wrapText="0"/>
    </xf>
    <xf borderId="0" fillId="2" fontId="20" numFmtId="0" xfId="0" applyAlignment="1" applyFill="1" applyFont="1">
      <alignment horizontal="left" readingOrder="0" shrinkToFit="0" wrapText="0"/>
    </xf>
    <xf borderId="0" fillId="2" fontId="19" numFmtId="0" xfId="0" applyAlignment="1" applyFill="1" applyFont="1">
      <alignment horizontal="center" readingOrder="0" shrinkToFit="0" wrapText="0"/>
    </xf>
    <xf borderId="0" fillId="2" fontId="18" numFmtId="0" xfId="0" applyAlignment="1" applyFill="1" applyFont="1">
      <alignment readingOrder="0" shrinkToFit="0" wrapText="0"/>
    </xf>
    <xf borderId="0" fillId="2" fontId="17" numFmtId="0" xfId="0" applyAlignment="1" applyFill="1" applyFont="1">
      <alignment shrinkToFit="0" wrapText="0"/>
    </xf>
    <xf borderId="0" fillId="4" fontId="18" numFmtId="0" xfId="0" applyAlignment="1" applyFill="1" applyFont="1">
      <alignment horizontal="left" readingOrder="0" shrinkToFit="0" wrapText="0"/>
    </xf>
    <xf borderId="0" fillId="4" fontId="21" numFmtId="0" xfId="0" applyAlignment="1" applyFill="1" applyFont="1">
      <alignment horizontal="left" readingOrder="0" shrinkToFit="0" wrapText="0"/>
    </xf>
    <xf borderId="0" fillId="4" fontId="21" numFmtId="0" xfId="0" applyAlignment="1" applyFill="1" applyFont="1">
      <alignment horizontal="left" shrinkToFit="0" wrapText="0"/>
    </xf>
    <xf borderId="0" fillId="2" fontId="18" numFmtId="0" xfId="0" applyAlignment="1" applyFill="1" applyFont="1">
      <alignment horizontal="left" readingOrder="0" shrinkToFit="0" wrapText="0"/>
    </xf>
    <xf borderId="0" fillId="2" fontId="21" numFmtId="0" xfId="0" applyAlignment="1" applyFill="1" applyFont="1">
      <alignment horizontal="left" readingOrder="0" shrinkToFit="0" wrapText="0"/>
    </xf>
    <xf borderId="0" fillId="2" fontId="21" numFmtId="0" xfId="0" applyAlignment="1" applyFill="1" applyFont="1">
      <alignment horizontal="left" shrinkToFit="0" wrapText="0"/>
    </xf>
    <xf borderId="0" fillId="2" fontId="21" numFmtId="0" xfId="0" applyAlignment="1" applyFill="1" applyFont="1">
      <alignment horizontal="left" shrinkToFit="0" wrapText="0"/>
    </xf>
    <xf borderId="0" fillId="4" fontId="21" numFmtId="0" xfId="0" applyAlignment="1" applyFill="1" applyFont="1">
      <alignment horizontal="left" shrinkToFit="0" wrapText="0"/>
    </xf>
    <xf borderId="0" fillId="2" fontId="22" numFmtId="0" xfId="0" applyAlignment="1" applyFill="1" applyFont="1">
      <alignment readingOrder="0" shrinkToFit="0" wrapText="0"/>
    </xf>
    <xf borderId="0" fillId="4" fontId="22" numFmtId="0" xfId="0" applyAlignment="1" applyFill="1" applyFont="1">
      <alignment readingOrder="0" shrinkToFit="0" wrapText="0"/>
    </xf>
    <xf borderId="0" fillId="2" fontId="16" numFmtId="0" xfId="0" applyAlignment="1" applyFill="1" applyFont="1">
      <alignment horizontal="right" readingOrder="0" shrinkToFit="0" wrapText="0"/>
    </xf>
    <xf borderId="0" fillId="0" fontId="23" numFmtId="0" xfId="0" applyAlignment="1" applyFont="1">
      <alignment horizontal="right" readingOrder="0" shrinkToFit="0" wrapText="0"/>
    </xf>
    <xf borderId="0" fillId="0" fontId="24" numFmtId="166" xfId="0" applyAlignment="1" applyFont="1" applyNumberFormat="1">
      <alignment horizontal="right" readingOrder="0" shrinkToFit="0" wrapText="0"/>
    </xf>
    <xf borderId="0" fillId="0" fontId="25" numFmtId="0" xfId="0" applyAlignment="1" applyFont="1">
      <alignment horizontal="right" shrinkToFit="0" wrapText="0"/>
    </xf>
    <xf borderId="0" fillId="4" fontId="18" numFmtId="0" xfId="0" applyAlignment="1" applyFill="1" applyFont="1">
      <alignment horizontal="right"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7" numFmtId="0" xfId="0" applyAlignment="1" applyFont="1">
      <alignment horizontal="right" shrinkToFit="0" wrapText="0"/>
    </xf>
    <xf borderId="0" fillId="4" fontId="17" numFmtId="0" xfId="0" applyAlignment="1" applyFill="1" applyFont="1">
      <alignment horizontal="right" shrinkToFit="0" wrapText="0"/>
    </xf>
    <xf borderId="0" fillId="4" fontId="22" numFmtId="0" xfId="0" applyAlignment="1" applyFill="1" applyFont="1">
      <alignment horizontal="right" readingOrder="0" shrinkToFit="0" wrapText="0"/>
    </xf>
    <xf borderId="0" fillId="0" fontId="22" numFmtId="0" xfId="0" applyAlignment="1" applyFont="1">
      <alignment horizontal="right" readingOrder="0" shrinkToFit="0" wrapText="0"/>
    </xf>
    <xf borderId="0" fillId="2" fontId="26" numFmtId="0" xfId="0" applyAlignment="1" applyFill="1" applyFont="1">
      <alignment horizontal="right" readingOrder="0" shrinkToFit="0" wrapText="0"/>
    </xf>
    <xf borderId="0" fillId="2" fontId="18" numFmtId="0" xfId="0" applyAlignment="1" applyFill="1" applyFont="1">
      <alignment horizontal="right" readingOrder="0" shrinkToFit="0" wrapText="0"/>
    </xf>
    <xf borderId="0" fillId="5" fontId="27" numFmtId="0" xfId="0" applyAlignment="1" applyFill="1" applyFont="1">
      <alignment horizontal="center" readingOrder="0" vertical="top"/>
    </xf>
    <xf borderId="0" fillId="0" fontId="28" numFmtId="0" xfId="0" applyAlignment="1" applyFont="1">
      <alignment horizontal="center" readingOrder="0" vertical="top"/>
    </xf>
    <xf borderId="0" fillId="0" fontId="28" numFmtId="166" xfId="0" applyAlignment="1" applyFont="1" applyNumberFormat="1">
      <alignment horizontal="center" readingOrder="0" vertical="top"/>
    </xf>
    <xf borderId="0" fillId="5" fontId="29" numFmtId="0" xfId="0" applyAlignment="1" applyFill="1" applyFont="1">
      <alignment horizontal="center" readingOrder="0" vertical="top"/>
    </xf>
    <xf borderId="0" fillId="0" fontId="29" numFmtId="0" xfId="0" applyAlignment="1" applyFont="1">
      <alignment horizontal="center" readingOrder="0" vertical="top"/>
    </xf>
    <xf borderId="0" fillId="5" fontId="30" numFmtId="0" xfId="0" applyAlignment="1" applyFill="1" applyFont="1">
      <alignment horizontal="center" readingOrder="0" vertical="top"/>
    </xf>
    <xf borderId="0" fillId="6" fontId="29" numFmtId="0" xfId="0" applyAlignment="1" applyFill="1" applyFont="1">
      <alignment horizontal="center" readingOrder="0" vertical="top"/>
    </xf>
    <xf borderId="0" fillId="7" fontId="29" numFmtId="0" xfId="0" applyAlignment="1" applyFill="1" applyFont="1">
      <alignment horizontal="center" readingOrder="0" vertical="top"/>
    </xf>
    <xf borderId="0" fillId="8" fontId="29" numFmtId="0" xfId="0" applyAlignment="1" applyFill="1" applyFont="1">
      <alignment horizontal="center" readingOrder="0" vertical="top"/>
    </xf>
    <xf borderId="0" fillId="9" fontId="29" numFmtId="0" xfId="0" applyAlignment="1" applyFill="1" applyFont="1">
      <alignment horizontal="center" readingOrder="0" vertical="top"/>
    </xf>
    <xf borderId="0" fillId="10" fontId="29" numFmtId="0" xfId="0" applyAlignment="1" applyFill="1" applyFont="1">
      <alignment horizontal="center" readingOrder="0" vertical="top"/>
    </xf>
    <xf borderId="7" fillId="11" fontId="31" numFmtId="0" xfId="0" applyAlignment="1" applyBorder="1" applyFill="1" applyFont="1">
      <alignment horizontal="center" readingOrder="0" vertical="bottom"/>
    </xf>
    <xf borderId="7" fillId="11" fontId="31" numFmtId="0" xfId="0" applyAlignment="1" applyBorder="1" applyFill="1" applyFont="1">
      <alignment horizontal="center" vertical="bottom"/>
    </xf>
    <xf borderId="7" fillId="11" fontId="31" numFmtId="0" xfId="0" applyAlignment="1" applyBorder="1" applyFill="1" applyFont="1">
      <alignment horizontal="center" vertical="bottom"/>
    </xf>
    <xf borderId="0" fillId="11" fontId="31" numFmtId="0" xfId="0" applyFill="1" applyFont="1"/>
  </cellXfs>
  <cellStyles count="1">
    <cellStyle xfId="0" name="Normal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1.75"/>
    <col customWidth="1" min="3" max="3" width="16.75"/>
    <col customWidth="1" min="4" max="4" width="13.38"/>
    <col customWidth="1" min="5" max="5" width="16.13"/>
    <col customWidth="1" min="6" max="6" width="14.5"/>
    <col customWidth="1" min="7" max="7" width="14.88"/>
    <col customWidth="1" min="8" max="8" width="16.88"/>
    <col customWidth="1" min="9" max="9" width="15.63"/>
    <col customWidth="1" min="10" max="10" width="14.88"/>
    <col customWidth="1" min="11" max="11" width="13.25"/>
    <col customWidth="1" min="12" max="12" width="14.38"/>
    <col customWidth="1" min="13" max="13" width="13.88"/>
    <col customWidth="1" min="14" max="14" width="16.88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7" t="s">
        <v>6</v>
      </c>
      <c r="B2" s="4" t="s">
        <v>11</v>
      </c>
      <c r="C2" s="4" t="s">
        <v>14</v>
      </c>
      <c r="D2" s="4" t="s">
        <v>16</v>
      </c>
      <c r="E2" s="7" t="s">
        <v>18</v>
      </c>
      <c r="F2" s="7" t="s">
        <v>20</v>
      </c>
      <c r="G2" s="7" t="s">
        <v>21</v>
      </c>
      <c r="H2" s="7" t="s">
        <v>22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30</v>
      </c>
    </row>
    <row r="3">
      <c r="A3" s="10">
        <v>1.0</v>
      </c>
      <c r="B3" s="12" t="b">
        <v>0</v>
      </c>
      <c r="C3" s="12" t="s">
        <v>39</v>
      </c>
      <c r="D3" s="12" t="s">
        <v>41</v>
      </c>
      <c r="E3" s="17" t="s">
        <v>42</v>
      </c>
      <c r="F3" s="17" t="s">
        <v>44</v>
      </c>
      <c r="G3" s="17" t="s">
        <v>45</v>
      </c>
      <c r="H3" s="17" t="s">
        <v>46</v>
      </c>
      <c r="I3" s="17" t="s">
        <v>47</v>
      </c>
      <c r="J3" s="17" t="s">
        <v>48</v>
      </c>
      <c r="K3" s="17" t="s">
        <v>49</v>
      </c>
      <c r="L3" s="17" t="s">
        <v>50</v>
      </c>
      <c r="M3" s="17" t="s">
        <v>51</v>
      </c>
      <c r="N3" s="17"/>
    </row>
    <row r="4">
      <c r="A4" s="10">
        <v>2.0</v>
      </c>
      <c r="B4" s="12" t="b">
        <v>0</v>
      </c>
      <c r="C4" s="12" t="s">
        <v>52</v>
      </c>
      <c r="D4" s="12" t="s">
        <v>53</v>
      </c>
      <c r="E4" s="17" t="s">
        <v>54</v>
      </c>
      <c r="F4" s="17" t="s">
        <v>55</v>
      </c>
      <c r="G4" s="17" t="s">
        <v>56</v>
      </c>
      <c r="H4" s="17" t="s">
        <v>57</v>
      </c>
      <c r="I4" s="17" t="s">
        <v>58</v>
      </c>
      <c r="J4" s="17" t="s">
        <v>59</v>
      </c>
      <c r="K4" s="17" t="s">
        <v>60</v>
      </c>
      <c r="L4" s="17"/>
      <c r="M4" s="17"/>
      <c r="N4" s="17"/>
      <c r="O4" s="2" t="s">
        <v>61</v>
      </c>
    </row>
    <row r="5">
      <c r="A5" s="10">
        <v>3.0</v>
      </c>
      <c r="B5" s="12" t="b">
        <v>0</v>
      </c>
      <c r="C5" s="12" t="s">
        <v>62</v>
      </c>
      <c r="D5" s="12" t="s">
        <v>63</v>
      </c>
      <c r="E5" s="17" t="s">
        <v>64</v>
      </c>
      <c r="F5" s="17" t="s">
        <v>65</v>
      </c>
      <c r="G5" s="17" t="s">
        <v>66</v>
      </c>
      <c r="H5" s="17" t="s">
        <v>68</v>
      </c>
      <c r="I5" s="17" t="s">
        <v>69</v>
      </c>
      <c r="J5" s="17" t="s">
        <v>72</v>
      </c>
      <c r="K5" s="17" t="s">
        <v>75</v>
      </c>
      <c r="L5" s="17" t="s">
        <v>78</v>
      </c>
      <c r="M5" s="17" t="s">
        <v>80</v>
      </c>
      <c r="N5" s="17"/>
    </row>
    <row r="6">
      <c r="A6" s="10">
        <v>4.0</v>
      </c>
      <c r="B6" s="12" t="b">
        <v>0</v>
      </c>
      <c r="C6" s="12" t="s">
        <v>85</v>
      </c>
      <c r="D6" s="12" t="s">
        <v>86</v>
      </c>
      <c r="E6" s="17" t="s">
        <v>87</v>
      </c>
      <c r="F6" s="17" t="s">
        <v>88</v>
      </c>
      <c r="G6" s="17" t="s">
        <v>89</v>
      </c>
      <c r="H6" s="17" t="s">
        <v>91</v>
      </c>
      <c r="I6" s="17" t="s">
        <v>94</v>
      </c>
      <c r="J6" s="17" t="s">
        <v>97</v>
      </c>
      <c r="K6" s="17" t="s">
        <v>99</v>
      </c>
      <c r="L6" s="17" t="s">
        <v>101</v>
      </c>
      <c r="M6" s="17" t="s">
        <v>104</v>
      </c>
      <c r="N6" s="17"/>
    </row>
    <row r="7">
      <c r="A7" s="10">
        <v>5.0</v>
      </c>
      <c r="B7" s="12" t="b">
        <v>0</v>
      </c>
      <c r="C7" s="12" t="s">
        <v>105</v>
      </c>
      <c r="D7" s="12" t="s">
        <v>106</v>
      </c>
      <c r="E7" s="17" t="s">
        <v>107</v>
      </c>
      <c r="F7" s="17" t="s">
        <v>108</v>
      </c>
      <c r="G7" s="17" t="s">
        <v>109</v>
      </c>
      <c r="H7" s="17" t="s">
        <v>110</v>
      </c>
      <c r="I7" s="17" t="s">
        <v>111</v>
      </c>
      <c r="J7" s="17" t="s">
        <v>112</v>
      </c>
      <c r="K7" s="17" t="s">
        <v>113</v>
      </c>
      <c r="L7" s="17" t="s">
        <v>114</v>
      </c>
      <c r="M7" s="17" t="s">
        <v>115</v>
      </c>
      <c r="N7" s="17"/>
    </row>
    <row r="8">
      <c r="A8" s="10">
        <v>6.0</v>
      </c>
      <c r="B8" s="12" t="b">
        <v>1</v>
      </c>
      <c r="C8" s="12" t="s">
        <v>116</v>
      </c>
      <c r="D8" s="12" t="s">
        <v>117</v>
      </c>
      <c r="E8" s="17" t="s">
        <v>118</v>
      </c>
      <c r="F8" s="17" t="s">
        <v>119</v>
      </c>
      <c r="G8" s="17" t="s">
        <v>120</v>
      </c>
      <c r="H8" s="17" t="s">
        <v>121</v>
      </c>
      <c r="I8" s="17" t="s">
        <v>122</v>
      </c>
      <c r="J8" s="17" t="s">
        <v>123</v>
      </c>
      <c r="K8" s="17" t="s">
        <v>124</v>
      </c>
      <c r="L8" s="17" t="s">
        <v>125</v>
      </c>
      <c r="M8" s="17" t="s">
        <v>126</v>
      </c>
      <c r="N8" s="17"/>
    </row>
    <row r="9">
      <c r="A9" s="10">
        <v>7.0</v>
      </c>
      <c r="B9" s="12" t="b">
        <v>0</v>
      </c>
      <c r="C9" s="12" t="s">
        <v>127</v>
      </c>
      <c r="D9" s="12" t="s">
        <v>128</v>
      </c>
      <c r="E9" s="17" t="s">
        <v>129</v>
      </c>
      <c r="F9" s="17" t="s">
        <v>130</v>
      </c>
      <c r="G9" s="17" t="s">
        <v>131</v>
      </c>
      <c r="H9" s="17" t="s">
        <v>132</v>
      </c>
      <c r="I9" s="17" t="s">
        <v>133</v>
      </c>
      <c r="J9" s="17" t="s">
        <v>134</v>
      </c>
      <c r="K9" s="17" t="s">
        <v>135</v>
      </c>
      <c r="L9" s="17" t="s">
        <v>136</v>
      </c>
      <c r="M9" s="17" t="s">
        <v>137</v>
      </c>
      <c r="N9" s="17"/>
      <c r="O9" s="2"/>
    </row>
    <row r="10">
      <c r="A10" s="10">
        <v>8.0</v>
      </c>
      <c r="B10" s="12" t="b">
        <v>0</v>
      </c>
      <c r="C10" s="12" t="s">
        <v>138</v>
      </c>
      <c r="D10" s="12" t="s">
        <v>139</v>
      </c>
      <c r="E10" s="17" t="s">
        <v>140</v>
      </c>
      <c r="F10" s="17" t="s">
        <v>141</v>
      </c>
      <c r="G10" s="17" t="s">
        <v>142</v>
      </c>
      <c r="H10" s="17" t="s">
        <v>143</v>
      </c>
      <c r="I10" s="17" t="s">
        <v>144</v>
      </c>
      <c r="J10" s="17" t="s">
        <v>145</v>
      </c>
      <c r="K10" s="17" t="s">
        <v>146</v>
      </c>
      <c r="L10" s="17" t="s">
        <v>147</v>
      </c>
      <c r="M10" s="17" t="s">
        <v>148</v>
      </c>
      <c r="N10" s="17"/>
    </row>
    <row r="11">
      <c r="A11" s="10">
        <v>9.0</v>
      </c>
      <c r="B11" s="12" t="b">
        <v>0</v>
      </c>
      <c r="C11" s="12" t="s">
        <v>149</v>
      </c>
      <c r="D11" s="12" t="s">
        <v>150</v>
      </c>
      <c r="E11" s="17" t="s">
        <v>151</v>
      </c>
      <c r="F11" s="17" t="s">
        <v>152</v>
      </c>
      <c r="G11" s="17" t="s">
        <v>153</v>
      </c>
      <c r="H11" s="17" t="s">
        <v>154</v>
      </c>
      <c r="I11" s="17" t="s">
        <v>155</v>
      </c>
      <c r="J11" s="17" t="s">
        <v>156</v>
      </c>
      <c r="K11" s="17" t="s">
        <v>157</v>
      </c>
      <c r="L11" s="17" t="s">
        <v>158</v>
      </c>
      <c r="M11" s="17" t="s">
        <v>159</v>
      </c>
      <c r="N11" s="17"/>
    </row>
    <row r="12">
      <c r="A12" s="10">
        <v>10.0</v>
      </c>
      <c r="B12" s="12" t="b">
        <v>0</v>
      </c>
      <c r="C12" s="12" t="s">
        <v>160</v>
      </c>
      <c r="D12" s="12" t="s">
        <v>161</v>
      </c>
      <c r="E12" s="17" t="s">
        <v>162</v>
      </c>
      <c r="F12" s="17" t="s">
        <v>163</v>
      </c>
      <c r="G12" s="17" t="s">
        <v>164</v>
      </c>
      <c r="H12" s="17" t="s">
        <v>165</v>
      </c>
      <c r="I12" s="17" t="s">
        <v>166</v>
      </c>
      <c r="J12" s="17" t="s">
        <v>167</v>
      </c>
      <c r="K12" s="17" t="s">
        <v>168</v>
      </c>
      <c r="L12" s="17" t="s">
        <v>169</v>
      </c>
      <c r="M12" s="17" t="s">
        <v>170</v>
      </c>
      <c r="N12" s="17"/>
    </row>
    <row r="13">
      <c r="A13" s="10">
        <v>11.0</v>
      </c>
      <c r="B13" s="12" t="b">
        <v>0</v>
      </c>
      <c r="C13" s="12" t="s">
        <v>171</v>
      </c>
      <c r="D13" s="12" t="s">
        <v>172</v>
      </c>
      <c r="E13" s="17" t="s">
        <v>173</v>
      </c>
      <c r="F13" s="17" t="s">
        <v>174</v>
      </c>
      <c r="G13" s="17" t="s">
        <v>175</v>
      </c>
      <c r="H13" s="17" t="s">
        <v>176</v>
      </c>
      <c r="I13" s="17" t="s">
        <v>177</v>
      </c>
      <c r="J13" s="17" t="s">
        <v>178</v>
      </c>
      <c r="K13" s="17" t="s">
        <v>179</v>
      </c>
      <c r="L13" s="17" t="s">
        <v>180</v>
      </c>
      <c r="M13" s="17" t="s">
        <v>181</v>
      </c>
      <c r="N13" s="17" t="s">
        <v>182</v>
      </c>
    </row>
    <row r="14">
      <c r="A14" s="10">
        <v>12.0</v>
      </c>
      <c r="B14" s="12" t="b">
        <v>0</v>
      </c>
      <c r="C14" s="12" t="s">
        <v>183</v>
      </c>
      <c r="D14" s="12" t="s">
        <v>184</v>
      </c>
      <c r="E14" s="17" t="s">
        <v>185</v>
      </c>
      <c r="F14" s="17" t="s">
        <v>186</v>
      </c>
      <c r="G14" s="17" t="s">
        <v>187</v>
      </c>
      <c r="H14" s="17" t="s">
        <v>188</v>
      </c>
      <c r="I14" s="17" t="s">
        <v>189</v>
      </c>
      <c r="J14" s="17" t="s">
        <v>190</v>
      </c>
      <c r="K14" s="17" t="s">
        <v>191</v>
      </c>
      <c r="L14" s="17" t="s">
        <v>192</v>
      </c>
      <c r="M14" s="17" t="s">
        <v>193</v>
      </c>
      <c r="N14" s="17" t="s">
        <v>194</v>
      </c>
    </row>
    <row r="15">
      <c r="A15" s="28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>
      <c r="A16" s="28"/>
      <c r="B16" s="30" t="s">
        <v>195</v>
      </c>
      <c r="C16" s="33" t="str">
        <f>IF(B3=TRUE,"1",IF(B4=TRUE,"2", IF(B5=True, "3",IF(B6=True, "4",IF(B7=True, "5",IF(B8=True, "6",IF(B9=True, "7",IF(B10=True, "8",IF(B11=True, "9",IF(B12=True, "10",IF(B13=True, "11",IF(B14=True, "12"))))))))))))</f>
        <v>6</v>
      </c>
      <c r="D16" s="33" t="str">
        <f>IF(B3=TRUE,"24",IF(B4=TRUE,"23", IF(B5=True, "22",IF(B6=True, "21",IF(B7=True, "20",IF(B8=True, "19",IF(B9=True, "18",IF(B10=True, "17",IF(B11=True, "16",IF(B12=True, "15",IF(B13=True, "14",IF(B14=True, "13"))))))))))))</f>
        <v>19</v>
      </c>
      <c r="E16" s="34" t="str">
        <f>IF(B3=TRUE,"25",IF(B4=TRUE,"26", IF(B5=True, "27",IF(B6=True, "28",IF(B7=True, "29",IF(B8=True, "30",IF(B9=True, "31",IF(B10=True, "32",IF(B11=True, "33",IF(B12=True, "34",IF(B13=True, "35",IF(B14=True, "36"))))))))))))</f>
        <v>30</v>
      </c>
      <c r="F16" s="34" t="str">
        <f>IF(B3=TRUE,"48",IF(B4=TRUE,"47", IF(B5=True, "46",IF(B6=True, "45",IF(B7=True, "44",IF(B8=True, "43",IF(B9=True, "42",IF(B10=True, "41",IF(B11=True, "40",IF(B12=True, "39",IF(B13=True, "38",IF(B14=True, "37"))))))))))))</f>
        <v>43</v>
      </c>
      <c r="G16" s="36" t="str">
        <f>IF(B3=TRUE,"49",IF(B4=TRUE,"50", IF(B5=True, "51",IF(B6=True, "52",IF(B7=True, "53",IF(B8=True, "54",IF(B9=True, "55",IF(B10=True, "56",IF(B11=True, "57",IF(B12=True, "58",IF(B13=True, "59",IF(B14=True, "60"))))))))))))</f>
        <v>54</v>
      </c>
      <c r="H16" s="36" t="str">
        <f>IF(B3=TRUE,"72",IF(B4=TRUE,"71", IF(B5=True, "70",IF(B6=True, "69",IF(B7=True, "68",IF(B8=True, "67",IF(B9=True, "66",IF(B10=True, "65",IF(B11=True, "64",IF(B12=True, "63",IF(B13=True, "62",IF(B14=True, "61"))))))))))))</f>
        <v>67</v>
      </c>
      <c r="I16" s="36" t="str">
        <f>IF(B3=TRUE,"73",IF(B4=TRUE,"74", IF(B5=True, "75",IF(B6=True, "76",IF(B7=True, "77",IF(B8=True, "78",IF(B9=True, "79",IF(B10=True, "80",IF(B11=True, "81",IF(B12=True, "82",IF(B13=True, "83",IF(B14=True, "84"))))))))))))</f>
        <v>78</v>
      </c>
      <c r="J16" s="36" t="str">
        <f>IF(B3=TRUE,"96",IF(B4=TRUE,"95", IF(B5=True, "94",IF(B6=True, "93",IF(B7=True, "92",IF(B8=True, "91",IF(B9=True, "90",IF(B10=True, "89",IF(B11=True, "88",IF(B12=True, "87",IF(B13=True, "86",IF(B14=True, "85"))))))))))))</f>
        <v>91</v>
      </c>
      <c r="K16" s="36" t="str">
        <f>IF(B3=TRUE,"97",IF(B4=TRUE,"98", IF(B5=True, "99",IF(B6=True, "100",IF(B7=True, "101",IF(B8=True, "102",IF(B9=True, "103",IF(B10=True, "104",IF(B11=True, "105",IF(B12=True, "106",IF(B13=True, "107",IF(B14=True, "108"))))))))))))</f>
        <v>102</v>
      </c>
      <c r="L16" s="36" t="str">
        <f>IF(B3=TRUE,"120",IF(B4=TRUE,"119", IF(B5=True, "118",IF(B6=True, "117",IF(B7=True, "116",IF(B8=True, "115",IF(B9=True, "114",IF(B10=True, "113",IF(B11=True, "112",IF(B12=True, "111",IF(B13=True, "110",IF(B14=True, "109"))))))))))))</f>
        <v>115</v>
      </c>
      <c r="M16" s="36" t="str">
        <f>IF(B3=TRUE,"121",IF(B4=TRUE,"122", IF(B5=True, "123",IF(B6=True, "124",IF(B7=True, "125",IF(B8=True, "126",IF(B9=True, "127",IF(B10=True, "128",IF(B11=True, "129",IF(B12=True, "130",IF(B13=True, "131",IF(B14=True, "132"))))))))))))</f>
        <v>126</v>
      </c>
      <c r="N16" s="36" t="str">
        <f>IF(B3=TRUE,"144",IF(B4=TRUE,"143", IF(B5=True, "142",IF(B6=True, "141",IF(B7=True, "140",IF(B8=True, "139",IF(B9=True, "138",IF(B10=True, "137",IF(B11=True, "136",IF(B12=True, "135",IF(B13=True, "134",IF(B14=True, "133"))))))))))))</f>
        <v>139</v>
      </c>
    </row>
    <row r="17">
      <c r="A17" s="29"/>
      <c r="B17" s="39" t="s">
        <v>196</v>
      </c>
      <c r="C17" s="40" t="str">
        <f t="shared" ref="C17:D17" si="1">C16</f>
        <v>6</v>
      </c>
      <c r="D17" s="40" t="str">
        <f t="shared" si="1"/>
        <v>19</v>
      </c>
      <c r="E17" s="41">
        <f>E16+IF($B$3,11, IF($B$4,9,IF($B$5,7,IF($B$6,5,IF($B$7,3,IF($B$8,1,IF($B$9,-1,IF($B$10,-3,IF($B$11,-5,IF($B$12,-7, IF($B$13,-9, IF($B$14,-11))))))))))))</f>
        <v>31</v>
      </c>
      <c r="F17" s="41">
        <f>F16-IF($B$3,11, IF($B$4,9,IF($B$5,7,IF($B$6,5,IF($B$7,3,IF($B$8,1,IF($B$9,-1,IF($B$10,-3,IF($B$11,-5,IF($B$12,-7, IF($B$13,-9, IF($B$14,-11))))))))))))</f>
        <v>42</v>
      </c>
      <c r="G17" s="41">
        <f>G16+IF($B$3,11, IF($B$4,9,IF($B$5,7,IF($B$6,5,IF($B$7,3,IF($B$8,1,IF($B$9,-1,IF($B$10,-3,IF($B$11,-5,IF($B$12,-7, IF($B$13,-9, IF($B$14,-11))))))))))))</f>
        <v>55</v>
      </c>
      <c r="H17" s="41">
        <f>H16-IF($B$3,11, IF($B$4,9,IF($B$5,7,IF($B$6,5,IF($B$7,3,IF($B$8,1,IF($B$9,-1,IF($B$10,-3,IF($B$11,-5,IF($B$12,-7, IF($B$13,-9, IF($B$14,-11))))))))))))</f>
        <v>66</v>
      </c>
      <c r="I17" s="41">
        <f>I16+IF($B$3,11, IF($B$4,9,IF($B$5,7,IF($B$6,5,IF($B$7,3,IF($B$8,1,IF($B$9,-1,IF($B$10,-3,IF($B$11,-5,IF($B$12,-7, IF($B$13,-9, IF($B$14,-11))))))))))))</f>
        <v>79</v>
      </c>
      <c r="J17" s="41">
        <f>J16-IF($B$3,11, IF($B$4,9,IF($B$5,7,IF($B$6,5,IF($B$7,3,IF($B$8,1,IF($B$9,-1,IF($B$10,-3,IF($B$11,-5,IF($B$12,-7, IF($B$13,-9, IF($B$14,-11))))))))))))</f>
        <v>90</v>
      </c>
      <c r="K17" s="41">
        <f>K16+IF($B$3,11, IF($B$4,9,IF($B$5,7,IF($B$6,5,IF($B$7,3,IF($B$8,1,IF($B$9,-1,IF($B$10,-3,IF($B$11,-5,IF($B$12,-7, IF($B$13,-9, IF($B$14,-11))))))))))))</f>
        <v>103</v>
      </c>
      <c r="L17" s="41">
        <f>L16-IF($B$3,11, IF($B$4,9,IF($B$5,7,IF($B$6,5,IF($B$7,3,IF($B$8,1,IF($B$9,-1,IF($B$10,-3,IF($B$11,-5,IF($B$12,-7, IF($B$13,-9, IF($B$14,-11))))))))))))</f>
        <v>114</v>
      </c>
      <c r="M17" s="41">
        <f>M16+IF($B$3,11, IF($B$4,9,IF($B$5,7,IF($B$6,5,IF($B$7,3,IF($B$8,1,IF($B$9,-1,IF($B$10,-3,IF($B$11,-5,IF($B$12,-7, IF($B$13,-9, IF($B$14,-11))))))))))))</f>
        <v>127</v>
      </c>
      <c r="N17" s="41">
        <f>N16-IF($B$3,11, IF($B$4,9,IF($B$5,7,IF($B$6,5,IF($B$7,3,IF($B$8,1,IF($B$9,-1,IF($B$10,-3,IF($B$11,-5,IF($B$12,-7, IF($B$13,-9, IF($B$14,-11))))))))))))</f>
        <v>138</v>
      </c>
    </row>
    <row r="18">
      <c r="A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>
      <c r="A19" s="29"/>
      <c r="C19" s="44" t="s">
        <v>197</v>
      </c>
      <c r="D19" s="45"/>
      <c r="E19" s="46"/>
      <c r="F19" s="47"/>
      <c r="G19" s="29"/>
      <c r="H19" s="29"/>
      <c r="I19" s="29"/>
      <c r="J19" s="29"/>
      <c r="K19" s="29"/>
      <c r="L19" s="29"/>
      <c r="M19" s="29"/>
      <c r="N19" s="29"/>
    </row>
    <row r="20">
      <c r="A20" s="29"/>
      <c r="C20" s="48" t="s">
        <v>198</v>
      </c>
      <c r="D20" s="46"/>
      <c r="E20" s="47"/>
      <c r="F20" s="47"/>
      <c r="G20" s="29"/>
      <c r="H20" s="29"/>
      <c r="I20" s="29"/>
      <c r="J20" s="29"/>
      <c r="K20" s="29"/>
      <c r="L20" s="29"/>
      <c r="M20" s="29"/>
      <c r="N20" s="29"/>
    </row>
    <row r="21">
      <c r="A21" s="29"/>
      <c r="C21" s="47"/>
      <c r="D21" s="47"/>
      <c r="E21" s="47"/>
      <c r="F21" s="47"/>
      <c r="G21" s="29"/>
      <c r="H21" s="29"/>
      <c r="I21" s="29"/>
      <c r="J21" s="29"/>
      <c r="K21" s="29"/>
      <c r="L21" s="29"/>
      <c r="M21" s="29"/>
      <c r="N21" s="29"/>
    </row>
    <row r="22">
      <c r="A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>
      <c r="A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>
      <c r="A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>
      <c r="A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>
      <c r="A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>
      <c r="A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>
      <c r="A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>
      <c r="A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>
      <c r="A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>
      <c r="A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>
      <c r="A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>
      <c r="A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>
      <c r="A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>
      <c r="A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>
      <c r="A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>
      <c r="A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>
      <c r="A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>
      <c r="A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>
      <c r="A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>
      <c r="A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>
      <c r="A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>
      <c r="A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>
      <c r="A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>
      <c r="A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>
      <c r="A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>
      <c r="A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>
      <c r="A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>
      <c r="A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>
      <c r="A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>
      <c r="A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>
      <c r="A52" s="29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>
      <c r="A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>
      <c r="A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55">
      <c r="A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>
      <c r="A56" s="29"/>
      <c r="E56" s="29"/>
      <c r="F56" s="29"/>
      <c r="G56" s="29"/>
      <c r="H56" s="29"/>
      <c r="I56" s="29"/>
      <c r="J56" s="29"/>
      <c r="K56" s="29"/>
      <c r="L56" s="29"/>
      <c r="M56" s="29"/>
      <c r="N56" s="29"/>
    </row>
    <row r="57">
      <c r="A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>
      <c r="A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>
      <c r="A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>
      <c r="A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>
      <c r="A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>
      <c r="A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>
      <c r="A63" s="29"/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>
      <c r="A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>
      <c r="A65" s="29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>
      <c r="A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>
      <c r="A67" s="29"/>
      <c r="E67" s="29"/>
      <c r="F67" s="29"/>
      <c r="G67" s="29"/>
      <c r="H67" s="29"/>
      <c r="I67" s="29"/>
      <c r="J67" s="29"/>
      <c r="K67" s="29"/>
      <c r="L67" s="29"/>
      <c r="M67" s="29"/>
      <c r="N67" s="29"/>
    </row>
    <row r="68">
      <c r="A68" s="29"/>
      <c r="E68" s="29"/>
      <c r="F68" s="29"/>
      <c r="G68" s="29"/>
      <c r="H68" s="29"/>
      <c r="I68" s="29"/>
      <c r="J68" s="29"/>
      <c r="K68" s="29"/>
      <c r="L68" s="29"/>
      <c r="M68" s="29"/>
      <c r="N68" s="29"/>
    </row>
    <row r="69">
      <c r="A69" s="29"/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0">
      <c r="A70" s="29"/>
      <c r="E70" s="29"/>
      <c r="F70" s="29"/>
      <c r="G70" s="29"/>
      <c r="H70" s="29"/>
      <c r="I70" s="29"/>
      <c r="J70" s="29"/>
      <c r="K70" s="29"/>
      <c r="L70" s="29"/>
      <c r="M70" s="29"/>
      <c r="N70" s="29"/>
    </row>
    <row r="71">
      <c r="A71" s="29"/>
      <c r="E71" s="29"/>
      <c r="F71" s="29"/>
      <c r="G71" s="29"/>
      <c r="H71" s="29"/>
      <c r="I71" s="29"/>
      <c r="J71" s="29"/>
      <c r="K71" s="29"/>
      <c r="L71" s="29"/>
      <c r="M71" s="29"/>
      <c r="N71" s="29"/>
    </row>
    <row r="72">
      <c r="A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>
      <c r="A73" s="29"/>
      <c r="E73" s="29"/>
      <c r="F73" s="29"/>
      <c r="G73" s="29"/>
      <c r="H73" s="29"/>
      <c r="I73" s="29"/>
      <c r="J73" s="29"/>
      <c r="K73" s="29"/>
      <c r="L73" s="29"/>
      <c r="M73" s="29"/>
      <c r="N73" s="29"/>
    </row>
    <row r="74">
      <c r="A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>
      <c r="A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6">
      <c r="A76" s="29"/>
      <c r="E76" s="29"/>
      <c r="F76" s="29"/>
      <c r="G76" s="29"/>
      <c r="H76" s="29"/>
      <c r="I76" s="29"/>
      <c r="J76" s="29"/>
      <c r="K76" s="29"/>
      <c r="L76" s="29"/>
      <c r="M76" s="29"/>
      <c r="N76" s="29"/>
    </row>
    <row r="77">
      <c r="A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>
      <c r="A78" s="29"/>
      <c r="E78" s="29"/>
      <c r="F78" s="29"/>
      <c r="G78" s="29"/>
      <c r="H78" s="29"/>
      <c r="I78" s="29"/>
      <c r="J78" s="29"/>
      <c r="K78" s="29"/>
      <c r="L78" s="29"/>
      <c r="M78" s="29"/>
      <c r="N78" s="29"/>
    </row>
    <row r="79">
      <c r="A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>
      <c r="A80" s="29"/>
      <c r="E80" s="29"/>
      <c r="F80" s="29"/>
      <c r="G80" s="29"/>
      <c r="H80" s="29"/>
      <c r="I80" s="29"/>
      <c r="J80" s="29"/>
      <c r="K80" s="29"/>
      <c r="L80" s="29"/>
      <c r="M80" s="29"/>
      <c r="N80" s="29"/>
    </row>
    <row r="81">
      <c r="A81" s="29"/>
      <c r="E81" s="29"/>
      <c r="F81" s="29"/>
      <c r="G81" s="29"/>
      <c r="H81" s="29"/>
      <c r="I81" s="29"/>
      <c r="J81" s="29"/>
      <c r="K81" s="29"/>
      <c r="L81" s="29"/>
      <c r="M81" s="29"/>
      <c r="N81" s="29"/>
    </row>
    <row r="82">
      <c r="A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>
      <c r="A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>
      <c r="A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>
      <c r="A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>
      <c r="A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>
      <c r="A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>
      <c r="A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>
      <c r="A89" s="29"/>
      <c r="E89" s="29"/>
      <c r="F89" s="29"/>
      <c r="G89" s="29"/>
      <c r="H89" s="29"/>
      <c r="I89" s="29"/>
      <c r="J89" s="29"/>
      <c r="K89" s="29"/>
      <c r="L89" s="29"/>
      <c r="M89" s="29"/>
      <c r="N89" s="29"/>
    </row>
    <row r="90">
      <c r="A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>
      <c r="A91" s="29"/>
      <c r="E91" s="29"/>
      <c r="F91" s="29"/>
      <c r="G91" s="29"/>
      <c r="H91" s="29"/>
      <c r="I91" s="29"/>
      <c r="J91" s="29"/>
      <c r="K91" s="29"/>
      <c r="L91" s="29"/>
      <c r="M91" s="29"/>
      <c r="N91" s="29"/>
    </row>
    <row r="92">
      <c r="A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>
      <c r="A93" s="29"/>
      <c r="E93" s="29"/>
      <c r="F93" s="29"/>
      <c r="G93" s="29"/>
      <c r="H93" s="29"/>
      <c r="I93" s="29"/>
      <c r="J93" s="29"/>
      <c r="K93" s="29"/>
      <c r="L93" s="29"/>
      <c r="M93" s="29"/>
      <c r="N93" s="29"/>
    </row>
    <row r="94">
      <c r="A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  <row r="95">
      <c r="A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>
      <c r="A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>
      <c r="A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>
      <c r="A98" s="29"/>
      <c r="E98" s="29"/>
      <c r="F98" s="29"/>
      <c r="G98" s="29"/>
      <c r="H98" s="29"/>
      <c r="I98" s="29"/>
      <c r="J98" s="29"/>
      <c r="K98" s="29"/>
      <c r="L98" s="29"/>
      <c r="M98" s="29"/>
      <c r="N98" s="29"/>
    </row>
    <row r="99">
      <c r="A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>
      <c r="A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</row>
    <row r="101">
      <c r="A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>
      <c r="A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</row>
    <row r="103">
      <c r="A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>
      <c r="A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>
      <c r="A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</row>
    <row r="106">
      <c r="A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</row>
    <row r="107">
      <c r="A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</row>
    <row r="108">
      <c r="A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>
      <c r="A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>
      <c r="A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>
      <c r="A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>
      <c r="A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>
      <c r="A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>
      <c r="A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>
      <c r="A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>
      <c r="A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>
      <c r="A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>
      <c r="A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>
      <c r="A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>
      <c r="A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>
      <c r="A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>
      <c r="A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>
      <c r="A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>
      <c r="A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  <row r="125">
      <c r="A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</row>
    <row r="126">
      <c r="A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</row>
    <row r="127">
      <c r="A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</row>
    <row r="128">
      <c r="A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29">
      <c r="A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</row>
    <row r="130">
      <c r="A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</row>
    <row r="131">
      <c r="A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</row>
    <row r="132">
      <c r="A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</row>
    <row r="133">
      <c r="A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</row>
    <row r="134">
      <c r="A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</row>
    <row r="135">
      <c r="A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</row>
    <row r="136">
      <c r="A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</row>
    <row r="137">
      <c r="A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</row>
    <row r="138">
      <c r="A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</row>
    <row r="139">
      <c r="A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</row>
    <row r="140">
      <c r="A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</row>
    <row r="141">
      <c r="A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</row>
    <row r="142">
      <c r="A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</row>
    <row r="143">
      <c r="A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</row>
    <row r="144">
      <c r="A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</row>
    <row r="145">
      <c r="A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</row>
    <row r="146">
      <c r="A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</row>
    <row r="147">
      <c r="A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</row>
    <row r="148">
      <c r="A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</row>
    <row r="149">
      <c r="A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</row>
    <row r="150">
      <c r="A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</row>
    <row r="151">
      <c r="A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</row>
    <row r="152">
      <c r="A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</row>
    <row r="153">
      <c r="A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</row>
    <row r="154">
      <c r="A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</row>
    <row r="155">
      <c r="A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</row>
    <row r="156">
      <c r="A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</row>
    <row r="157">
      <c r="A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</row>
    <row r="158">
      <c r="A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</row>
    <row r="159">
      <c r="A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</row>
    <row r="160">
      <c r="A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</row>
    <row r="161">
      <c r="A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</row>
    <row r="162">
      <c r="A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</row>
    <row r="163">
      <c r="A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</row>
    <row r="164">
      <c r="A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</row>
    <row r="165">
      <c r="A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</row>
    <row r="166">
      <c r="A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</row>
    <row r="167">
      <c r="A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</row>
    <row r="168">
      <c r="A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</row>
    <row r="169">
      <c r="A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</row>
    <row r="170">
      <c r="A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</row>
    <row r="171">
      <c r="A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</row>
    <row r="172">
      <c r="A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</row>
    <row r="173">
      <c r="A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</row>
    <row r="174">
      <c r="A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</row>
    <row r="175">
      <c r="A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</row>
    <row r="176">
      <c r="A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</row>
    <row r="177">
      <c r="A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</row>
    <row r="178">
      <c r="A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</row>
    <row r="179">
      <c r="A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</row>
    <row r="180">
      <c r="A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</row>
    <row r="181">
      <c r="A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</row>
    <row r="182">
      <c r="A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</row>
    <row r="183">
      <c r="A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</row>
    <row r="184">
      <c r="A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</row>
    <row r="185">
      <c r="A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</row>
    <row r="186">
      <c r="A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</row>
    <row r="187">
      <c r="A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</row>
    <row r="188">
      <c r="A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</row>
    <row r="189">
      <c r="A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</row>
    <row r="190">
      <c r="A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</row>
    <row r="191">
      <c r="A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</row>
    <row r="192">
      <c r="A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</row>
    <row r="193">
      <c r="A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</row>
    <row r="194">
      <c r="A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</row>
    <row r="195">
      <c r="A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</row>
    <row r="196">
      <c r="A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</row>
    <row r="197">
      <c r="A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</row>
    <row r="198">
      <c r="A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</row>
    <row r="199">
      <c r="A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</row>
    <row r="200">
      <c r="A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</row>
    <row r="201">
      <c r="A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</row>
    <row r="202">
      <c r="A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</row>
    <row r="203">
      <c r="A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</row>
    <row r="204">
      <c r="A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</row>
    <row r="205">
      <c r="A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</row>
    <row r="206">
      <c r="A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</row>
    <row r="207">
      <c r="A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</row>
    <row r="208">
      <c r="A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</row>
    <row r="209">
      <c r="A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</row>
    <row r="210">
      <c r="A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</row>
    <row r="211">
      <c r="A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</row>
    <row r="212">
      <c r="A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</row>
    <row r="213">
      <c r="A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</row>
    <row r="214">
      <c r="A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</row>
    <row r="215">
      <c r="A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</row>
    <row r="216">
      <c r="A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</row>
    <row r="217">
      <c r="A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</row>
    <row r="218">
      <c r="A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</row>
    <row r="219">
      <c r="A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</row>
    <row r="220">
      <c r="A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</row>
    <row r="221">
      <c r="A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</row>
    <row r="222">
      <c r="A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</row>
    <row r="223">
      <c r="A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</row>
    <row r="224">
      <c r="A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</row>
    <row r="225">
      <c r="A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</row>
    <row r="226">
      <c r="A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</row>
    <row r="227">
      <c r="A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</row>
    <row r="228">
      <c r="A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</row>
    <row r="229">
      <c r="A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</row>
    <row r="230">
      <c r="A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</row>
    <row r="231">
      <c r="A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</row>
    <row r="232">
      <c r="A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</row>
    <row r="233">
      <c r="A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</row>
    <row r="234">
      <c r="A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</row>
    <row r="235">
      <c r="A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</row>
    <row r="236">
      <c r="A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</row>
    <row r="237">
      <c r="A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</row>
    <row r="238">
      <c r="A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</row>
    <row r="239">
      <c r="A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</row>
    <row r="240">
      <c r="A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</row>
    <row r="241">
      <c r="A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</row>
    <row r="242">
      <c r="A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</row>
    <row r="243">
      <c r="A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</row>
    <row r="244">
      <c r="A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</row>
    <row r="245">
      <c r="A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</row>
    <row r="246">
      <c r="A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</row>
    <row r="247">
      <c r="A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</row>
    <row r="248">
      <c r="A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</row>
    <row r="249">
      <c r="A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</row>
    <row r="250">
      <c r="A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</row>
    <row r="251">
      <c r="A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</row>
    <row r="252">
      <c r="A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</row>
    <row r="253">
      <c r="A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</row>
    <row r="254">
      <c r="A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</row>
    <row r="255">
      <c r="A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</row>
    <row r="256">
      <c r="A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</row>
    <row r="257">
      <c r="A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</row>
    <row r="258">
      <c r="A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</row>
    <row r="259">
      <c r="A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</row>
    <row r="260">
      <c r="A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</row>
    <row r="261">
      <c r="A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</row>
    <row r="262">
      <c r="A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</row>
    <row r="263">
      <c r="A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</row>
    <row r="264">
      <c r="A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</row>
    <row r="265">
      <c r="A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</row>
    <row r="266">
      <c r="A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</row>
    <row r="267">
      <c r="A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</row>
    <row r="268">
      <c r="A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</row>
    <row r="269">
      <c r="A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</row>
    <row r="270">
      <c r="A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</row>
    <row r="271">
      <c r="A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</row>
    <row r="272">
      <c r="A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</row>
    <row r="273">
      <c r="A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</row>
    <row r="274">
      <c r="A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</row>
    <row r="275">
      <c r="A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</row>
    <row r="276">
      <c r="A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</row>
    <row r="277">
      <c r="A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</row>
    <row r="278">
      <c r="A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</row>
    <row r="279">
      <c r="A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</row>
    <row r="280">
      <c r="A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</row>
    <row r="281">
      <c r="A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</row>
    <row r="282">
      <c r="A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</row>
    <row r="283">
      <c r="A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</row>
    <row r="284">
      <c r="A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</row>
    <row r="285">
      <c r="A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</row>
    <row r="286">
      <c r="A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</row>
    <row r="287">
      <c r="A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</row>
    <row r="288">
      <c r="A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</row>
    <row r="289">
      <c r="A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</row>
    <row r="290">
      <c r="A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</row>
    <row r="291">
      <c r="A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</row>
    <row r="292">
      <c r="A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</row>
    <row r="293">
      <c r="A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</row>
    <row r="294">
      <c r="A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</row>
    <row r="295">
      <c r="A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</row>
    <row r="296">
      <c r="A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</row>
    <row r="297">
      <c r="A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</row>
    <row r="298">
      <c r="A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</row>
    <row r="299">
      <c r="A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</row>
    <row r="300">
      <c r="A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</row>
    <row r="301">
      <c r="A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</row>
    <row r="302">
      <c r="A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</row>
    <row r="303">
      <c r="A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</row>
    <row r="304">
      <c r="A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</row>
    <row r="305">
      <c r="A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</row>
    <row r="306">
      <c r="A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</row>
    <row r="307">
      <c r="A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</row>
    <row r="308">
      <c r="A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</row>
    <row r="309">
      <c r="A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</row>
    <row r="310">
      <c r="A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</row>
    <row r="311">
      <c r="A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</row>
    <row r="312">
      <c r="A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</row>
    <row r="313">
      <c r="A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</row>
    <row r="314">
      <c r="A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</row>
    <row r="315">
      <c r="A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</row>
    <row r="316">
      <c r="A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</row>
    <row r="317">
      <c r="A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</row>
    <row r="318">
      <c r="A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</row>
    <row r="319">
      <c r="A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</row>
    <row r="320">
      <c r="A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</row>
    <row r="321">
      <c r="A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</row>
    <row r="322">
      <c r="A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</row>
    <row r="323">
      <c r="A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</row>
    <row r="324">
      <c r="A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</row>
    <row r="325">
      <c r="A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</row>
    <row r="326">
      <c r="A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</row>
    <row r="327">
      <c r="A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</row>
    <row r="328">
      <c r="A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</row>
    <row r="329">
      <c r="A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</row>
    <row r="330">
      <c r="A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</row>
    <row r="331">
      <c r="A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</row>
    <row r="332">
      <c r="A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</row>
    <row r="333">
      <c r="A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</row>
    <row r="334">
      <c r="A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</row>
    <row r="335">
      <c r="A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</row>
    <row r="336">
      <c r="A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</row>
    <row r="337">
      <c r="A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</row>
    <row r="338">
      <c r="A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</row>
    <row r="339">
      <c r="A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</row>
    <row r="340">
      <c r="A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</row>
    <row r="341">
      <c r="A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</row>
    <row r="342">
      <c r="A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</row>
    <row r="343">
      <c r="A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</row>
    <row r="344">
      <c r="A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</row>
    <row r="345">
      <c r="A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</row>
    <row r="346">
      <c r="A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</row>
    <row r="347">
      <c r="A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</row>
    <row r="348">
      <c r="A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</row>
    <row r="349">
      <c r="A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</row>
    <row r="350">
      <c r="A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</row>
    <row r="351">
      <c r="A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</row>
    <row r="352">
      <c r="A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</row>
    <row r="353">
      <c r="A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</row>
    <row r="354">
      <c r="A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</row>
    <row r="355">
      <c r="A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</row>
    <row r="356">
      <c r="A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</row>
    <row r="357">
      <c r="A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</row>
    <row r="358">
      <c r="A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</row>
    <row r="359">
      <c r="A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</row>
    <row r="360">
      <c r="A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</row>
    <row r="361">
      <c r="A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</row>
    <row r="362">
      <c r="A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</row>
    <row r="363">
      <c r="A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</row>
    <row r="364">
      <c r="A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</row>
    <row r="365">
      <c r="A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</row>
    <row r="366">
      <c r="A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</row>
    <row r="367">
      <c r="A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</row>
    <row r="368">
      <c r="A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</row>
    <row r="369">
      <c r="A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</row>
    <row r="370">
      <c r="A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</row>
    <row r="371">
      <c r="A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</row>
    <row r="372">
      <c r="A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</row>
    <row r="373">
      <c r="A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</row>
    <row r="374">
      <c r="A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</row>
    <row r="375">
      <c r="A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</row>
    <row r="376">
      <c r="A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</row>
    <row r="377">
      <c r="A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</row>
    <row r="378">
      <c r="A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</row>
    <row r="379">
      <c r="A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</row>
    <row r="380">
      <c r="A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</row>
    <row r="381">
      <c r="A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</row>
    <row r="382">
      <c r="A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</row>
    <row r="383">
      <c r="A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</row>
    <row r="384">
      <c r="A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</row>
    <row r="385">
      <c r="A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</row>
    <row r="386">
      <c r="A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</row>
    <row r="387">
      <c r="A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</row>
    <row r="388">
      <c r="A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</row>
    <row r="389">
      <c r="A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</row>
    <row r="390">
      <c r="A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</row>
    <row r="391">
      <c r="A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</row>
    <row r="392">
      <c r="A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</row>
    <row r="393">
      <c r="A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</row>
    <row r="394">
      <c r="A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</row>
    <row r="395">
      <c r="A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</row>
    <row r="396">
      <c r="A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</row>
    <row r="397">
      <c r="A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</row>
    <row r="398">
      <c r="A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</row>
    <row r="399">
      <c r="A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</row>
    <row r="400">
      <c r="A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</row>
    <row r="401">
      <c r="A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</row>
    <row r="402">
      <c r="A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</row>
    <row r="403">
      <c r="A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</row>
    <row r="404">
      <c r="A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</row>
    <row r="405">
      <c r="A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</row>
    <row r="406">
      <c r="A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</row>
    <row r="407">
      <c r="A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</row>
    <row r="408">
      <c r="A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</row>
    <row r="409">
      <c r="A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</row>
    <row r="410">
      <c r="A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</row>
    <row r="411">
      <c r="A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</row>
    <row r="412">
      <c r="A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</row>
    <row r="413">
      <c r="A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</row>
    <row r="414">
      <c r="A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</row>
    <row r="415">
      <c r="A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</row>
    <row r="416">
      <c r="A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</row>
    <row r="417">
      <c r="A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</row>
    <row r="418">
      <c r="A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</row>
    <row r="419">
      <c r="A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</row>
    <row r="420">
      <c r="A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</row>
    <row r="421">
      <c r="A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</row>
    <row r="422">
      <c r="A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</row>
    <row r="423">
      <c r="A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</row>
    <row r="424">
      <c r="A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</row>
    <row r="425">
      <c r="A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</row>
    <row r="426">
      <c r="A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</row>
    <row r="427">
      <c r="A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</row>
    <row r="428">
      <c r="A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</row>
    <row r="429">
      <c r="A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</row>
    <row r="430">
      <c r="A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</row>
    <row r="431">
      <c r="A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</row>
    <row r="432">
      <c r="A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</row>
    <row r="433">
      <c r="A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</row>
    <row r="434">
      <c r="A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</row>
    <row r="435">
      <c r="A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</row>
    <row r="436">
      <c r="A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</row>
    <row r="437">
      <c r="A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</row>
    <row r="438">
      <c r="A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</row>
    <row r="439">
      <c r="A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</row>
    <row r="440">
      <c r="A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</row>
    <row r="441">
      <c r="A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</row>
    <row r="442">
      <c r="A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</row>
    <row r="443">
      <c r="A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</row>
    <row r="444">
      <c r="A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</row>
    <row r="445">
      <c r="A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</row>
    <row r="446">
      <c r="A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</row>
    <row r="447">
      <c r="A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</row>
    <row r="448">
      <c r="A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</row>
    <row r="449">
      <c r="A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</row>
    <row r="450">
      <c r="A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</row>
    <row r="451">
      <c r="A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</row>
    <row r="452">
      <c r="A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</row>
    <row r="453">
      <c r="A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</row>
    <row r="454">
      <c r="A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</row>
    <row r="455">
      <c r="A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</row>
    <row r="456">
      <c r="A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</row>
    <row r="457">
      <c r="A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</row>
    <row r="458">
      <c r="A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</row>
    <row r="459">
      <c r="A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</row>
    <row r="460">
      <c r="A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</row>
    <row r="461">
      <c r="A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</row>
    <row r="462">
      <c r="A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</row>
    <row r="463">
      <c r="A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</row>
    <row r="464">
      <c r="A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</row>
    <row r="465">
      <c r="A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</row>
    <row r="466">
      <c r="A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</row>
    <row r="467">
      <c r="A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</row>
    <row r="468">
      <c r="A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</row>
    <row r="469">
      <c r="A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</row>
    <row r="470">
      <c r="A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</row>
    <row r="471">
      <c r="A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</row>
    <row r="472">
      <c r="A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</row>
    <row r="473">
      <c r="A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</row>
    <row r="474">
      <c r="A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</row>
    <row r="475">
      <c r="A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</row>
    <row r="476">
      <c r="A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</row>
    <row r="477">
      <c r="A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</row>
    <row r="478">
      <c r="A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</row>
    <row r="479">
      <c r="A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</row>
    <row r="480">
      <c r="A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</row>
    <row r="481">
      <c r="A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</row>
    <row r="482">
      <c r="A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</row>
    <row r="483">
      <c r="A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</row>
    <row r="484">
      <c r="A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</row>
    <row r="485">
      <c r="A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</row>
    <row r="486">
      <c r="A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</row>
    <row r="487">
      <c r="A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</row>
    <row r="488">
      <c r="A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</row>
    <row r="489">
      <c r="A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</row>
    <row r="490">
      <c r="A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</row>
    <row r="491">
      <c r="A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</row>
    <row r="492">
      <c r="A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</row>
    <row r="493">
      <c r="A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</row>
    <row r="494">
      <c r="A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</row>
    <row r="495">
      <c r="A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</row>
    <row r="496">
      <c r="A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</row>
    <row r="497">
      <c r="A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</row>
    <row r="498">
      <c r="A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</row>
    <row r="499">
      <c r="A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</row>
    <row r="500">
      <c r="A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</row>
    <row r="501">
      <c r="A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</row>
    <row r="502">
      <c r="A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</row>
    <row r="503">
      <c r="A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</row>
    <row r="504">
      <c r="A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</row>
    <row r="505">
      <c r="A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</row>
    <row r="506">
      <c r="A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</row>
    <row r="507">
      <c r="A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</row>
    <row r="508">
      <c r="A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</row>
    <row r="509">
      <c r="A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</row>
    <row r="510">
      <c r="A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</row>
    <row r="511">
      <c r="A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</row>
    <row r="512">
      <c r="A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</row>
    <row r="513">
      <c r="A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</row>
    <row r="514">
      <c r="A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</row>
    <row r="515">
      <c r="A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</row>
    <row r="516">
      <c r="A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</row>
    <row r="517">
      <c r="A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</row>
    <row r="518">
      <c r="A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</row>
    <row r="519">
      <c r="A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</row>
    <row r="520">
      <c r="A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</row>
    <row r="521">
      <c r="A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</row>
    <row r="522">
      <c r="A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</row>
    <row r="523">
      <c r="A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</row>
    <row r="524">
      <c r="A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</row>
    <row r="525">
      <c r="A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</row>
    <row r="526">
      <c r="A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</row>
    <row r="527">
      <c r="A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</row>
    <row r="528">
      <c r="A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</row>
    <row r="529">
      <c r="A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</row>
    <row r="530">
      <c r="A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</row>
    <row r="531">
      <c r="A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</row>
    <row r="532">
      <c r="A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</row>
    <row r="533">
      <c r="A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</row>
    <row r="534">
      <c r="A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</row>
    <row r="535">
      <c r="A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</row>
    <row r="536">
      <c r="A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</row>
    <row r="537">
      <c r="A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</row>
    <row r="538">
      <c r="A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</row>
    <row r="539">
      <c r="A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</row>
    <row r="540">
      <c r="A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</row>
    <row r="541">
      <c r="A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</row>
    <row r="542">
      <c r="A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</row>
    <row r="543">
      <c r="A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</row>
    <row r="544">
      <c r="A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</row>
    <row r="545">
      <c r="A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</row>
    <row r="546">
      <c r="A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</row>
    <row r="547">
      <c r="A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</row>
    <row r="548">
      <c r="A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</row>
    <row r="549">
      <c r="A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</row>
    <row r="550">
      <c r="A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</row>
    <row r="551">
      <c r="A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</row>
    <row r="552">
      <c r="A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</row>
    <row r="553">
      <c r="A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</row>
    <row r="554">
      <c r="A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</row>
    <row r="555">
      <c r="A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</row>
    <row r="556">
      <c r="A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</row>
    <row r="557">
      <c r="A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</row>
    <row r="558">
      <c r="A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</row>
    <row r="559">
      <c r="A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</row>
    <row r="560">
      <c r="A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</row>
    <row r="561">
      <c r="A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</row>
    <row r="562">
      <c r="A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</row>
    <row r="563">
      <c r="A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</row>
    <row r="564">
      <c r="A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</row>
    <row r="565">
      <c r="A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</row>
    <row r="566">
      <c r="A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</row>
    <row r="567">
      <c r="A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</row>
    <row r="568">
      <c r="A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</row>
    <row r="569">
      <c r="A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</row>
    <row r="570">
      <c r="A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</row>
    <row r="571">
      <c r="A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</row>
    <row r="572">
      <c r="A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</row>
    <row r="573">
      <c r="A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</row>
    <row r="574">
      <c r="A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</row>
    <row r="575">
      <c r="A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</row>
    <row r="576">
      <c r="A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</row>
    <row r="577">
      <c r="A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</row>
    <row r="578">
      <c r="A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</row>
    <row r="579">
      <c r="A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</row>
    <row r="580">
      <c r="A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</row>
    <row r="581">
      <c r="A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</row>
    <row r="582">
      <c r="A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</row>
    <row r="583">
      <c r="A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</row>
    <row r="584">
      <c r="A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</row>
    <row r="585">
      <c r="A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</row>
    <row r="586">
      <c r="A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</row>
    <row r="587">
      <c r="A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</row>
    <row r="588">
      <c r="A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</row>
    <row r="589">
      <c r="A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</row>
    <row r="590">
      <c r="A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</row>
    <row r="591">
      <c r="A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</row>
    <row r="592">
      <c r="A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</row>
    <row r="593">
      <c r="A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</row>
    <row r="594">
      <c r="A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</row>
    <row r="595">
      <c r="A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</row>
    <row r="596">
      <c r="A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</row>
    <row r="597">
      <c r="A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</row>
    <row r="598">
      <c r="A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</row>
    <row r="599">
      <c r="A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</row>
    <row r="600">
      <c r="A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</row>
    <row r="601">
      <c r="A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</row>
    <row r="602">
      <c r="A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</row>
    <row r="603">
      <c r="A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</row>
    <row r="604">
      <c r="A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</row>
    <row r="605">
      <c r="A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</row>
    <row r="606">
      <c r="A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</row>
    <row r="607">
      <c r="A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</row>
    <row r="608">
      <c r="A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</row>
    <row r="609">
      <c r="A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</row>
    <row r="610">
      <c r="A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</row>
    <row r="611">
      <c r="A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</row>
    <row r="612">
      <c r="A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</row>
    <row r="613">
      <c r="A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</row>
    <row r="614">
      <c r="A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</row>
    <row r="615">
      <c r="A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</row>
    <row r="616">
      <c r="A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</row>
    <row r="617">
      <c r="A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</row>
    <row r="618">
      <c r="A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</row>
    <row r="619">
      <c r="A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</row>
    <row r="620">
      <c r="A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</row>
    <row r="621">
      <c r="A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</row>
    <row r="622">
      <c r="A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</row>
    <row r="623">
      <c r="A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</row>
    <row r="624">
      <c r="A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</row>
    <row r="625">
      <c r="A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</row>
    <row r="626">
      <c r="A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</row>
    <row r="627">
      <c r="A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</row>
    <row r="628">
      <c r="A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</row>
    <row r="629">
      <c r="A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</row>
    <row r="630">
      <c r="A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</row>
    <row r="631">
      <c r="A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</row>
    <row r="632">
      <c r="A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</row>
    <row r="633">
      <c r="A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</row>
    <row r="634">
      <c r="A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</row>
    <row r="635">
      <c r="A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</row>
    <row r="636">
      <c r="A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</row>
    <row r="637">
      <c r="A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</row>
    <row r="638">
      <c r="A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</row>
    <row r="639">
      <c r="A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</row>
    <row r="640">
      <c r="A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</row>
    <row r="641">
      <c r="A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</row>
    <row r="642">
      <c r="A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</row>
    <row r="643">
      <c r="A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</row>
    <row r="644">
      <c r="A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</row>
    <row r="645">
      <c r="A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</row>
    <row r="646">
      <c r="A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</row>
    <row r="647">
      <c r="A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</row>
    <row r="648">
      <c r="A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</row>
    <row r="649">
      <c r="A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</row>
    <row r="650">
      <c r="A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</row>
    <row r="651">
      <c r="A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</row>
    <row r="652">
      <c r="A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</row>
    <row r="653">
      <c r="A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</row>
    <row r="654">
      <c r="A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</row>
    <row r="655">
      <c r="A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</row>
    <row r="656">
      <c r="A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</row>
    <row r="657">
      <c r="A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</row>
    <row r="658">
      <c r="A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</row>
    <row r="659">
      <c r="A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</row>
    <row r="660">
      <c r="A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</row>
    <row r="661">
      <c r="A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</row>
    <row r="662">
      <c r="A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</row>
    <row r="663">
      <c r="A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</row>
    <row r="664">
      <c r="A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</row>
    <row r="665">
      <c r="A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</row>
    <row r="666">
      <c r="A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</row>
    <row r="667">
      <c r="A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</row>
    <row r="668">
      <c r="A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</row>
    <row r="669">
      <c r="A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</row>
    <row r="670">
      <c r="A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</row>
    <row r="671">
      <c r="A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</row>
    <row r="672">
      <c r="A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</row>
    <row r="673">
      <c r="A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</row>
    <row r="674">
      <c r="A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</row>
    <row r="675">
      <c r="A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</row>
    <row r="676">
      <c r="A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</row>
    <row r="677">
      <c r="A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</row>
    <row r="678">
      <c r="A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</row>
    <row r="679">
      <c r="A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</row>
    <row r="680">
      <c r="A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</row>
    <row r="681">
      <c r="A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</row>
    <row r="682">
      <c r="A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</row>
    <row r="683">
      <c r="A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</row>
    <row r="684">
      <c r="A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</row>
    <row r="685">
      <c r="A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</row>
    <row r="686">
      <c r="A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</row>
    <row r="687">
      <c r="A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</row>
    <row r="688">
      <c r="A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</row>
    <row r="689">
      <c r="A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</row>
    <row r="690">
      <c r="A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</row>
    <row r="691">
      <c r="A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</row>
    <row r="692">
      <c r="A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</row>
    <row r="693">
      <c r="A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</row>
    <row r="694">
      <c r="A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</row>
    <row r="695">
      <c r="A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</row>
    <row r="696">
      <c r="A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</row>
    <row r="697">
      <c r="A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</row>
    <row r="698">
      <c r="A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</row>
    <row r="699">
      <c r="A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</row>
    <row r="700">
      <c r="A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</row>
    <row r="701">
      <c r="A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</row>
    <row r="702">
      <c r="A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</row>
    <row r="703">
      <c r="A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</row>
    <row r="704">
      <c r="A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</row>
    <row r="705">
      <c r="A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</row>
    <row r="706">
      <c r="A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</row>
    <row r="707">
      <c r="A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</row>
    <row r="708">
      <c r="A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</row>
    <row r="709">
      <c r="A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</row>
    <row r="710">
      <c r="A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</row>
    <row r="711">
      <c r="A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</row>
    <row r="712">
      <c r="A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</row>
    <row r="713">
      <c r="A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</row>
    <row r="714">
      <c r="A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</row>
    <row r="715">
      <c r="A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</row>
    <row r="716">
      <c r="A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</row>
    <row r="717">
      <c r="A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</row>
    <row r="718">
      <c r="A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</row>
    <row r="719">
      <c r="A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</row>
    <row r="720">
      <c r="A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</row>
    <row r="721">
      <c r="A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</row>
    <row r="722">
      <c r="A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</row>
    <row r="723">
      <c r="A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</row>
    <row r="724">
      <c r="A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</row>
    <row r="725">
      <c r="A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</row>
    <row r="726">
      <c r="A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</row>
    <row r="727">
      <c r="A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</row>
    <row r="728">
      <c r="A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</row>
    <row r="729">
      <c r="A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</row>
    <row r="730">
      <c r="A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</row>
    <row r="731">
      <c r="A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</row>
    <row r="732">
      <c r="A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</row>
    <row r="733">
      <c r="A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</row>
    <row r="734">
      <c r="A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</row>
    <row r="735">
      <c r="A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</row>
    <row r="736">
      <c r="A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</row>
    <row r="737">
      <c r="A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</row>
    <row r="738">
      <c r="A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</row>
    <row r="739">
      <c r="A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</row>
    <row r="740">
      <c r="A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</row>
    <row r="741">
      <c r="A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</row>
    <row r="742">
      <c r="A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</row>
    <row r="743">
      <c r="A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</row>
    <row r="744">
      <c r="A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</row>
    <row r="745">
      <c r="A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</row>
    <row r="746">
      <c r="A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</row>
    <row r="747">
      <c r="A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</row>
    <row r="748">
      <c r="A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</row>
    <row r="749">
      <c r="A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</row>
    <row r="750">
      <c r="A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</row>
    <row r="751">
      <c r="A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</row>
    <row r="752">
      <c r="A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</row>
    <row r="753">
      <c r="A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</row>
    <row r="754">
      <c r="A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</row>
    <row r="755">
      <c r="A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</row>
    <row r="756">
      <c r="A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</row>
    <row r="757">
      <c r="A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</row>
    <row r="758">
      <c r="A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</row>
    <row r="759">
      <c r="A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</row>
    <row r="760">
      <c r="A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</row>
    <row r="761">
      <c r="A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</row>
    <row r="762">
      <c r="A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</row>
    <row r="763">
      <c r="A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</row>
    <row r="764">
      <c r="A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</row>
    <row r="765">
      <c r="A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</row>
    <row r="766">
      <c r="A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</row>
    <row r="767">
      <c r="A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</row>
    <row r="768">
      <c r="A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</row>
    <row r="769">
      <c r="A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</row>
    <row r="770">
      <c r="A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</row>
    <row r="771">
      <c r="A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</row>
    <row r="772">
      <c r="A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</row>
    <row r="773">
      <c r="A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</row>
    <row r="774">
      <c r="A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</row>
    <row r="775">
      <c r="A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</row>
    <row r="776">
      <c r="A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</row>
    <row r="777">
      <c r="A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</row>
    <row r="778">
      <c r="A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</row>
    <row r="779">
      <c r="A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</row>
    <row r="780">
      <c r="A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</row>
    <row r="781">
      <c r="A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</row>
    <row r="782">
      <c r="A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</row>
    <row r="783">
      <c r="A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</row>
    <row r="784">
      <c r="A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</row>
    <row r="785">
      <c r="A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</row>
    <row r="786">
      <c r="A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</row>
    <row r="787">
      <c r="A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</row>
    <row r="788">
      <c r="A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</row>
    <row r="789">
      <c r="A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</row>
    <row r="790">
      <c r="A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</row>
    <row r="791">
      <c r="A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</row>
    <row r="792">
      <c r="A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</row>
    <row r="793">
      <c r="A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</row>
    <row r="794">
      <c r="A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</row>
    <row r="795">
      <c r="A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</row>
    <row r="796">
      <c r="A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</row>
    <row r="797">
      <c r="A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</row>
    <row r="798">
      <c r="A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</row>
    <row r="799">
      <c r="A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</row>
    <row r="800">
      <c r="A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</row>
    <row r="801">
      <c r="A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</row>
    <row r="802">
      <c r="A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</row>
    <row r="803">
      <c r="A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</row>
    <row r="804">
      <c r="A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</row>
    <row r="805">
      <c r="A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</row>
    <row r="806">
      <c r="A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</row>
    <row r="807">
      <c r="A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</row>
    <row r="808">
      <c r="A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</row>
    <row r="809">
      <c r="A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</row>
    <row r="810">
      <c r="A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</row>
    <row r="811">
      <c r="A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</row>
    <row r="812">
      <c r="A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</row>
    <row r="813">
      <c r="A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</row>
    <row r="814">
      <c r="A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</row>
    <row r="815">
      <c r="A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</row>
    <row r="816">
      <c r="A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</row>
    <row r="817">
      <c r="A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</row>
    <row r="818">
      <c r="A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</row>
    <row r="819">
      <c r="A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</row>
    <row r="820">
      <c r="A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</row>
    <row r="821">
      <c r="A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</row>
    <row r="822">
      <c r="A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</row>
    <row r="823">
      <c r="A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</row>
    <row r="824">
      <c r="A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</row>
    <row r="825">
      <c r="A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</row>
    <row r="826">
      <c r="A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</row>
    <row r="827">
      <c r="A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</row>
    <row r="828">
      <c r="A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</row>
    <row r="829">
      <c r="A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</row>
    <row r="830">
      <c r="A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</row>
    <row r="831">
      <c r="A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</row>
    <row r="832">
      <c r="A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</row>
    <row r="833">
      <c r="A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</row>
    <row r="834">
      <c r="A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</row>
    <row r="835">
      <c r="A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</row>
    <row r="836">
      <c r="A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</row>
    <row r="837">
      <c r="A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</row>
    <row r="838">
      <c r="A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</row>
    <row r="839">
      <c r="A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</row>
    <row r="840">
      <c r="A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</row>
    <row r="841">
      <c r="A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</row>
    <row r="842">
      <c r="A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</row>
    <row r="843">
      <c r="A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</row>
    <row r="844">
      <c r="A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</row>
    <row r="845">
      <c r="A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</row>
    <row r="846">
      <c r="A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</row>
    <row r="847">
      <c r="A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</row>
    <row r="848">
      <c r="A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</row>
    <row r="849">
      <c r="A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</row>
    <row r="850">
      <c r="A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</row>
    <row r="851">
      <c r="A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</row>
    <row r="852">
      <c r="A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</row>
    <row r="853">
      <c r="A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</row>
    <row r="854">
      <c r="A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</row>
    <row r="855">
      <c r="A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</row>
    <row r="856">
      <c r="A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</row>
    <row r="857">
      <c r="A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</row>
    <row r="858">
      <c r="A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</row>
    <row r="859">
      <c r="A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</row>
    <row r="860">
      <c r="A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</row>
    <row r="861">
      <c r="A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</row>
    <row r="862">
      <c r="A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</row>
    <row r="863">
      <c r="A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</row>
    <row r="864">
      <c r="A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</row>
    <row r="865">
      <c r="A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</row>
    <row r="866">
      <c r="A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</row>
    <row r="867">
      <c r="A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</row>
    <row r="868">
      <c r="A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</row>
    <row r="869">
      <c r="A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</row>
    <row r="870">
      <c r="A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</row>
    <row r="871">
      <c r="A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</row>
    <row r="872">
      <c r="A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</row>
    <row r="873">
      <c r="A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</row>
    <row r="874">
      <c r="A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</row>
    <row r="875">
      <c r="A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</row>
    <row r="876">
      <c r="A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</row>
    <row r="877">
      <c r="A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</row>
    <row r="878">
      <c r="A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</row>
    <row r="879">
      <c r="A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</row>
    <row r="880">
      <c r="A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</row>
    <row r="881">
      <c r="A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</row>
    <row r="882">
      <c r="A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</row>
    <row r="883">
      <c r="A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</row>
    <row r="884">
      <c r="A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</row>
    <row r="885">
      <c r="A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</row>
    <row r="886">
      <c r="A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</row>
    <row r="887">
      <c r="A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</row>
    <row r="888">
      <c r="A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</row>
    <row r="889">
      <c r="A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</row>
    <row r="890">
      <c r="A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</row>
    <row r="891">
      <c r="A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</row>
    <row r="892">
      <c r="A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</row>
    <row r="893">
      <c r="A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</row>
    <row r="894">
      <c r="A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</row>
    <row r="895">
      <c r="A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</row>
    <row r="896">
      <c r="A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</row>
    <row r="897">
      <c r="A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</row>
    <row r="898">
      <c r="A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</row>
    <row r="899">
      <c r="A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</row>
    <row r="900">
      <c r="A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</row>
    <row r="901">
      <c r="A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</row>
    <row r="902">
      <c r="A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</row>
    <row r="903">
      <c r="A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</row>
    <row r="904">
      <c r="A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</row>
    <row r="905">
      <c r="A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</row>
    <row r="906">
      <c r="A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</row>
    <row r="907">
      <c r="A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</row>
    <row r="908">
      <c r="A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</row>
    <row r="909">
      <c r="A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</row>
    <row r="910">
      <c r="A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</row>
    <row r="911">
      <c r="A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</row>
    <row r="912">
      <c r="A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</row>
    <row r="913">
      <c r="A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</row>
    <row r="914">
      <c r="A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</row>
    <row r="915">
      <c r="A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</row>
    <row r="916">
      <c r="A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</row>
    <row r="917">
      <c r="A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</row>
    <row r="918">
      <c r="A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</row>
    <row r="919">
      <c r="A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</row>
    <row r="920">
      <c r="A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</row>
    <row r="921">
      <c r="A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</row>
    <row r="922">
      <c r="A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</row>
    <row r="923">
      <c r="A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</row>
    <row r="924">
      <c r="A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</row>
    <row r="925">
      <c r="A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</row>
    <row r="926">
      <c r="A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</row>
    <row r="927">
      <c r="A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</row>
    <row r="928">
      <c r="A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</row>
    <row r="929">
      <c r="A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</row>
    <row r="930">
      <c r="A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</row>
    <row r="931">
      <c r="A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</row>
    <row r="932">
      <c r="A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</row>
    <row r="933">
      <c r="A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</row>
    <row r="934">
      <c r="A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</row>
    <row r="935">
      <c r="A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</row>
    <row r="936">
      <c r="A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</row>
    <row r="937">
      <c r="A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</row>
    <row r="938">
      <c r="A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</row>
    <row r="939">
      <c r="A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</row>
    <row r="940">
      <c r="A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</row>
    <row r="941">
      <c r="A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</row>
    <row r="942">
      <c r="A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</row>
    <row r="943">
      <c r="A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</row>
    <row r="944">
      <c r="A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</row>
    <row r="945">
      <c r="A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</row>
    <row r="946">
      <c r="A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</row>
    <row r="947">
      <c r="A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</row>
    <row r="948">
      <c r="A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</row>
    <row r="949">
      <c r="A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</row>
    <row r="950">
      <c r="A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</row>
    <row r="951">
      <c r="A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</row>
    <row r="952">
      <c r="A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</row>
    <row r="953">
      <c r="A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</row>
    <row r="954">
      <c r="A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</row>
    <row r="955">
      <c r="A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</row>
    <row r="956">
      <c r="A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</row>
    <row r="957">
      <c r="A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</row>
    <row r="958">
      <c r="A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</row>
    <row r="959">
      <c r="A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</row>
    <row r="960">
      <c r="A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</row>
    <row r="961">
      <c r="A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</row>
    <row r="962">
      <c r="A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</row>
    <row r="963">
      <c r="A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</row>
    <row r="964">
      <c r="A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</row>
    <row r="965">
      <c r="A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</row>
    <row r="966">
      <c r="A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</row>
    <row r="967">
      <c r="A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</row>
    <row r="968">
      <c r="A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</row>
    <row r="969">
      <c r="A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</row>
    <row r="970">
      <c r="A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</row>
    <row r="971">
      <c r="A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</row>
    <row r="972">
      <c r="A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</row>
    <row r="973">
      <c r="A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</row>
    <row r="974">
      <c r="A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</row>
    <row r="975">
      <c r="A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</row>
    <row r="976">
      <c r="A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</row>
    <row r="977">
      <c r="A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</row>
    <row r="978">
      <c r="A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</row>
    <row r="979">
      <c r="A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</row>
    <row r="980">
      <c r="A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</row>
    <row r="981">
      <c r="A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</row>
    <row r="982">
      <c r="A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</row>
    <row r="983">
      <c r="A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</row>
    <row r="984">
      <c r="A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</row>
    <row r="985">
      <c r="A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</row>
    <row r="986">
      <c r="A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</row>
    <row r="987">
      <c r="A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</row>
    <row r="988">
      <c r="A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</row>
    <row r="989">
      <c r="A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</row>
    <row r="990">
      <c r="A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</row>
    <row r="991">
      <c r="A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</row>
    <row r="992">
      <c r="A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</row>
    <row r="993">
      <c r="A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</row>
    <row r="994">
      <c r="A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</row>
    <row r="995">
      <c r="A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</row>
    <row r="996">
      <c r="A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</row>
    <row r="997">
      <c r="A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</row>
    <row r="998">
      <c r="A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</row>
    <row r="999">
      <c r="A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</row>
    <row r="1000">
      <c r="A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</row>
  </sheetData>
  <mergeCells count="2">
    <mergeCell ref="C19:E19"/>
    <mergeCell ref="C20:D20"/>
  </mergeCells>
  <conditionalFormatting sqref="C3">
    <cfRule type="expression" dxfId="0" priority="1">
      <formula>(B3=TRUE)</formula>
    </cfRule>
  </conditionalFormatting>
  <conditionalFormatting sqref="C6">
    <cfRule type="expression" dxfId="0" priority="2">
      <formula>(B6=TRUE)</formula>
    </cfRule>
  </conditionalFormatting>
  <conditionalFormatting sqref="D11">
    <cfRule type="expression" dxfId="0" priority="3">
      <formula>(B6=TRUE)</formula>
    </cfRule>
  </conditionalFormatting>
  <conditionalFormatting sqref="E6">
    <cfRule type="expression" dxfId="0" priority="4">
      <formula>(B6=TRUE)</formula>
    </cfRule>
  </conditionalFormatting>
  <conditionalFormatting sqref="M6">
    <cfRule type="expression" dxfId="0" priority="5">
      <formula>(B6=TRUE)</formula>
    </cfRule>
  </conditionalFormatting>
  <conditionalFormatting sqref="G6">
    <cfRule type="expression" dxfId="0" priority="6">
      <formula>(B6=TRUE)</formula>
    </cfRule>
  </conditionalFormatting>
  <conditionalFormatting sqref="I6">
    <cfRule type="expression" dxfId="0" priority="7">
      <formula>(B6=TRUE)</formula>
    </cfRule>
  </conditionalFormatting>
  <conditionalFormatting sqref="K6">
    <cfRule type="expression" dxfId="0" priority="8">
      <formula>(B6=TRUE)</formula>
    </cfRule>
  </conditionalFormatting>
  <conditionalFormatting sqref="F11">
    <cfRule type="expression" dxfId="0" priority="9">
      <formula>(B6=TRUE)</formula>
    </cfRule>
  </conditionalFormatting>
  <conditionalFormatting sqref="H11">
    <cfRule type="expression" dxfId="0" priority="10">
      <formula>(B6=TRUE)</formula>
    </cfRule>
  </conditionalFormatting>
  <conditionalFormatting sqref="J11">
    <cfRule type="expression" dxfId="0" priority="11">
      <formula>(B6=TRUE)</formula>
    </cfRule>
  </conditionalFormatting>
  <conditionalFormatting sqref="L11">
    <cfRule type="expression" dxfId="0" priority="12">
      <formula>(B6=TRUE)</formula>
    </cfRule>
  </conditionalFormatting>
  <conditionalFormatting sqref="N11">
    <cfRule type="expression" dxfId="0" priority="13">
      <formula>(B6=TRUE)</formula>
    </cfRule>
  </conditionalFormatting>
  <conditionalFormatting sqref="D14">
    <cfRule type="expression" dxfId="0" priority="14">
      <formula>(B3=TRUE)</formula>
    </cfRule>
  </conditionalFormatting>
  <conditionalFormatting sqref="E3 F14 G3 H14">
    <cfRule type="expression" dxfId="0" priority="15">
      <formula>($B$3=TRUE)</formula>
    </cfRule>
  </conditionalFormatting>
  <conditionalFormatting sqref="I3 J14 K3 L14 M3 N14">
    <cfRule type="expression" dxfId="0" priority="16">
      <formula>($B$3=TRUE)</formula>
    </cfRule>
  </conditionalFormatting>
  <conditionalFormatting sqref="C4 D13 E4 F13 G4 H13 I4 J13 K4 L13 M4 N13">
    <cfRule type="expression" dxfId="0" priority="17">
      <formula>($B$4=TRUE)</formula>
    </cfRule>
  </conditionalFormatting>
  <conditionalFormatting sqref="C5 D12 E5 F12 G5 H12 I5 J12 K5 L12 M5 N12">
    <cfRule type="expression" dxfId="1" priority="18">
      <formula>($B$5=TRUE)</formula>
    </cfRule>
  </conditionalFormatting>
  <conditionalFormatting sqref="C7 D10 E7 F10 G7 H10 I7 J10 K7 L10 M7 N10">
    <cfRule type="expression" dxfId="0" priority="19">
      <formula>($B$7=TRUE)</formula>
    </cfRule>
  </conditionalFormatting>
  <conditionalFormatting sqref="C8 D9 E8 F9 G8 H9 I8 J9 K8 L9 M8 N9">
    <cfRule type="expression" dxfId="0" priority="20">
      <formula>($B$8=TRUE)</formula>
    </cfRule>
  </conditionalFormatting>
  <conditionalFormatting sqref="N8 M9 L8 K9 J8 I9 H8 G9 F8 E9 D8 C9">
    <cfRule type="expression" dxfId="1" priority="21">
      <formula>($B$9=TRUE)</formula>
    </cfRule>
  </conditionalFormatting>
  <conditionalFormatting sqref="C10 D7 E10 F7 G10 H7 I10 K10 J7 L7 M10 N7">
    <cfRule type="expression" dxfId="0" priority="22">
      <formula>($B$10=TRUE)</formula>
    </cfRule>
  </conditionalFormatting>
  <conditionalFormatting sqref="C11 D6 E11 F6 G11 H6 I11 J6 K11 L6 M11 N6">
    <cfRule type="expression" dxfId="0" priority="23">
      <formula>($B$11=TRUE)</formula>
    </cfRule>
  </conditionalFormatting>
  <conditionalFormatting sqref="C12 D5 E12 F5 G12 H5 I12 J5 K12 L5 M12 N5">
    <cfRule type="expression" dxfId="0" priority="24">
      <formula>($B$12=TRUE)</formula>
    </cfRule>
  </conditionalFormatting>
  <conditionalFormatting sqref="C13 D4 E13 F4 G13 H4 I13 J4 K13 L4 M13 N4">
    <cfRule type="expression" dxfId="0" priority="25">
      <formula>($B$13=TRUE)</formula>
    </cfRule>
  </conditionalFormatting>
  <conditionalFormatting sqref="C14 D3 E14 F3 G14 H3 I14 J3 K14 L3 M14 N3">
    <cfRule type="expression" dxfId="0" priority="26">
      <formula>($B$14=TRUE)</formula>
    </cfRule>
  </conditionalFormatting>
  <dataValidations>
    <dataValidation type="list" allowBlank="1" sqref="C3:N14">
      <formula1>Projections!$H$6:$H$401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0"/>
    <col customWidth="1" min="2" max="4" width="7.25"/>
    <col customWidth="1" min="5" max="5" width="4.75"/>
    <col customWidth="1" min="6" max="6" width="5.0"/>
    <col customWidth="1" min="7" max="7" width="7.25"/>
    <col customWidth="1" min="8" max="8" width="22.13"/>
    <col customWidth="1" min="9" max="9" width="3.5"/>
    <col customWidth="1" min="10" max="10" width="9.13"/>
    <col customWidth="1" min="11" max="11" width="8.88"/>
    <col customWidth="1" min="12" max="12" width="8.63"/>
    <col customWidth="1" min="13" max="13" width="8.5"/>
    <col customWidth="1" min="14" max="20" width="6.63"/>
    <col customWidth="1" min="21" max="21" width="6.5"/>
    <col customWidth="1" min="22" max="22" width="5.0"/>
    <col customWidth="1" min="23" max="23" width="5.13"/>
    <col customWidth="1" min="24" max="27" width="5.0"/>
    <col customWidth="1" min="28" max="28" width="5.38"/>
    <col customWidth="1" min="29" max="29" width="5.0"/>
    <col customWidth="1" min="30" max="31" width="5.63"/>
    <col customWidth="1" min="33" max="33" width="14.25"/>
  </cols>
  <sheetData>
    <row r="1">
      <c r="A1" s="2"/>
      <c r="B1" s="2"/>
      <c r="C1" s="2"/>
      <c r="D1" s="2"/>
      <c r="E1" s="2"/>
      <c r="F1" s="2"/>
      <c r="W1" s="2"/>
    </row>
    <row r="2">
      <c r="G2" s="6" t="s">
        <v>4</v>
      </c>
      <c r="H2" s="8" t="s">
        <v>8</v>
      </c>
      <c r="I2" s="9"/>
      <c r="J2" s="4" t="s">
        <v>19</v>
      </c>
      <c r="K2" s="4" t="s">
        <v>23</v>
      </c>
      <c r="L2" s="4" t="s">
        <v>2</v>
      </c>
      <c r="M2" s="6" t="s">
        <v>3</v>
      </c>
      <c r="N2" s="4" t="s">
        <v>5</v>
      </c>
      <c r="O2" s="4" t="s">
        <v>7</v>
      </c>
      <c r="P2" s="4" t="s">
        <v>9</v>
      </c>
      <c r="Q2" s="4" t="s">
        <v>32</v>
      </c>
      <c r="R2" s="4" t="s">
        <v>12</v>
      </c>
      <c r="S2" s="4" t="s">
        <v>13</v>
      </c>
      <c r="T2" s="4" t="s">
        <v>15</v>
      </c>
      <c r="U2" s="4" t="s">
        <v>33</v>
      </c>
      <c r="V2" s="4" t="s">
        <v>34</v>
      </c>
      <c r="W2" s="4" t="s">
        <v>35</v>
      </c>
      <c r="X2" s="4" t="s">
        <v>36</v>
      </c>
      <c r="Y2" s="4" t="s">
        <v>37</v>
      </c>
    </row>
    <row r="3">
      <c r="G3" s="15" t="s">
        <v>40</v>
      </c>
      <c r="H3" s="19" t="b">
        <v>1</v>
      </c>
      <c r="I3" s="20"/>
      <c r="J3" s="19" t="b">
        <v>0</v>
      </c>
      <c r="K3" s="19" t="b">
        <v>0</v>
      </c>
      <c r="L3" s="12">
        <v>1.5</v>
      </c>
      <c r="M3" s="12">
        <v>1.0</v>
      </c>
      <c r="N3" s="12">
        <v>1.0</v>
      </c>
      <c r="O3" s="12">
        <v>1.25</v>
      </c>
      <c r="P3" s="12">
        <v>1.25</v>
      </c>
      <c r="Q3" s="12">
        <v>0.0</v>
      </c>
      <c r="R3" s="12">
        <v>0.0</v>
      </c>
      <c r="S3" s="12">
        <v>0.5</v>
      </c>
      <c r="T3" s="12">
        <v>0.0</v>
      </c>
      <c r="U3" s="12" t="s">
        <v>33</v>
      </c>
      <c r="V3" s="12" t="s">
        <v>34</v>
      </c>
      <c r="W3" s="12" t="s">
        <v>35</v>
      </c>
      <c r="X3" s="12" t="s">
        <v>36</v>
      </c>
      <c r="Y3" s="12" t="s">
        <v>37</v>
      </c>
    </row>
    <row r="5">
      <c r="A5" s="21" t="s">
        <v>67</v>
      </c>
      <c r="B5" s="21" t="s">
        <v>70</v>
      </c>
      <c r="C5" s="21" t="s">
        <v>71</v>
      </c>
      <c r="D5" s="21" t="s">
        <v>73</v>
      </c>
      <c r="E5" s="21" t="s">
        <v>74</v>
      </c>
      <c r="F5" s="21" t="s">
        <v>76</v>
      </c>
      <c r="G5" s="21" t="s">
        <v>77</v>
      </c>
      <c r="H5" s="22" t="s">
        <v>79</v>
      </c>
      <c r="I5" s="21" t="s">
        <v>81</v>
      </c>
      <c r="J5" s="22" t="s">
        <v>82</v>
      </c>
      <c r="K5" s="21" t="s">
        <v>83</v>
      </c>
      <c r="L5" s="22" t="s">
        <v>40</v>
      </c>
      <c r="M5" s="21" t="s">
        <v>84</v>
      </c>
      <c r="N5" s="21" t="s">
        <v>2</v>
      </c>
      <c r="O5" s="21" t="s">
        <v>3</v>
      </c>
      <c r="P5" s="21" t="s">
        <v>5</v>
      </c>
      <c r="Q5" s="21" t="s">
        <v>7</v>
      </c>
      <c r="R5" s="21" t="s">
        <v>9</v>
      </c>
      <c r="S5" s="21" t="s">
        <v>10</v>
      </c>
      <c r="T5" s="21" t="s">
        <v>12</v>
      </c>
      <c r="U5" s="21" t="s">
        <v>13</v>
      </c>
      <c r="V5" s="21" t="s">
        <v>15</v>
      </c>
      <c r="W5" s="22" t="s">
        <v>90</v>
      </c>
      <c r="X5" s="22" t="s">
        <v>92</v>
      </c>
      <c r="Y5" s="22" t="s">
        <v>93</v>
      </c>
      <c r="Z5" s="22" t="s">
        <v>95</v>
      </c>
      <c r="AA5" s="22" t="s">
        <v>96</v>
      </c>
      <c r="AB5" s="22" t="s">
        <v>98</v>
      </c>
      <c r="AC5" s="22" t="s">
        <v>100</v>
      </c>
      <c r="AD5" s="22" t="s">
        <v>102</v>
      </c>
      <c r="AE5" s="22" t="s">
        <v>103</v>
      </c>
    </row>
    <row r="6">
      <c r="A6" s="12" t="str">
        <f>IF(VLOOKUP(H6,'Paste #BBall'!$C$2:$Q$201,3,)="BRO","BKN",IF(VLOOKUP(H6,'Paste #BBall'!$C$2:$Q$201,3,)="OKL","OKC",VLOOKUP(H6,'Paste #BBall'!$C$2:$Q$201,3,)))</f>
        <v>CHI</v>
      </c>
      <c r="B6" s="12">
        <f>VLOOKUP(A6,'Paste #BBall'!$A$204:$D$233,4,)</f>
        <v>4</v>
      </c>
      <c r="C6" s="12">
        <f>VLOOKUP(A6,'Paste #BBall'!$A$204:$C$233,3,)</f>
        <v>2</v>
      </c>
      <c r="D6" s="12">
        <f>VLOOKUP(A6,'Paste #BBall'!$A$204:$B$233,2,)</f>
        <v>3</v>
      </c>
      <c r="E6" s="12">
        <f t="shared" ref="E6:E205" si="1">SUM(B6:D6)</f>
        <v>9</v>
      </c>
      <c r="F6" s="12">
        <v>1.0</v>
      </c>
      <c r="G6" s="24">
        <f>IFERROR(__xludf.DUMMYFUNCTION("Filter('NO USAR3'!B5:Z395,IF('NO USAR3'!AA5:AA395="""",FALSE,TRUE),NOT(COUNTIF('NO USAR3'!A5:A148,'NO USAR3'!C5:C395)))"),76.0)</f>
        <v>76</v>
      </c>
      <c r="H6" s="25" t="str">
        <f>IFERROR(__xludf.DUMMYFUNCTION("""COMPUTED_VALUE"""),"Lonzo Ball")</f>
        <v>Lonzo Ball</v>
      </c>
      <c r="I6" s="25">
        <f>IFERROR(__xludf.DUMMYFUNCTION("""COMPUTED_VALUE"""),66.0)</f>
        <v>66</v>
      </c>
      <c r="J6" s="23" t="str">
        <f>IFERROR(__xludf.DUMMYFUNCTION("""COMPUTED_VALUE"""),"PG")</f>
        <v>PG</v>
      </c>
      <c r="K6" s="23">
        <f>IFERROR(__xludf.DUMMYFUNCTION("""COMPUTED_VALUE"""),-0.8495294929194547)</f>
        <v>-0.8495294929</v>
      </c>
      <c r="L6" s="23">
        <f>IFERROR(__xludf.DUMMYFUNCTION("""COMPUTED_VALUE"""),-0.038425265583858725)</f>
        <v>-0.03842526558</v>
      </c>
      <c r="M6" s="26">
        <f>IFERROR(__xludf.DUMMYFUNCTION("""COMPUTED_VALUE"""),0.811104227335596)</f>
        <v>0.8111042273</v>
      </c>
      <c r="N6" s="26">
        <f>IFERROR(__xludf.DUMMYFUNCTION("""COMPUTED_VALUE"""),10.3)</f>
        <v>10.3</v>
      </c>
      <c r="O6" s="26">
        <f>IFERROR(__xludf.DUMMYFUNCTION("""COMPUTED_VALUE"""),2.3)</f>
        <v>2.3</v>
      </c>
      <c r="P6" s="26">
        <f>IFERROR(__xludf.DUMMYFUNCTION("""COMPUTED_VALUE"""),4.4)</f>
        <v>4.4</v>
      </c>
      <c r="Q6" s="27">
        <f>IFERROR(__xludf.DUMMYFUNCTION("""COMPUTED_VALUE"""),4.6)</f>
        <v>4.6</v>
      </c>
      <c r="R6" s="26">
        <f>IFERROR(__xludf.DUMMYFUNCTION("""COMPUTED_VALUE"""),1.3)</f>
        <v>1.3</v>
      </c>
      <c r="S6" s="26">
        <f>IFERROR(__xludf.DUMMYFUNCTION("""COMPUTED_VALUE"""),0.6)</f>
        <v>0.6</v>
      </c>
      <c r="T6" s="26">
        <f>IFERROR(__xludf.DUMMYFUNCTION("""COMPUTED_VALUE"""),40.86021505376344)</f>
        <v>40.86021505</v>
      </c>
      <c r="U6" s="26">
        <f>IFERROR(__xludf.DUMMYFUNCTION("""COMPUTED_VALUE"""),80.0)</f>
        <v>80</v>
      </c>
      <c r="V6" s="26">
        <f>IFERROR(__xludf.DUMMYFUNCTION("""COMPUTED_VALUE"""),2.1)</f>
        <v>2.1</v>
      </c>
      <c r="W6" s="31">
        <f>IFERROR(__xludf.DUMMYFUNCTION("""COMPUTED_VALUE"""),-1.771598474828728)</f>
        <v>-1.771598475</v>
      </c>
      <c r="X6" s="23">
        <f>IFERROR(__xludf.DUMMYFUNCTION("""COMPUTED_VALUE"""),0.6865466714679571)</f>
        <v>0.6865466715</v>
      </c>
      <c r="Y6" s="23">
        <f>IFERROR(__xludf.DUMMYFUNCTION("""COMPUTED_VALUE"""),-0.683555322539028)</f>
        <v>-0.6835553225</v>
      </c>
      <c r="Z6" s="23">
        <f>IFERROR(__xludf.DUMMYFUNCTION("""COMPUTED_VALUE"""),0.5124748429845672)</f>
        <v>0.512474843</v>
      </c>
      <c r="AA6" s="31">
        <f>IFERROR(__xludf.DUMMYFUNCTION("""COMPUTED_VALUE"""),1.209937837528042)</f>
        <v>1.209937838</v>
      </c>
      <c r="AB6" s="23">
        <f>IFERROR(__xludf.DUMMYFUNCTION("""COMPUTED_VALUE"""),0.0)</f>
        <v>0</v>
      </c>
      <c r="AC6" s="23">
        <f>IFERROR(__xludf.DUMMYFUNCTION("""COMPUTED_VALUE"""),0.0)</f>
        <v>0</v>
      </c>
      <c r="AD6" s="31">
        <f>IFERROR(__xludf.DUMMYFUNCTION("""COMPUTED_VALUE"""),0.007769179803330916)</f>
        <v>0.007769179803</v>
      </c>
      <c r="AE6" s="23">
        <f>IFERROR(__xludf.DUMMYFUNCTION("""COMPUTED_VALUE"""),0.0)</f>
        <v>0</v>
      </c>
      <c r="AL6" s="32"/>
    </row>
    <row r="7">
      <c r="A7" s="12" t="str">
        <f>IF(VLOOKUP(H7,'Paste #BBall'!$C$2:$Q$201,3,)="BRO","BKN",IF(VLOOKUP(H7,'Paste #BBall'!$C$2:$Q$201,3,)="OKL","OKC",VLOOKUP(H7,'Paste #BBall'!$C$2:$Q$201,3,)))</f>
        <v>ATL</v>
      </c>
      <c r="B7" s="12">
        <f>VLOOKUP(A7,'Paste #BBall'!$A$204:$D$233,4,)</f>
        <v>3</v>
      </c>
      <c r="C7" s="12">
        <f>VLOOKUP(A7,'Paste #BBall'!$A$204:$C$233,3,)</f>
        <v>4</v>
      </c>
      <c r="D7" s="12">
        <f>VLOOKUP(A7,'Paste #BBall'!$A$204:$B$233,2,)</f>
        <v>3</v>
      </c>
      <c r="E7" s="12">
        <f t="shared" si="1"/>
        <v>10</v>
      </c>
      <c r="F7" s="12">
        <v>2.0</v>
      </c>
      <c r="G7" s="25">
        <f>IFERROR(__xludf.DUMMYFUNCTION("""COMPUTED_VALUE"""),100.0)</f>
        <v>100</v>
      </c>
      <c r="H7" s="25" t="str">
        <f>IFERROR(__xludf.DUMMYFUNCTION("""COMPUTED_VALUE"""),"Bogdan Bogdanovic")</f>
        <v>Bogdan Bogdanovic</v>
      </c>
      <c r="I7" s="25">
        <f>IFERROR(__xludf.DUMMYFUNCTION("""COMPUTED_VALUE"""),64.0)</f>
        <v>64</v>
      </c>
      <c r="J7" s="23" t="str">
        <f>IFERROR(__xludf.DUMMYFUNCTION("""COMPUTED_VALUE"""),"SG/SF")</f>
        <v>SG/SF</v>
      </c>
      <c r="K7" s="23">
        <f>IFERROR(__xludf.DUMMYFUNCTION("""COMPUTED_VALUE"""),-1.8930544712636013)</f>
        <v>-1.893054471</v>
      </c>
      <c r="L7" s="23">
        <f>IFERROR(__xludf.DUMMYFUNCTION("""COMPUTED_VALUE"""),-0.43986477131310475)</f>
        <v>-0.4398647713</v>
      </c>
      <c r="M7" s="26">
        <f>IFERROR(__xludf.DUMMYFUNCTION("""COMPUTED_VALUE"""),1.4531896999504965)</f>
        <v>1.4531897</v>
      </c>
      <c r="N7" s="26">
        <f>IFERROR(__xludf.DUMMYFUNCTION("""COMPUTED_VALUE"""),14.7)</f>
        <v>14.7</v>
      </c>
      <c r="O7" s="26">
        <f>IFERROR(__xludf.DUMMYFUNCTION("""COMPUTED_VALUE"""),2.6)</f>
        <v>2.6</v>
      </c>
      <c r="P7" s="26">
        <f>IFERROR(__xludf.DUMMYFUNCTION("""COMPUTED_VALUE"""),3.9)</f>
        <v>3.9</v>
      </c>
      <c r="Q7" s="27">
        <f>IFERROR(__xludf.DUMMYFUNCTION("""COMPUTED_VALUE"""),2.9)</f>
        <v>2.9</v>
      </c>
      <c r="R7" s="26">
        <f>IFERROR(__xludf.DUMMYFUNCTION("""COMPUTED_VALUE"""),1.1)</f>
        <v>1.1</v>
      </c>
      <c r="S7" s="26">
        <f>IFERROR(__xludf.DUMMYFUNCTION("""COMPUTED_VALUE"""),0.2)</f>
        <v>0.2</v>
      </c>
      <c r="T7" s="26">
        <f>IFERROR(__xludf.DUMMYFUNCTION("""COMPUTED_VALUE"""),43.442622950819676)</f>
        <v>43.44262295</v>
      </c>
      <c r="U7" s="26">
        <f>IFERROR(__xludf.DUMMYFUNCTION("""COMPUTED_VALUE"""),83.33333333333333)</f>
        <v>83.33333333</v>
      </c>
      <c r="V7" s="26">
        <f>IFERROR(__xludf.DUMMYFUNCTION("""COMPUTED_VALUE"""),1.1)</f>
        <v>1.1</v>
      </c>
      <c r="W7" s="23">
        <f>IFERROR(__xludf.DUMMYFUNCTION("""COMPUTED_VALUE"""),-0.5999451306365412)</f>
        <v>-0.5999451306</v>
      </c>
      <c r="X7" s="23">
        <f>IFERROR(__xludf.DUMMYFUNCTION("""COMPUTED_VALUE"""),0.9865333402325488)</f>
        <v>0.9865333402</v>
      </c>
      <c r="Y7" s="23">
        <f>IFERROR(__xludf.DUMMYFUNCTION("""COMPUTED_VALUE"""),-0.8876630240586981)</f>
        <v>-0.8876630241</v>
      </c>
      <c r="Z7" s="23">
        <f>IFERROR(__xludf.DUMMYFUNCTION("""COMPUTED_VALUE"""),-0.4577036153711197)</f>
        <v>-0.4577036154</v>
      </c>
      <c r="AA7" s="23">
        <f>IFERROR(__xludf.DUMMYFUNCTION("""COMPUTED_VALUE"""),0.39233811965195126)</f>
        <v>0.3923381197</v>
      </c>
      <c r="AB7" s="23">
        <f>IFERROR(__xludf.DUMMYFUNCTION("""COMPUTED_VALUE"""),0.0)</f>
        <v>0</v>
      </c>
      <c r="AC7" s="23">
        <f>IFERROR(__xludf.DUMMYFUNCTION("""COMPUTED_VALUE"""),0.0)</f>
        <v>0</v>
      </c>
      <c r="AD7" s="23">
        <f>IFERROR(__xludf.DUMMYFUNCTION("""COMPUTED_VALUE"""),0.1265755388687542)</f>
        <v>0.1265755389</v>
      </c>
      <c r="AE7" s="23">
        <f>IFERROR(__xludf.DUMMYFUNCTION("""COMPUTED_VALUE"""),0.0)</f>
        <v>0</v>
      </c>
      <c r="AH7" s="35"/>
      <c r="AI7" s="35"/>
      <c r="AJ7" s="35"/>
      <c r="AK7" s="35"/>
      <c r="AL7" s="35"/>
      <c r="AM7" s="35"/>
      <c r="AN7" s="35"/>
      <c r="AO7" s="35"/>
      <c r="AP7" s="35"/>
    </row>
    <row r="8">
      <c r="A8" s="12" t="str">
        <f>IF(VLOOKUP(H8,'Paste #BBall'!$C$2:$Q$201,3,)="BRO","BKN",IF(VLOOKUP(H8,'Paste #BBall'!$C$2:$Q$201,3,)="OKL","OKC",VLOOKUP(H8,'Paste #BBall'!$C$2:$Q$201,3,)))</f>
        <v>MEM</v>
      </c>
      <c r="B8" s="12">
        <f>VLOOKUP(A8,'Paste #BBall'!$A$204:$D$233,4,)</f>
        <v>4</v>
      </c>
      <c r="C8" s="12">
        <f>VLOOKUP(A8,'Paste #BBall'!$A$204:$C$233,3,)</f>
        <v>3</v>
      </c>
      <c r="D8" s="12">
        <f>VLOOKUP(A8,'Paste #BBall'!$A$204:$B$233,2,)</f>
        <v>4</v>
      </c>
      <c r="E8" s="12">
        <f t="shared" si="1"/>
        <v>11</v>
      </c>
      <c r="F8" s="12">
        <v>3.0</v>
      </c>
      <c r="G8" s="25">
        <f>IFERROR(__xludf.DUMMYFUNCTION("""COMPUTED_VALUE"""),124.0)</f>
        <v>124</v>
      </c>
      <c r="H8" s="25" t="str">
        <f>IFERROR(__xludf.DUMMYFUNCTION("""COMPUTED_VALUE"""),"Dillon Brooks")</f>
        <v>Dillon Brooks</v>
      </c>
      <c r="I8" s="25">
        <f>IFERROR(__xludf.DUMMYFUNCTION("""COMPUTED_VALUE"""),72.0)</f>
        <v>72</v>
      </c>
      <c r="J8" s="23" t="str">
        <f>IFERROR(__xludf.DUMMYFUNCTION("""COMPUTED_VALUE"""),"SG/SF")</f>
        <v>SG/SF</v>
      </c>
      <c r="K8" s="23">
        <f>IFERROR(__xludf.DUMMYFUNCTION("""COMPUTED_VALUE"""),-2.6767779097681297)</f>
        <v>-2.67677791</v>
      </c>
      <c r="L8" s="23">
        <f>IFERROR(__xludf.DUMMYFUNCTION("""COMPUTED_VALUE"""),-0.8015330545038539)</f>
        <v>-0.8015330545</v>
      </c>
      <c r="M8" s="26">
        <f>IFERROR(__xludf.DUMMYFUNCTION("""COMPUTED_VALUE"""),1.8752448552642758)</f>
        <v>1.875244855</v>
      </c>
      <c r="N8" s="26">
        <f>IFERROR(__xludf.DUMMYFUNCTION("""COMPUTED_VALUE"""),19.6)</f>
        <v>19.6</v>
      </c>
      <c r="O8" s="26">
        <f>IFERROR(__xludf.DUMMYFUNCTION("""COMPUTED_VALUE"""),1.5)</f>
        <v>1.5</v>
      </c>
      <c r="P8" s="26">
        <f>IFERROR(__xludf.DUMMYFUNCTION("""COMPUTED_VALUE"""),3.5)</f>
        <v>3.5</v>
      </c>
      <c r="Q8" s="27">
        <f>IFERROR(__xludf.DUMMYFUNCTION("""COMPUTED_VALUE"""),2.4)</f>
        <v>2.4</v>
      </c>
      <c r="R8" s="26">
        <f>IFERROR(__xludf.DUMMYFUNCTION("""COMPUTED_VALUE"""),1.0)</f>
        <v>1</v>
      </c>
      <c r="S8" s="26">
        <f>IFERROR(__xludf.DUMMYFUNCTION("""COMPUTED_VALUE"""),0.3)</f>
        <v>0.3</v>
      </c>
      <c r="T8" s="26">
        <f>IFERROR(__xludf.DUMMYFUNCTION("""COMPUTED_VALUE"""),42.13483146067416)</f>
        <v>42.13483146</v>
      </c>
      <c r="U8" s="26">
        <f>IFERROR(__xludf.DUMMYFUNCTION("""COMPUTED_VALUE"""),86.11111111111111)</f>
        <v>86.11111111</v>
      </c>
      <c r="V8" s="26">
        <f>IFERROR(__xludf.DUMMYFUNCTION("""COMPUTED_VALUE"""),1.8)</f>
        <v>1.8</v>
      </c>
      <c r="W8" s="23">
        <f>IFERROR(__xludf.DUMMYFUNCTION("""COMPUTED_VALUE"""),0.7048506390320313)</f>
        <v>0.704850639</v>
      </c>
      <c r="X8" s="23">
        <f>IFERROR(__xludf.DUMMYFUNCTION("""COMPUTED_VALUE"""),-0.1134177785709532)</f>
        <v>-0.1134177786</v>
      </c>
      <c r="Y8" s="23">
        <f>IFERROR(__xludf.DUMMYFUNCTION("""COMPUTED_VALUE"""),-1.0509491852744342)</f>
        <v>-1.050949185</v>
      </c>
      <c r="Z8" s="23">
        <f>IFERROR(__xludf.DUMMYFUNCTION("""COMPUTED_VALUE"""),-0.743050220769851)</f>
        <v>-0.7430502208</v>
      </c>
      <c r="AA8" s="23">
        <f>IFERROR(__xludf.DUMMYFUNCTION("""COMPUTED_VALUE"""),-0.01646173928609459)</f>
        <v>-0.01646173929</v>
      </c>
      <c r="AB8" s="23">
        <f>IFERROR(__xludf.DUMMYFUNCTION("""COMPUTED_VALUE"""),0.0)</f>
        <v>0</v>
      </c>
      <c r="AC8" s="23">
        <f>IFERROR(__xludf.DUMMYFUNCTION("""COMPUTED_VALUE"""),0.0)</f>
        <v>0</v>
      </c>
      <c r="AD8" s="23">
        <f>IFERROR(__xludf.DUMMYFUNCTION("""COMPUTED_VALUE"""),0.4174952303654477)</f>
        <v>0.4174952304</v>
      </c>
      <c r="AE8" s="23">
        <f>IFERROR(__xludf.DUMMYFUNCTION("""COMPUTED_VALUE"""),0.0)</f>
        <v>0</v>
      </c>
      <c r="AH8" s="37"/>
      <c r="AI8" s="37"/>
      <c r="AJ8" s="37"/>
      <c r="AK8" s="37"/>
      <c r="AL8" s="38"/>
      <c r="AM8" s="37"/>
      <c r="AN8" s="37"/>
      <c r="AO8" s="37"/>
      <c r="AP8" s="37"/>
    </row>
    <row r="9">
      <c r="A9" s="12" t="str">
        <f>IF(VLOOKUP(H9,'Paste #BBall'!$C$2:$Q$201,3,)="BRO","BKN",IF(VLOOKUP(H9,'Paste #BBall'!$C$2:$Q$201,3,)="OKL","OKC",VLOOKUP(H9,'Paste #BBall'!$C$2:$Q$201,3,)))</f>
        <v>PHI</v>
      </c>
      <c r="B9" s="12">
        <f>VLOOKUP(A9,'Paste #BBall'!$A$204:$D$233,4,)</f>
        <v>3</v>
      </c>
      <c r="C9" s="12">
        <f>VLOOKUP(A9,'Paste #BBall'!$A$204:$C$233,3,)</f>
        <v>4</v>
      </c>
      <c r="D9" s="12">
        <f>VLOOKUP(A9,'Paste #BBall'!$A$204:$B$233,2,)</f>
        <v>3</v>
      </c>
      <c r="E9" s="12">
        <f t="shared" si="1"/>
        <v>10</v>
      </c>
      <c r="F9" s="12">
        <v>4.0</v>
      </c>
      <c r="G9" s="25">
        <f>IFERROR(__xludf.DUMMYFUNCTION("""COMPUTED_VALUE"""),96.0)</f>
        <v>96</v>
      </c>
      <c r="H9" s="25" t="str">
        <f>IFERROR(__xludf.DUMMYFUNCTION("""COMPUTED_VALUE"""),"De'Anthony Melton")</f>
        <v>De'Anthony Melton</v>
      </c>
      <c r="I9" s="25">
        <f>IFERROR(__xludf.DUMMYFUNCTION("""COMPUTED_VALUE"""),72.0)</f>
        <v>72</v>
      </c>
      <c r="J9" s="23" t="str">
        <f>IFERROR(__xludf.DUMMYFUNCTION("""COMPUTED_VALUE"""),"PG/SG")</f>
        <v>PG/SG</v>
      </c>
      <c r="K9" s="23">
        <f>IFERROR(__xludf.DUMMYFUNCTION("""COMPUTED_VALUE"""),-1.817659418801747)</f>
        <v>-1.817659419</v>
      </c>
      <c r="L9" s="23">
        <f>IFERROR(__xludf.DUMMYFUNCTION("""COMPUTED_VALUE"""),-1.0159198979675303)</f>
        <v>-1.015919898</v>
      </c>
      <c r="M9" s="26">
        <f>IFERROR(__xludf.DUMMYFUNCTION("""COMPUTED_VALUE"""),0.8017395208342166)</f>
        <v>0.8017395208</v>
      </c>
      <c r="N9" s="26">
        <f>IFERROR(__xludf.DUMMYFUNCTION("""COMPUTED_VALUE"""),12.1)</f>
        <v>12.1</v>
      </c>
      <c r="O9" s="26">
        <f>IFERROR(__xludf.DUMMYFUNCTION("""COMPUTED_VALUE"""),2.0)</f>
        <v>2</v>
      </c>
      <c r="P9" s="26">
        <f>IFERROR(__xludf.DUMMYFUNCTION("""COMPUTED_VALUE"""),4.1)</f>
        <v>4.1</v>
      </c>
      <c r="Q9" s="27">
        <f>IFERROR(__xludf.DUMMYFUNCTION("""COMPUTED_VALUE"""),2.7)</f>
        <v>2.7</v>
      </c>
      <c r="R9" s="26">
        <f>IFERROR(__xludf.DUMMYFUNCTION("""COMPUTED_VALUE"""),1.3)</f>
        <v>1.3</v>
      </c>
      <c r="S9" s="26">
        <f>IFERROR(__xludf.DUMMYFUNCTION("""COMPUTED_VALUE"""),0.6)</f>
        <v>0.6</v>
      </c>
      <c r="T9" s="26">
        <f>IFERROR(__xludf.DUMMYFUNCTION("""COMPUTED_VALUE"""),41.12149532710281)</f>
        <v>41.12149533</v>
      </c>
      <c r="U9" s="26">
        <f>IFERROR(__xludf.DUMMYFUNCTION("""COMPUTED_VALUE"""),81.25)</f>
        <v>81.25</v>
      </c>
      <c r="V9" s="26">
        <f>IFERROR(__xludf.DUMMYFUNCTION("""COMPUTED_VALUE"""),1.7)</f>
        <v>1.7</v>
      </c>
      <c r="W9" s="23">
        <f>IFERROR(__xludf.DUMMYFUNCTION("""COMPUTED_VALUE"""),-1.2922857431137424)</f>
        <v>-1.292285743</v>
      </c>
      <c r="X9" s="23">
        <f>IFERROR(__xludf.DUMMYFUNCTION("""COMPUTED_VALUE"""),0.3865600027033658)</f>
        <v>0.3865600027</v>
      </c>
      <c r="Y9" s="23">
        <f>IFERROR(__xludf.DUMMYFUNCTION("""COMPUTED_VALUE"""),-0.8060199434508303)</f>
        <v>-0.8060199435</v>
      </c>
      <c r="Z9" s="23">
        <f>IFERROR(__xludf.DUMMYFUNCTION("""COMPUTED_VALUE"""),-0.5718422575306121)</f>
        <v>-0.5718422575</v>
      </c>
      <c r="AA9" s="23">
        <f>IFERROR(__xludf.DUMMYFUNCTION("""COMPUTED_VALUE"""),1.209937837528042)</f>
        <v>1.209937838</v>
      </c>
      <c r="AB9" s="23">
        <f>IFERROR(__xludf.DUMMYFUNCTION("""COMPUTED_VALUE"""),0.0)</f>
        <v>0</v>
      </c>
      <c r="AC9" s="23">
        <f>IFERROR(__xludf.DUMMYFUNCTION("""COMPUTED_VALUE"""),0.0)</f>
        <v>0</v>
      </c>
      <c r="AD9" s="23">
        <f>IFERROR(__xludf.DUMMYFUNCTION("""COMPUTED_VALUE"""),0.05773020589624655)</f>
        <v>0.0577302059</v>
      </c>
      <c r="AE9" s="23">
        <f>IFERROR(__xludf.DUMMYFUNCTION("""COMPUTED_VALUE"""),0.0)</f>
        <v>0</v>
      </c>
      <c r="AH9" s="37"/>
      <c r="AI9" s="37"/>
      <c r="AJ9" s="37"/>
      <c r="AK9" s="37"/>
      <c r="AL9" s="38"/>
      <c r="AM9" s="37"/>
      <c r="AN9" s="37"/>
      <c r="AO9" s="37"/>
      <c r="AP9" s="37"/>
    </row>
    <row r="10">
      <c r="A10" s="12" t="str">
        <f>IF(VLOOKUP(H10,'Paste #BBall'!$C$2:$Q$201,3,)="BRO","BKN",IF(VLOOKUP(H10,'Paste #BBall'!$C$2:$Q$201,3,)="OKL","OKC",VLOOKUP(H10,'Paste #BBall'!$C$2:$Q$201,3,)))</f>
        <v>CHA</v>
      </c>
      <c r="B10" s="12">
        <f>VLOOKUP(A10,'Paste #BBall'!$A$204:$D$233,4,)</f>
        <v>3</v>
      </c>
      <c r="C10" s="12">
        <f>VLOOKUP(A10,'Paste #BBall'!$A$204:$C$233,3,)</f>
        <v>4</v>
      </c>
      <c r="D10" s="12">
        <f>VLOOKUP(A10,'Paste #BBall'!$A$204:$B$233,2,)</f>
        <v>2</v>
      </c>
      <c r="E10" s="12">
        <f t="shared" si="1"/>
        <v>9</v>
      </c>
      <c r="F10" s="12">
        <v>5.0</v>
      </c>
      <c r="G10" s="25">
        <f>IFERROR(__xludf.DUMMYFUNCTION("""COMPUTED_VALUE"""),137.0)</f>
        <v>137</v>
      </c>
      <c r="H10" s="25" t="str">
        <f>IFERROR(__xludf.DUMMYFUNCTION("""COMPUTED_VALUE"""),"Kelly Oubre Jr.")</f>
        <v>Kelly Oubre Jr.</v>
      </c>
      <c r="I10" s="25">
        <f>IFERROR(__xludf.DUMMYFUNCTION("""COMPUTED_VALUE"""),70.0)</f>
        <v>70</v>
      </c>
      <c r="J10" s="23" t="str">
        <f>IFERROR(__xludf.DUMMYFUNCTION("""COMPUTED_VALUE"""),"SG/PF")</f>
        <v>SG/PF</v>
      </c>
      <c r="K10" s="23">
        <f>IFERROR(__xludf.DUMMYFUNCTION("""COMPUTED_VALUE"""),-3.164588205533593)</f>
        <v>-3.164588206</v>
      </c>
      <c r="L10" s="23">
        <f>IFERROR(__xludf.DUMMYFUNCTION("""COMPUTED_VALUE"""),-1.4644166934643184)</f>
        <v>-1.464416693</v>
      </c>
      <c r="M10" s="26">
        <f>IFERROR(__xludf.DUMMYFUNCTION("""COMPUTED_VALUE"""),1.7001715120692746)</f>
        <v>1.700171512</v>
      </c>
      <c r="N10" s="26">
        <f>IFERROR(__xludf.DUMMYFUNCTION("""COMPUTED_VALUE"""),16.2)</f>
        <v>16.2</v>
      </c>
      <c r="O10" s="26">
        <f>IFERROR(__xludf.DUMMYFUNCTION("""COMPUTED_VALUE"""),2.7)</f>
        <v>2.7</v>
      </c>
      <c r="P10" s="26">
        <f>IFERROR(__xludf.DUMMYFUNCTION("""COMPUTED_VALUE"""),4.2)</f>
        <v>4.2</v>
      </c>
      <c r="Q10" s="27">
        <f>IFERROR(__xludf.DUMMYFUNCTION("""COMPUTED_VALUE"""),1.2)</f>
        <v>1.2</v>
      </c>
      <c r="R10" s="26">
        <f>IFERROR(__xludf.DUMMYFUNCTION("""COMPUTED_VALUE"""),1.1)</f>
        <v>1.1</v>
      </c>
      <c r="S10" s="26">
        <f>IFERROR(__xludf.DUMMYFUNCTION("""COMPUTED_VALUE"""),0.4)</f>
        <v>0.4</v>
      </c>
      <c r="T10" s="26">
        <f>IFERROR(__xludf.DUMMYFUNCTION("""COMPUTED_VALUE"""),43.609022556390975)</f>
        <v>43.60902256</v>
      </c>
      <c r="U10" s="26">
        <f>IFERROR(__xludf.DUMMYFUNCTION("""COMPUTED_VALUE"""),66.66666666666666)</f>
        <v>66.66666667</v>
      </c>
      <c r="V10" s="26">
        <f>IFERROR(__xludf.DUMMYFUNCTION("""COMPUTED_VALUE"""),1.0)</f>
        <v>1</v>
      </c>
      <c r="W10" s="23">
        <f>IFERROR(__xludf.DUMMYFUNCTION("""COMPUTED_VALUE"""),-0.20051785420738652)</f>
        <v>-0.2005178542</v>
      </c>
      <c r="X10" s="23">
        <f>IFERROR(__xludf.DUMMYFUNCTION("""COMPUTED_VALUE"""),1.0865288964874127)</f>
        <v>1.086528896</v>
      </c>
      <c r="Y10" s="23">
        <f>IFERROR(__xludf.DUMMYFUNCTION("""COMPUTED_VALUE"""),-0.765198403146896)</f>
        <v>-0.7651984031</v>
      </c>
      <c r="Z10" s="23">
        <f>IFERROR(__xludf.DUMMYFUNCTION("""COMPUTED_VALUE"""),-1.427882073726807)</f>
        <v>-1.427882074</v>
      </c>
      <c r="AA10" s="23">
        <f>IFERROR(__xludf.DUMMYFUNCTION("""COMPUTED_VALUE"""),0.39233811965195126)</f>
        <v>0.3923381197</v>
      </c>
      <c r="AB10" s="23">
        <f>IFERROR(__xludf.DUMMYFUNCTION("""COMPUTED_VALUE"""),0.0)</f>
        <v>0</v>
      </c>
      <c r="AC10" s="23">
        <f>IFERROR(__xludf.DUMMYFUNCTION("""COMPUTED_VALUE"""),0.0)</f>
        <v>0</v>
      </c>
      <c r="AD10" s="23">
        <f>IFERROR(__xludf.DUMMYFUNCTION("""COMPUTED_VALUE"""),-0.5496853785225927)</f>
        <v>-0.5496853785</v>
      </c>
      <c r="AE10" s="23">
        <f>IFERROR(__xludf.DUMMYFUNCTION("""COMPUTED_VALUE"""),0.0)</f>
        <v>0</v>
      </c>
      <c r="AH10" s="37"/>
      <c r="AI10" s="37"/>
      <c r="AJ10" s="37"/>
      <c r="AK10" s="37"/>
      <c r="AL10" s="38"/>
      <c r="AM10" s="37"/>
      <c r="AN10" s="37"/>
      <c r="AO10" s="37"/>
      <c r="AP10" s="37"/>
    </row>
    <row r="11">
      <c r="A11" s="12" t="str">
        <f>IF(VLOOKUP(H11,'Paste #BBall'!$C$2:$Q$201,3,)="BRO","BKN",IF(VLOOKUP(H11,'Paste #BBall'!$C$2:$Q$201,3,)="OKL","OKC",VLOOKUP(H11,'Paste #BBall'!$C$2:$Q$201,3,)))</f>
        <v>IND</v>
      </c>
      <c r="B11" s="12">
        <f>VLOOKUP(A11,'Paste #BBall'!$A$204:$D$233,4,)</f>
        <v>3</v>
      </c>
      <c r="C11" s="12">
        <f>VLOOKUP(A11,'Paste #BBall'!$A$204:$C$233,3,)</f>
        <v>3</v>
      </c>
      <c r="D11" s="12">
        <f>VLOOKUP(A11,'Paste #BBall'!$A$204:$B$233,2,)</f>
        <v>3</v>
      </c>
      <c r="E11" s="12">
        <f t="shared" si="1"/>
        <v>9</v>
      </c>
      <c r="F11" s="12">
        <v>6.0</v>
      </c>
      <c r="G11" s="25">
        <f>IFERROR(__xludf.DUMMYFUNCTION("""COMPUTED_VALUE"""),133.0)</f>
        <v>133</v>
      </c>
      <c r="H11" s="25" t="str">
        <f>IFERROR(__xludf.DUMMYFUNCTION("""COMPUTED_VALUE"""),"Chris Duarte")</f>
        <v>Chris Duarte</v>
      </c>
      <c r="I11" s="25">
        <f>IFERROR(__xludf.DUMMYFUNCTION("""COMPUTED_VALUE"""),67.0)</f>
        <v>67</v>
      </c>
      <c r="J11" s="23" t="str">
        <f>IFERROR(__xludf.DUMMYFUNCTION("""COMPUTED_VALUE"""),"SG")</f>
        <v>SG</v>
      </c>
      <c r="K11" s="23">
        <f>IFERROR(__xludf.DUMMYFUNCTION("""COMPUTED_VALUE"""),-3.059400187946779)</f>
        <v>-3.059400188</v>
      </c>
      <c r="L11" s="23">
        <f>IFERROR(__xludf.DUMMYFUNCTION("""COMPUTED_VALUE"""),-1.750132341625896)</f>
        <v>-1.750132342</v>
      </c>
      <c r="M11" s="26">
        <f>IFERROR(__xludf.DUMMYFUNCTION("""COMPUTED_VALUE"""),1.309267846320883)</f>
        <v>1.309267846</v>
      </c>
      <c r="N11" s="26">
        <f>IFERROR(__xludf.DUMMYFUNCTION("""COMPUTED_VALUE"""),13.9)</f>
        <v>13.9</v>
      </c>
      <c r="O11" s="26">
        <f>IFERROR(__xludf.DUMMYFUNCTION("""COMPUTED_VALUE"""),1.8)</f>
        <v>1.8</v>
      </c>
      <c r="P11" s="26">
        <f>IFERROR(__xludf.DUMMYFUNCTION("""COMPUTED_VALUE"""),4.3)</f>
        <v>4.3</v>
      </c>
      <c r="Q11" s="27">
        <f>IFERROR(__xludf.DUMMYFUNCTION("""COMPUTED_VALUE"""),2.2)</f>
        <v>2.2</v>
      </c>
      <c r="R11" s="26">
        <f>IFERROR(__xludf.DUMMYFUNCTION("""COMPUTED_VALUE"""),1.1)</f>
        <v>1.1</v>
      </c>
      <c r="S11" s="26">
        <f>IFERROR(__xludf.DUMMYFUNCTION("""COMPUTED_VALUE"""),0.2)</f>
        <v>0.2</v>
      </c>
      <c r="T11" s="26">
        <f>IFERROR(__xludf.DUMMYFUNCTION("""COMPUTED_VALUE"""),43.69747899159664)</f>
        <v>43.69747899</v>
      </c>
      <c r="U11" s="26">
        <f>IFERROR(__xludf.DUMMYFUNCTION("""COMPUTED_VALUE"""),80.95238095238095)</f>
        <v>80.95238095</v>
      </c>
      <c r="V11" s="26">
        <f>IFERROR(__xludf.DUMMYFUNCTION("""COMPUTED_VALUE"""),1.7)</f>
        <v>1.7</v>
      </c>
      <c r="W11" s="23">
        <f>IFERROR(__xludf.DUMMYFUNCTION("""COMPUTED_VALUE"""),-0.8129730113987568)</f>
        <v>-0.8129730114</v>
      </c>
      <c r="X11" s="23">
        <f>IFERROR(__xludf.DUMMYFUNCTION("""COMPUTED_VALUE"""),0.18656889019363826)</f>
        <v>0.1865688902</v>
      </c>
      <c r="Y11" s="23">
        <f>IFERROR(__xludf.DUMMYFUNCTION("""COMPUTED_VALUE"""),-0.7243768628429622)</f>
        <v>-0.7243768628</v>
      </c>
      <c r="Z11" s="23">
        <f>IFERROR(__xludf.DUMMYFUNCTION("""COMPUTED_VALUE"""),-0.8571888629293436)</f>
        <v>-0.8571888629</v>
      </c>
      <c r="AA11" s="23">
        <f>IFERROR(__xludf.DUMMYFUNCTION("""COMPUTED_VALUE"""),0.39233811965195126)</f>
        <v>0.3923381197</v>
      </c>
      <c r="AB11" s="23">
        <f>IFERROR(__xludf.DUMMYFUNCTION("""COMPUTED_VALUE"""),0.0)</f>
        <v>0</v>
      </c>
      <c r="AC11" s="23">
        <f>IFERROR(__xludf.DUMMYFUNCTION("""COMPUTED_VALUE"""),0.0)</f>
        <v>0</v>
      </c>
      <c r="AD11" s="23">
        <f>IFERROR(__xludf.DUMMYFUNCTION("""COMPUTED_VALUE"""),0.0654993856995771)</f>
        <v>0.0654993857</v>
      </c>
      <c r="AE11" s="23">
        <f>IFERROR(__xludf.DUMMYFUNCTION("""COMPUTED_VALUE"""),0.0)</f>
        <v>0</v>
      </c>
      <c r="AH11" s="37"/>
      <c r="AI11" s="37"/>
      <c r="AJ11" s="37"/>
      <c r="AK11" s="37"/>
      <c r="AL11" s="38"/>
      <c r="AM11" s="37"/>
      <c r="AN11" s="37"/>
      <c r="AO11" s="37"/>
      <c r="AP11" s="37"/>
    </row>
    <row r="12">
      <c r="A12" s="12" t="str">
        <f>IF(VLOOKUP(H12,'Paste #BBall'!$C$2:$Q$201,3,)="BRO","BKN",IF(VLOOKUP(H12,'Paste #BBall'!$C$2:$Q$201,3,)="OKL","OKC",VLOOKUP(H12,'Paste #BBall'!$C$2:$Q$201,3,)))</f>
        <v>DAL</v>
      </c>
      <c r="B12" s="12">
        <f>VLOOKUP(A12,'Paste #BBall'!$A$204:$D$233,4,)</f>
        <v>3</v>
      </c>
      <c r="C12" s="12">
        <f>VLOOKUP(A12,'Paste #BBall'!$A$204:$C$233,3,)</f>
        <v>3</v>
      </c>
      <c r="D12" s="12">
        <f>VLOOKUP(A12,'Paste #BBall'!$A$204:$B$233,2,)</f>
        <v>3</v>
      </c>
      <c r="E12" s="12">
        <f t="shared" si="1"/>
        <v>9</v>
      </c>
      <c r="F12" s="12">
        <v>7.0</v>
      </c>
      <c r="G12" s="25">
        <f>IFERROR(__xludf.DUMMYFUNCTION("""COMPUTED_VALUE"""),102.0)</f>
        <v>102</v>
      </c>
      <c r="H12" s="25" t="str">
        <f>IFERROR(__xludf.DUMMYFUNCTION("""COMPUTED_VALUE"""),"Dorian Finney-Smith")</f>
        <v>Dorian Finney-Smith</v>
      </c>
      <c r="I12" s="25">
        <f>IFERROR(__xludf.DUMMYFUNCTION("""COMPUTED_VALUE"""),76.0)</f>
        <v>76</v>
      </c>
      <c r="J12" s="23" t="str">
        <f>IFERROR(__xludf.DUMMYFUNCTION("""COMPUTED_VALUE"""),"SF/PF")</f>
        <v>SF/PF</v>
      </c>
      <c r="K12" s="23">
        <f>IFERROR(__xludf.DUMMYFUNCTION("""COMPUTED_VALUE"""),-1.903552351572669)</f>
        <v>-1.903552352</v>
      </c>
      <c r="L12" s="23">
        <f>IFERROR(__xludf.DUMMYFUNCTION("""COMPUTED_VALUE"""),-1.9139741615331212)</f>
        <v>-1.913974162</v>
      </c>
      <c r="M12" s="26">
        <f>IFERROR(__xludf.DUMMYFUNCTION("""COMPUTED_VALUE"""),-0.010421809960452055)</f>
        <v>-0.01042180996</v>
      </c>
      <c r="N12" s="26">
        <f>IFERROR(__xludf.DUMMYFUNCTION("""COMPUTED_VALUE"""),12.0)</f>
        <v>12</v>
      </c>
      <c r="O12" s="26">
        <f>IFERROR(__xludf.DUMMYFUNCTION("""COMPUTED_VALUE"""),2.2)</f>
        <v>2.2</v>
      </c>
      <c r="P12" s="26">
        <f>IFERROR(__xludf.DUMMYFUNCTION("""COMPUTED_VALUE"""),4.7)</f>
        <v>4.7</v>
      </c>
      <c r="Q12" s="27">
        <f>IFERROR(__xludf.DUMMYFUNCTION("""COMPUTED_VALUE"""),1.9)</f>
        <v>1.9</v>
      </c>
      <c r="R12" s="26">
        <f>IFERROR(__xludf.DUMMYFUNCTION("""COMPUTED_VALUE"""),1.1)</f>
        <v>1.1</v>
      </c>
      <c r="S12" s="26">
        <f>IFERROR(__xludf.DUMMYFUNCTION("""COMPUTED_VALUE"""),0.5)</f>
        <v>0.5</v>
      </c>
      <c r="T12" s="26">
        <f>IFERROR(__xludf.DUMMYFUNCTION("""COMPUTED_VALUE"""),47.368421052631575)</f>
        <v>47.36842105</v>
      </c>
      <c r="U12" s="26">
        <f>IFERROR(__xludf.DUMMYFUNCTION("""COMPUTED_VALUE"""),80.0)</f>
        <v>80</v>
      </c>
      <c r="V12" s="26">
        <f>IFERROR(__xludf.DUMMYFUNCTION("""COMPUTED_VALUE"""),1.0)</f>
        <v>1</v>
      </c>
      <c r="W12" s="23">
        <f>IFERROR(__xludf.DUMMYFUNCTION("""COMPUTED_VALUE"""),-1.3189142282090194)</f>
        <v>-1.318914228</v>
      </c>
      <c r="X12" s="23">
        <f>IFERROR(__xludf.DUMMYFUNCTION("""COMPUTED_VALUE"""),0.5865511152130937)</f>
        <v>0.5865511152</v>
      </c>
      <c r="Y12" s="23">
        <f>IFERROR(__xludf.DUMMYFUNCTION("""COMPUTED_VALUE"""),-0.5610907016272261)</f>
        <v>-0.5610907016</v>
      </c>
      <c r="Z12" s="23">
        <f>IFERROR(__xludf.DUMMYFUNCTION("""COMPUTED_VALUE"""),-1.0283968261685825)</f>
        <v>-1.028396826</v>
      </c>
      <c r="AA12" s="23">
        <f>IFERROR(__xludf.DUMMYFUNCTION("""COMPUTED_VALUE"""),0.39233811965195126)</f>
        <v>0.3923381197</v>
      </c>
      <c r="AB12" s="23">
        <f>IFERROR(__xludf.DUMMYFUNCTION("""COMPUTED_VALUE"""),0.0)</f>
        <v>0</v>
      </c>
      <c r="AC12" s="23">
        <f>IFERROR(__xludf.DUMMYFUNCTION("""COMPUTED_VALUE"""),0.0)</f>
        <v>0</v>
      </c>
      <c r="AD12" s="23">
        <f>IFERROR(__xludf.DUMMYFUNCTION("""COMPUTED_VALUE"""),0.015538359606661832)</f>
        <v>0.01553835961</v>
      </c>
      <c r="AE12" s="23">
        <f>IFERROR(__xludf.DUMMYFUNCTION("""COMPUTED_VALUE"""),0.0)</f>
        <v>0</v>
      </c>
      <c r="AH12" s="37"/>
      <c r="AI12" s="37"/>
      <c r="AJ12" s="37"/>
      <c r="AK12" s="37"/>
      <c r="AL12" s="37"/>
      <c r="AM12" s="37"/>
      <c r="AN12" s="37"/>
      <c r="AO12" s="37"/>
      <c r="AP12" s="37"/>
    </row>
    <row r="13">
      <c r="A13" s="12" t="str">
        <f>IF(VLOOKUP(H13,'Paste #BBall'!$C$2:$Q$201,3,)="BRO","BKN",IF(VLOOKUP(H13,'Paste #BBall'!$C$2:$Q$201,3,)="OKL","OKC",VLOOKUP(H13,'Paste #BBall'!$C$2:$Q$201,3,)))</f>
        <v>DEN</v>
      </c>
      <c r="B13" s="12">
        <f>VLOOKUP(A13,'Paste #BBall'!$A$204:$D$233,4,)</f>
        <v>2</v>
      </c>
      <c r="C13" s="12">
        <f>VLOOKUP(A13,'Paste #BBall'!$A$204:$C$233,3,)</f>
        <v>4</v>
      </c>
      <c r="D13" s="12">
        <f>VLOOKUP(A13,'Paste #BBall'!$A$204:$B$233,2,)</f>
        <v>4</v>
      </c>
      <c r="E13" s="12">
        <f t="shared" si="1"/>
        <v>10</v>
      </c>
      <c r="F13" s="12">
        <v>8.0</v>
      </c>
      <c r="G13" s="25">
        <f>IFERROR(__xludf.DUMMYFUNCTION("""COMPUTED_VALUE"""),120.0)</f>
        <v>120</v>
      </c>
      <c r="H13" s="25" t="str">
        <f>IFERROR(__xludf.DUMMYFUNCTION("""COMPUTED_VALUE"""),"Kentavious Caldwell-Pope")</f>
        <v>Kentavious Caldwell-Pope</v>
      </c>
      <c r="I13" s="25">
        <f>IFERROR(__xludf.DUMMYFUNCTION("""COMPUTED_VALUE"""),72.0)</f>
        <v>72</v>
      </c>
      <c r="J13" s="23" t="str">
        <f>IFERROR(__xludf.DUMMYFUNCTION("""COMPUTED_VALUE"""),"SG/SF")</f>
        <v>SG/SF</v>
      </c>
      <c r="K13" s="23">
        <f>IFERROR(__xludf.DUMMYFUNCTION("""COMPUTED_VALUE"""),-2.4757149587040717)</f>
        <v>-2.475714959</v>
      </c>
      <c r="L13" s="23">
        <f>IFERROR(__xludf.DUMMYFUNCTION("""COMPUTED_VALUE"""),-2.0287316425159547)</f>
        <v>-2.028731643</v>
      </c>
      <c r="M13" s="26">
        <f>IFERROR(__xludf.DUMMYFUNCTION("""COMPUTED_VALUE"""),0.44698331618811693)</f>
        <v>0.4469833162</v>
      </c>
      <c r="N13" s="26">
        <f>IFERROR(__xludf.DUMMYFUNCTION("""COMPUTED_VALUE"""),12.9)</f>
        <v>12.9</v>
      </c>
      <c r="O13" s="26">
        <f>IFERROR(__xludf.DUMMYFUNCTION("""COMPUTED_VALUE"""),2.0)</f>
        <v>2</v>
      </c>
      <c r="P13" s="26">
        <f>IFERROR(__xludf.DUMMYFUNCTION("""COMPUTED_VALUE"""),3.3)</f>
        <v>3.3</v>
      </c>
      <c r="Q13" s="27">
        <f>IFERROR(__xludf.DUMMYFUNCTION("""COMPUTED_VALUE"""),1.8)</f>
        <v>1.8</v>
      </c>
      <c r="R13" s="26">
        <f>IFERROR(__xludf.DUMMYFUNCTION("""COMPUTED_VALUE"""),1.1)</f>
        <v>1.1</v>
      </c>
      <c r="S13" s="26">
        <f>IFERROR(__xludf.DUMMYFUNCTION("""COMPUTED_VALUE"""),0.3)</f>
        <v>0.3</v>
      </c>
      <c r="T13" s="26">
        <f>IFERROR(__xludf.DUMMYFUNCTION("""COMPUTED_VALUE"""),43.8095238095238)</f>
        <v>43.80952381</v>
      </c>
      <c r="U13" s="26">
        <f>IFERROR(__xludf.DUMMYFUNCTION("""COMPUTED_VALUE"""),94.73684210526316)</f>
        <v>94.73684211</v>
      </c>
      <c r="V13" s="26">
        <f>IFERROR(__xludf.DUMMYFUNCTION("""COMPUTED_VALUE"""),1.3)</f>
        <v>1.3</v>
      </c>
      <c r="W13" s="23">
        <f>IFERROR(__xludf.DUMMYFUNCTION("""COMPUTED_VALUE"""),-1.0792578623515265)</f>
        <v>-1.079257862</v>
      </c>
      <c r="X13" s="23">
        <f>IFERROR(__xludf.DUMMYFUNCTION("""COMPUTED_VALUE"""),0.3865600027033658)</f>
        <v>0.3865600027</v>
      </c>
      <c r="Y13" s="23">
        <f>IFERROR(__xludf.DUMMYFUNCTION("""COMPUTED_VALUE"""),-1.1325922658823022)</f>
        <v>-1.132592266</v>
      </c>
      <c r="Z13" s="23">
        <f>IFERROR(__xludf.DUMMYFUNCTION("""COMPUTED_VALUE"""),-1.085466147248329)</f>
        <v>-1.085466147</v>
      </c>
      <c r="AA13" s="23">
        <f>IFERROR(__xludf.DUMMYFUNCTION("""COMPUTED_VALUE"""),0.39233811965195126)</f>
        <v>0.3923381197</v>
      </c>
      <c r="AB13" s="23">
        <f>IFERROR(__xludf.DUMMYFUNCTION("""COMPUTED_VALUE"""),0.0)</f>
        <v>0</v>
      </c>
      <c r="AC13" s="23">
        <f>IFERROR(__xludf.DUMMYFUNCTION("""COMPUTED_VALUE"""),0.0)</f>
        <v>0</v>
      </c>
      <c r="AD13" s="23">
        <f>IFERROR(__xludf.DUMMYFUNCTION("""COMPUTED_VALUE"""),0.48968651061088586)</f>
        <v>0.4896865106</v>
      </c>
      <c r="AE13" s="23">
        <f>IFERROR(__xludf.DUMMYFUNCTION("""COMPUTED_VALUE"""),0.0)</f>
        <v>0</v>
      </c>
      <c r="AL13" s="43"/>
    </row>
    <row r="14">
      <c r="A14" s="12" t="str">
        <f>IF(VLOOKUP(H14,'Paste #BBall'!$C$2:$Q$201,3,)="BRO","BKN",IF(VLOOKUP(H14,'Paste #BBall'!$C$2:$Q$201,3,)="OKL","OKC",VLOOKUP(H14,'Paste #BBall'!$C$2:$Q$201,3,)))</f>
        <v>MIA</v>
      </c>
      <c r="B14" s="12">
        <f>VLOOKUP(A14,'Paste #BBall'!$A$204:$D$233,4,)</f>
        <v>3</v>
      </c>
      <c r="C14" s="12">
        <f>VLOOKUP(A14,'Paste #BBall'!$A$204:$C$233,3,)</f>
        <v>4</v>
      </c>
      <c r="D14" s="12">
        <f>VLOOKUP(A14,'Paste #BBall'!$A$204:$B$233,2,)</f>
        <v>4</v>
      </c>
      <c r="E14" s="12">
        <f t="shared" si="1"/>
        <v>11</v>
      </c>
      <c r="F14" s="12">
        <v>9.0</v>
      </c>
      <c r="G14" s="25">
        <f>IFERROR(__xludf.DUMMYFUNCTION("""COMPUTED_VALUE"""),154.0)</f>
        <v>154</v>
      </c>
      <c r="H14" s="25" t="str">
        <f>IFERROR(__xludf.DUMMYFUNCTION("""COMPUTED_VALUE"""),"Victor Oladipo")</f>
        <v>Victor Oladipo</v>
      </c>
      <c r="I14" s="25">
        <f>IFERROR(__xludf.DUMMYFUNCTION("""COMPUTED_VALUE"""),60.0)</f>
        <v>60</v>
      </c>
      <c r="J14" s="23" t="str">
        <f>IFERROR(__xludf.DUMMYFUNCTION("""COMPUTED_VALUE"""),"SG")</f>
        <v>SG</v>
      </c>
      <c r="K14" s="23">
        <f>IFERROR(__xludf.DUMMYFUNCTION("""COMPUTED_VALUE"""),-3.6845677265262684)</f>
        <v>-3.684567727</v>
      </c>
      <c r="L14" s="23">
        <f>IFERROR(__xludf.DUMMYFUNCTION("""COMPUTED_VALUE"""),-2.0827878439502587)</f>
        <v>-2.082787844</v>
      </c>
      <c r="M14" s="26">
        <f>IFERROR(__xludf.DUMMYFUNCTION("""COMPUTED_VALUE"""),1.6017798825760097)</f>
        <v>1.601779883</v>
      </c>
      <c r="N14" s="26">
        <f>IFERROR(__xludf.DUMMYFUNCTION("""COMPUTED_VALUE"""),15.1)</f>
        <v>15.1</v>
      </c>
      <c r="O14" s="26">
        <f>IFERROR(__xludf.DUMMYFUNCTION("""COMPUTED_VALUE"""),2.3)</f>
        <v>2.3</v>
      </c>
      <c r="P14" s="26">
        <f>IFERROR(__xludf.DUMMYFUNCTION("""COMPUTED_VALUE"""),3.5)</f>
        <v>3.5</v>
      </c>
      <c r="Q14" s="27">
        <f>IFERROR(__xludf.DUMMYFUNCTION("""COMPUTED_VALUE"""),4.0)</f>
        <v>4</v>
      </c>
      <c r="R14" s="26">
        <f>IFERROR(__xludf.DUMMYFUNCTION("""COMPUTED_VALUE"""),0.7)</f>
        <v>0.7</v>
      </c>
      <c r="S14" s="26">
        <f>IFERROR(__xludf.DUMMYFUNCTION("""COMPUTED_VALUE"""),0.1)</f>
        <v>0.1</v>
      </c>
      <c r="T14" s="26">
        <f>IFERROR(__xludf.DUMMYFUNCTION("""COMPUTED_VALUE"""),44.53781512605042)</f>
        <v>44.53781513</v>
      </c>
      <c r="U14" s="26">
        <f>IFERROR(__xludf.DUMMYFUNCTION("""COMPUTED_VALUE"""),75.86206896551725)</f>
        <v>75.86206897</v>
      </c>
      <c r="V14" s="26">
        <f>IFERROR(__xludf.DUMMYFUNCTION("""COMPUTED_VALUE"""),2.4)</f>
        <v>2.4</v>
      </c>
      <c r="W14" s="23">
        <f>IFERROR(__xludf.DUMMYFUNCTION("""COMPUTED_VALUE"""),-0.4934311902554332)</f>
        <v>-0.4934311903</v>
      </c>
      <c r="X14" s="23">
        <f>IFERROR(__xludf.DUMMYFUNCTION("""COMPUTED_VALUE"""),0.6865466714679571)</f>
        <v>0.6865466715</v>
      </c>
      <c r="Y14" s="23">
        <f>IFERROR(__xludf.DUMMYFUNCTION("""COMPUTED_VALUE"""),-1.0509491852744342)</f>
        <v>-1.050949185</v>
      </c>
      <c r="Z14" s="23">
        <f>IFERROR(__xludf.DUMMYFUNCTION("""COMPUTED_VALUE"""),0.17005891650608962)</f>
        <v>0.1700589165</v>
      </c>
      <c r="AA14" s="23">
        <f>IFERROR(__xludf.DUMMYFUNCTION("""COMPUTED_VALUE"""),-1.2428613161002313)</f>
        <v>-1.242861316</v>
      </c>
      <c r="AB14" s="23">
        <f>IFERROR(__xludf.DUMMYFUNCTION("""COMPUTED_VALUE"""),0.0)</f>
        <v>0</v>
      </c>
      <c r="AC14" s="23">
        <f>IFERROR(__xludf.DUMMYFUNCTION("""COMPUTED_VALUE"""),0.0)</f>
        <v>0</v>
      </c>
      <c r="AD14" s="23">
        <f>IFERROR(__xludf.DUMMYFUNCTION("""COMPUTED_VALUE"""),-0.15215174029420697)</f>
        <v>-0.1521517403</v>
      </c>
      <c r="AE14" s="23">
        <f>IFERROR(__xludf.DUMMYFUNCTION("""COMPUTED_VALUE"""),0.0)</f>
        <v>0</v>
      </c>
    </row>
    <row r="15">
      <c r="A15" s="12" t="str">
        <f>IF(VLOOKUP(H15,'Paste #BBall'!$C$2:$Q$201,3,)="BRO","BKN",IF(VLOOKUP(H15,'Paste #BBall'!$C$2:$Q$201,3,)="OKL","OKC",VLOOKUP(H15,'Paste #BBall'!$C$2:$Q$201,3,)))</f>
        <v>DAL</v>
      </c>
      <c r="B15" s="12">
        <f>VLOOKUP(A15,'Paste #BBall'!$A$204:$D$233,4,)</f>
        <v>3</v>
      </c>
      <c r="C15" s="12">
        <f>VLOOKUP(A15,'Paste #BBall'!$A$204:$C$233,3,)</f>
        <v>3</v>
      </c>
      <c r="D15" s="12">
        <f>VLOOKUP(A15,'Paste #BBall'!$A$204:$B$233,2,)</f>
        <v>3</v>
      </c>
      <c r="E15" s="12">
        <f t="shared" si="1"/>
        <v>9</v>
      </c>
      <c r="F15" s="12">
        <v>10.0</v>
      </c>
      <c r="G15" s="25">
        <f>IFERROR(__xludf.DUMMYFUNCTION("""COMPUTED_VALUE"""),168.0)</f>
        <v>168</v>
      </c>
      <c r="H15" s="25" t="str">
        <f>IFERROR(__xludf.DUMMYFUNCTION("""COMPUTED_VALUE"""),"Tim Hardaway Jr.")</f>
        <v>Tim Hardaway Jr.</v>
      </c>
      <c r="I15" s="25">
        <f>IFERROR(__xludf.DUMMYFUNCTION("""COMPUTED_VALUE"""),68.0)</f>
        <v>68</v>
      </c>
      <c r="J15" s="23" t="str">
        <f>IFERROR(__xludf.DUMMYFUNCTION("""COMPUTED_VALUE"""),"SG/SF")</f>
        <v>SG/SF</v>
      </c>
      <c r="K15" s="23">
        <f>IFERROR(__xludf.DUMMYFUNCTION("""COMPUTED_VALUE"""),-4.011723958858206)</f>
        <v>-4.011723959</v>
      </c>
      <c r="L15" s="23">
        <f>IFERROR(__xludf.DUMMYFUNCTION("""COMPUTED_VALUE"""),-2.084143781963946)</f>
        <v>-2.084143782</v>
      </c>
      <c r="M15" s="26">
        <f>IFERROR(__xludf.DUMMYFUNCTION("""COMPUTED_VALUE"""),1.92758017689426)</f>
        <v>1.927580177</v>
      </c>
      <c r="N15" s="26">
        <f>IFERROR(__xludf.DUMMYFUNCTION("""COMPUTED_VALUE"""),15.1)</f>
        <v>15.1</v>
      </c>
      <c r="O15" s="26">
        <f>IFERROR(__xludf.DUMMYFUNCTION("""COMPUTED_VALUE"""),2.4)</f>
        <v>2.4</v>
      </c>
      <c r="P15" s="26">
        <f>IFERROR(__xludf.DUMMYFUNCTION("""COMPUTED_VALUE"""),3.7)</f>
        <v>3.7</v>
      </c>
      <c r="Q15" s="27">
        <f>IFERROR(__xludf.DUMMYFUNCTION("""COMPUTED_VALUE"""),2.2)</f>
        <v>2.2</v>
      </c>
      <c r="R15" s="26">
        <f>IFERROR(__xludf.DUMMYFUNCTION("""COMPUTED_VALUE"""),0.9)</f>
        <v>0.9</v>
      </c>
      <c r="S15" s="26">
        <f>IFERROR(__xludf.DUMMYFUNCTION("""COMPUTED_VALUE"""),0.1)</f>
        <v>0.1</v>
      </c>
      <c r="T15" s="26">
        <f>IFERROR(__xludf.DUMMYFUNCTION("""COMPUTED_VALUE"""),42.1875)</f>
        <v>42.1875</v>
      </c>
      <c r="U15" s="26">
        <f>IFERROR(__xludf.DUMMYFUNCTION("""COMPUTED_VALUE"""),76.0)</f>
        <v>76</v>
      </c>
      <c r="V15" s="26">
        <f>IFERROR(__xludf.DUMMYFUNCTION("""COMPUTED_VALUE"""),0.8)</f>
        <v>0.8</v>
      </c>
      <c r="W15" s="23">
        <f>IFERROR(__xludf.DUMMYFUNCTION("""COMPUTED_VALUE"""),-0.4934311902554332)</f>
        <v>-0.4934311903</v>
      </c>
      <c r="X15" s="23">
        <f>IFERROR(__xludf.DUMMYFUNCTION("""COMPUTED_VALUE"""),0.786542227722821)</f>
        <v>0.7865422277</v>
      </c>
      <c r="Y15" s="23">
        <f>IFERROR(__xludf.DUMMYFUNCTION("""COMPUTED_VALUE"""),-0.9693061046665661)</f>
        <v>-0.9693061047</v>
      </c>
      <c r="Z15" s="23">
        <f>IFERROR(__xludf.DUMMYFUNCTION("""COMPUTED_VALUE"""),-0.8571888629293436)</f>
        <v>-0.8571888629</v>
      </c>
      <c r="AA15" s="23">
        <f>IFERROR(__xludf.DUMMYFUNCTION("""COMPUTED_VALUE"""),-0.42526159822414)</f>
        <v>-0.4252615982</v>
      </c>
      <c r="AB15" s="23">
        <f>IFERROR(__xludf.DUMMYFUNCTION("""COMPUTED_VALUE"""),0.0)</f>
        <v>0</v>
      </c>
      <c r="AC15" s="23">
        <f>IFERROR(__xludf.DUMMYFUNCTION("""COMPUTED_VALUE"""),0.0)</f>
        <v>0</v>
      </c>
      <c r="AD15" s="23">
        <f>IFERROR(__xludf.DUMMYFUNCTION("""COMPUTED_VALUE"""),-0.12549825361128425)</f>
        <v>-0.1254982536</v>
      </c>
      <c r="AE15" s="23">
        <f>IFERROR(__xludf.DUMMYFUNCTION("""COMPUTED_VALUE"""),0.0)</f>
        <v>0</v>
      </c>
      <c r="AQ15" s="50"/>
    </row>
    <row r="16">
      <c r="A16" s="12" t="str">
        <f>IF(VLOOKUP(H16,'Paste #BBall'!$C$2:$Q$201,3,)="BRO","BKN",IF(VLOOKUP(H16,'Paste #BBall'!$C$2:$Q$201,3,)="OKL","OKC",VLOOKUP(H16,'Paste #BBall'!$C$2:$Q$201,3,)))</f>
        <v>CHA</v>
      </c>
      <c r="B16" s="12">
        <f>VLOOKUP(A16,'Paste #BBall'!$A$204:$D$233,4,)</f>
        <v>3</v>
      </c>
      <c r="C16" s="12">
        <f>VLOOKUP(A16,'Paste #BBall'!$A$204:$C$233,3,)</f>
        <v>4</v>
      </c>
      <c r="D16" s="12">
        <f>VLOOKUP(A16,'Paste #BBall'!$A$204:$B$233,2,)</f>
        <v>2</v>
      </c>
      <c r="E16" s="12">
        <f t="shared" si="1"/>
        <v>9</v>
      </c>
      <c r="F16" s="12">
        <v>11.0</v>
      </c>
      <c r="G16" s="25">
        <f>IFERROR(__xludf.DUMMYFUNCTION("""COMPUTED_VALUE"""),108.0)</f>
        <v>108</v>
      </c>
      <c r="H16" s="25" t="str">
        <f>IFERROR(__xludf.DUMMYFUNCTION("""COMPUTED_VALUE"""),"Cody Martin")</f>
        <v>Cody Martin</v>
      </c>
      <c r="I16" s="25">
        <f>IFERROR(__xludf.DUMMYFUNCTION("""COMPUTED_VALUE"""),72.0)</f>
        <v>72</v>
      </c>
      <c r="J16" s="23" t="str">
        <f>IFERROR(__xludf.DUMMYFUNCTION("""COMPUTED_VALUE"""),"SF")</f>
        <v>SF</v>
      </c>
      <c r="K16" s="23">
        <f>IFERROR(__xludf.DUMMYFUNCTION("""COMPUTED_VALUE"""),-2.022992408641519)</f>
        <v>-2.022992409</v>
      </c>
      <c r="L16" s="23">
        <f>IFERROR(__xludf.DUMMYFUNCTION("""COMPUTED_VALUE"""),-2.1252246978309444)</f>
        <v>-2.125224698</v>
      </c>
      <c r="M16" s="26">
        <f>IFERROR(__xludf.DUMMYFUNCTION("""COMPUTED_VALUE"""),-0.10223228918942517)</f>
        <v>-0.1022322892</v>
      </c>
      <c r="N16" s="26">
        <f>IFERROR(__xludf.DUMMYFUNCTION("""COMPUTED_VALUE"""),10.3)</f>
        <v>10.3</v>
      </c>
      <c r="O16" s="26">
        <f>IFERROR(__xludf.DUMMYFUNCTION("""COMPUTED_VALUE"""),1.1)</f>
        <v>1.1</v>
      </c>
      <c r="P16" s="26">
        <f>IFERROR(__xludf.DUMMYFUNCTION("""COMPUTED_VALUE"""),4.8)</f>
        <v>4.8</v>
      </c>
      <c r="Q16" s="27">
        <f>IFERROR(__xludf.DUMMYFUNCTION("""COMPUTED_VALUE"""),2.9)</f>
        <v>2.9</v>
      </c>
      <c r="R16" s="26">
        <f>IFERROR(__xludf.DUMMYFUNCTION("""COMPUTED_VALUE"""),1.3)</f>
        <v>1.3</v>
      </c>
      <c r="S16" s="26">
        <f>IFERROR(__xludf.DUMMYFUNCTION("""COMPUTED_VALUE"""),0.6)</f>
        <v>0.6</v>
      </c>
      <c r="T16" s="26">
        <f>IFERROR(__xludf.DUMMYFUNCTION("""COMPUTED_VALUE"""),48.192771084337345)</f>
        <v>48.19277108</v>
      </c>
      <c r="U16" s="26">
        <f>IFERROR(__xludf.DUMMYFUNCTION("""COMPUTED_VALUE"""),76.47058823529413)</f>
        <v>76.47058824</v>
      </c>
      <c r="V16" s="26">
        <f>IFERROR(__xludf.DUMMYFUNCTION("""COMPUTED_VALUE"""),1.1)</f>
        <v>1.1</v>
      </c>
      <c r="W16" s="23">
        <f>IFERROR(__xludf.DUMMYFUNCTION("""COMPUTED_VALUE"""),-1.771598474828728)</f>
        <v>-1.771598475</v>
      </c>
      <c r="X16" s="23">
        <f>IFERROR(__xludf.DUMMYFUNCTION("""COMPUTED_VALUE"""),-0.5134000035904084)</f>
        <v>-0.5134000036</v>
      </c>
      <c r="Y16" s="51">
        <f>IFERROR(__xludf.DUMMYFUNCTION("""COMPUTED_VALUE"""),-0.5202691613232922)</f>
        <v>-0.5202691613</v>
      </c>
      <c r="Z16" s="23">
        <f>IFERROR(__xludf.DUMMYFUNCTION("""COMPUTED_VALUE"""),-0.4577036153711197)</f>
        <v>-0.4577036154</v>
      </c>
      <c r="AA16" s="23">
        <f>IFERROR(__xludf.DUMMYFUNCTION("""COMPUTED_VALUE"""),1.209937837528042)</f>
        <v>1.209937838</v>
      </c>
      <c r="AB16" s="23">
        <f>IFERROR(__xludf.DUMMYFUNCTION("""COMPUTED_VALUE"""),0.0)</f>
        <v>0</v>
      </c>
      <c r="AC16" s="23">
        <f>IFERROR(__xludf.DUMMYFUNCTION("""COMPUTED_VALUE"""),0.0)</f>
        <v>0</v>
      </c>
      <c r="AD16" s="23">
        <f>IFERROR(__xludf.DUMMYFUNCTION("""COMPUTED_VALUE"""),-0.07219128024543806)</f>
        <v>-0.07219128025</v>
      </c>
      <c r="AE16" s="23">
        <f>IFERROR(__xludf.DUMMYFUNCTION("""COMPUTED_VALUE"""),0.0)</f>
        <v>0</v>
      </c>
    </row>
    <row r="17">
      <c r="A17" s="12" t="str">
        <f>IF(VLOOKUP(H17,'Paste #BBall'!$C$2:$Q$201,3,)="BRO","BKN",IF(VLOOKUP(H17,'Paste #BBall'!$C$2:$Q$201,3,)="OKL","OKC",VLOOKUP(H17,'Paste #BBall'!$C$2:$Q$201,3,)))</f>
        <v>LAC</v>
      </c>
      <c r="B17" s="12">
        <f>VLOOKUP(A17,'Paste #BBall'!$A$204:$D$233,4,)</f>
        <v>4</v>
      </c>
      <c r="C17" s="12">
        <f>VLOOKUP(A17,'Paste #BBall'!$A$204:$C$233,3,)</f>
        <v>2</v>
      </c>
      <c r="D17" s="12">
        <f>VLOOKUP(A17,'Paste #BBall'!$A$204:$B$233,2,)</f>
        <v>3</v>
      </c>
      <c r="E17" s="12">
        <f t="shared" si="1"/>
        <v>9</v>
      </c>
      <c r="F17" s="12">
        <v>12.0</v>
      </c>
      <c r="G17" s="25">
        <f>IFERROR(__xludf.DUMMYFUNCTION("""COMPUTED_VALUE"""),143.0)</f>
        <v>143</v>
      </c>
      <c r="H17" s="25" t="str">
        <f>IFERROR(__xludf.DUMMYFUNCTION("""COMPUTED_VALUE"""),"Reggie Jackson")</f>
        <v>Reggie Jackson</v>
      </c>
      <c r="I17" s="25">
        <f>IFERROR(__xludf.DUMMYFUNCTION("""COMPUTED_VALUE"""),70.0)</f>
        <v>70</v>
      </c>
      <c r="J17" s="23" t="str">
        <f>IFERROR(__xludf.DUMMYFUNCTION("""COMPUTED_VALUE"""),"PG")</f>
        <v>PG</v>
      </c>
      <c r="K17" s="23">
        <f>IFERROR(__xludf.DUMMYFUNCTION("""COMPUTED_VALUE"""),-3.297195379736017)</f>
        <v>-3.29719538</v>
      </c>
      <c r="L17" s="23">
        <f>IFERROR(__xludf.DUMMYFUNCTION("""COMPUTED_VALUE"""),-2.217482100520478)</f>
        <v>-2.217482101</v>
      </c>
      <c r="M17" s="26">
        <f>IFERROR(__xludf.DUMMYFUNCTION("""COMPUTED_VALUE"""),1.079713279215539)</f>
        <v>1.079713279</v>
      </c>
      <c r="N17" s="26">
        <f>IFERROR(__xludf.DUMMYFUNCTION("""COMPUTED_VALUE"""),15.4)</f>
        <v>15.4</v>
      </c>
      <c r="O17" s="26">
        <f>IFERROR(__xludf.DUMMYFUNCTION("""COMPUTED_VALUE"""),2.0)</f>
        <v>2</v>
      </c>
      <c r="P17" s="26">
        <f>IFERROR(__xludf.DUMMYFUNCTION("""COMPUTED_VALUE"""),3.3)</f>
        <v>3.3</v>
      </c>
      <c r="Q17" s="27">
        <f>IFERROR(__xludf.DUMMYFUNCTION("""COMPUTED_VALUE"""),4.4)</f>
        <v>4.4</v>
      </c>
      <c r="R17" s="26">
        <f>IFERROR(__xludf.DUMMYFUNCTION("""COMPUTED_VALUE"""),0.6)</f>
        <v>0.6</v>
      </c>
      <c r="S17" s="26">
        <f>IFERROR(__xludf.DUMMYFUNCTION("""COMPUTED_VALUE"""),0.2)</f>
        <v>0.2</v>
      </c>
      <c r="T17" s="26">
        <f>IFERROR(__xludf.DUMMYFUNCTION("""COMPUTED_VALUE"""),44.6969696969697)</f>
        <v>44.6969697</v>
      </c>
      <c r="U17" s="26">
        <f>IFERROR(__xludf.DUMMYFUNCTION("""COMPUTED_VALUE"""),85.0)</f>
        <v>85</v>
      </c>
      <c r="V17" s="26">
        <f>IFERROR(__xludf.DUMMYFUNCTION("""COMPUTED_VALUE"""),2.1)</f>
        <v>2.1</v>
      </c>
      <c r="W17" s="23">
        <f>IFERROR(__xludf.DUMMYFUNCTION("""COMPUTED_VALUE"""),-0.41354573496960206)</f>
        <v>-0.413545735</v>
      </c>
      <c r="X17" s="23">
        <f>IFERROR(__xludf.DUMMYFUNCTION("""COMPUTED_VALUE"""),0.3865600027033658)</f>
        <v>0.3865600027</v>
      </c>
      <c r="Y17" s="23">
        <f>IFERROR(__xludf.DUMMYFUNCTION("""COMPUTED_VALUE"""),-1.1325922658823022)</f>
        <v>-1.132592266</v>
      </c>
      <c r="Z17" s="23">
        <f>IFERROR(__xludf.DUMMYFUNCTION("""COMPUTED_VALUE"""),0.39833620082507504)</f>
        <v>0.3983362008</v>
      </c>
      <c r="AA17" s="23">
        <f>IFERROR(__xludf.DUMMYFUNCTION("""COMPUTED_VALUE"""),-1.6516611750382768)</f>
        <v>-1.651661175</v>
      </c>
      <c r="AB17" s="23">
        <f>IFERROR(__xludf.DUMMYFUNCTION("""COMPUTED_VALUE"""),0.0)</f>
        <v>0</v>
      </c>
      <c r="AC17" s="23">
        <f>IFERROR(__xludf.DUMMYFUNCTION("""COMPUTED_VALUE"""),0.0)</f>
        <v>0</v>
      </c>
      <c r="AD17" s="23">
        <f>IFERROR(__xludf.DUMMYFUNCTION("""COMPUTED_VALUE"""),0.1954208718412621)</f>
        <v>0.1954208718</v>
      </c>
      <c r="AE17" s="23">
        <f>IFERROR(__xludf.DUMMYFUNCTION("""COMPUTED_VALUE"""),0.0)</f>
        <v>0</v>
      </c>
    </row>
    <row r="18">
      <c r="A18" s="12" t="str">
        <f>IF(VLOOKUP(H18,'Paste #BBall'!$C$2:$Q$201,3,)="BRO","BKN",IF(VLOOKUP(H18,'Paste #BBall'!$C$2:$Q$201,3,)="OKL","OKC",VLOOKUP(H18,'Paste #BBall'!$C$2:$Q$201,3,)))</f>
        <v>PHX</v>
      </c>
      <c r="B18" s="12">
        <f>VLOOKUP(A18,'Paste #BBall'!$A$204:$D$233,4,)</f>
        <v>3</v>
      </c>
      <c r="C18" s="12">
        <f>VLOOKUP(A18,'Paste #BBall'!$A$204:$C$233,3,)</f>
        <v>2</v>
      </c>
      <c r="D18" s="12">
        <f>VLOOKUP(A18,'Paste #BBall'!$A$204:$B$233,2,)</f>
        <v>4</v>
      </c>
      <c r="E18" s="12">
        <f t="shared" si="1"/>
        <v>9</v>
      </c>
      <c r="F18" s="12">
        <v>13.0</v>
      </c>
      <c r="G18" s="25">
        <f>IFERROR(__xludf.DUMMYFUNCTION("""COMPUTED_VALUE"""),136.0)</f>
        <v>136</v>
      </c>
      <c r="H18" s="25" t="str">
        <f>IFERROR(__xludf.DUMMYFUNCTION("""COMPUTED_VALUE"""),"Jae Crowder")</f>
        <v>Jae Crowder</v>
      </c>
      <c r="I18" s="25">
        <f>IFERROR(__xludf.DUMMYFUNCTION("""COMPUTED_VALUE"""),70.0)</f>
        <v>70</v>
      </c>
      <c r="J18" s="23" t="str">
        <f>IFERROR(__xludf.DUMMYFUNCTION("""COMPUTED_VALUE"""),"SF/PF")</f>
        <v>SF/PF</v>
      </c>
      <c r="K18" s="23">
        <f>IFERROR(__xludf.DUMMYFUNCTION("""COMPUTED_VALUE"""),-3.157014127365177)</f>
        <v>-3.157014127</v>
      </c>
      <c r="L18" s="23">
        <f>IFERROR(__xludf.DUMMYFUNCTION("""COMPUTED_VALUE"""),-2.425792125670338)</f>
        <v>-2.425792126</v>
      </c>
      <c r="M18" s="26">
        <f>IFERROR(__xludf.DUMMYFUNCTION("""COMPUTED_VALUE"""),0.7312220016948388)</f>
        <v>0.7312220017</v>
      </c>
      <c r="N18" s="26">
        <f>IFERROR(__xludf.DUMMYFUNCTION("""COMPUTED_VALUE"""),8.8)</f>
        <v>8.8</v>
      </c>
      <c r="O18" s="26">
        <f>IFERROR(__xludf.DUMMYFUNCTION("""COMPUTED_VALUE"""),1.8)</f>
        <v>1.8</v>
      </c>
      <c r="P18" s="26">
        <f>IFERROR(__xludf.DUMMYFUNCTION("""COMPUTED_VALUE"""),4.8)</f>
        <v>4.8</v>
      </c>
      <c r="Q18" s="27">
        <f>IFERROR(__xludf.DUMMYFUNCTION("""COMPUTED_VALUE"""),1.8)</f>
        <v>1.8</v>
      </c>
      <c r="R18" s="26">
        <f>IFERROR(__xludf.DUMMYFUNCTION("""COMPUTED_VALUE"""),1.3)</f>
        <v>1.3</v>
      </c>
      <c r="S18" s="26">
        <f>IFERROR(__xludf.DUMMYFUNCTION("""COMPUTED_VALUE"""),0.4)</f>
        <v>0.4</v>
      </c>
      <c r="T18" s="26">
        <f>IFERROR(__xludf.DUMMYFUNCTION("""COMPUTED_VALUE"""),40.0)</f>
        <v>40</v>
      </c>
      <c r="U18" s="26">
        <f>IFERROR(__xludf.DUMMYFUNCTION("""COMPUTED_VALUE"""),76.92307692307692)</f>
        <v>76.92307692</v>
      </c>
      <c r="V18" s="26">
        <f>IFERROR(__xludf.DUMMYFUNCTION("""COMPUTED_VALUE"""),0.7)</f>
        <v>0.7</v>
      </c>
      <c r="W18" s="23">
        <f>IFERROR(__xludf.DUMMYFUNCTION("""COMPUTED_VALUE"""),-2.1710257512578823)</f>
        <v>-2.171025751</v>
      </c>
      <c r="X18" s="23">
        <f>IFERROR(__xludf.DUMMYFUNCTION("""COMPUTED_VALUE"""),0.18656889019363826)</f>
        <v>0.1865688902</v>
      </c>
      <c r="Y18" s="23">
        <f>IFERROR(__xludf.DUMMYFUNCTION("""COMPUTED_VALUE"""),-0.5202691613232922)</f>
        <v>-0.5202691613</v>
      </c>
      <c r="Z18" s="23">
        <f>IFERROR(__xludf.DUMMYFUNCTION("""COMPUTED_VALUE"""),-1.085466147248329)</f>
        <v>-1.085466147</v>
      </c>
      <c r="AA18" s="23">
        <f>IFERROR(__xludf.DUMMYFUNCTION("""COMPUTED_VALUE"""),1.209937837528042)</f>
        <v>1.209937838</v>
      </c>
      <c r="AB18" s="23">
        <f>IFERROR(__xludf.DUMMYFUNCTION("""COMPUTED_VALUE"""),0.0)</f>
        <v>0</v>
      </c>
      <c r="AC18" s="23">
        <f>IFERROR(__xludf.DUMMYFUNCTION("""COMPUTED_VALUE"""),0.0)</f>
        <v>0</v>
      </c>
      <c r="AD18" s="23">
        <f>IFERROR(__xludf.DUMMYFUNCTION("""COMPUTED_VALUE"""),-0.045537793562515326)</f>
        <v>-0.04553779356</v>
      </c>
      <c r="AE18" s="23">
        <f>IFERROR(__xludf.DUMMYFUNCTION("""COMPUTED_VALUE"""),0.0)</f>
        <v>0</v>
      </c>
    </row>
    <row r="19">
      <c r="A19" s="12" t="str">
        <f>IF(VLOOKUP(H19,'Paste #BBall'!$C$2:$Q$201,3,)="BRO","BKN",IF(VLOOKUP(H19,'Paste #BBall'!$C$2:$Q$201,3,)="OKL","OKC",VLOOKUP(H19,'Paste #BBall'!$C$2:$Q$201,3,)))</f>
        <v>LAC</v>
      </c>
      <c r="B19" s="12">
        <f>VLOOKUP(A19,'Paste #BBall'!$A$204:$D$233,4,)</f>
        <v>4</v>
      </c>
      <c r="C19" s="12">
        <f>VLOOKUP(A19,'Paste #BBall'!$A$204:$C$233,3,)</f>
        <v>2</v>
      </c>
      <c r="D19" s="12">
        <f>VLOOKUP(A19,'Paste #BBall'!$A$204:$B$233,2,)</f>
        <v>3</v>
      </c>
      <c r="E19" s="12">
        <f t="shared" si="1"/>
        <v>9</v>
      </c>
      <c r="F19" s="12">
        <v>14.0</v>
      </c>
      <c r="G19" s="25">
        <f>IFERROR(__xludf.DUMMYFUNCTION("""COMPUTED_VALUE"""),82.0)</f>
        <v>82</v>
      </c>
      <c r="H19" s="25" t="str">
        <f>IFERROR(__xludf.DUMMYFUNCTION("""COMPUTED_VALUE"""),"Robert Covington")</f>
        <v>Robert Covington</v>
      </c>
      <c r="I19" s="25">
        <f>IFERROR(__xludf.DUMMYFUNCTION("""COMPUTED_VALUE"""),70.0)</f>
        <v>70</v>
      </c>
      <c r="J19" s="23" t="str">
        <f>IFERROR(__xludf.DUMMYFUNCTION("""COMPUTED_VALUE"""),"SF/PF")</f>
        <v>SF/PF</v>
      </c>
      <c r="K19" s="23">
        <f>IFERROR(__xludf.DUMMYFUNCTION("""COMPUTED_VALUE"""),-1.311893170231)</f>
        <v>-1.31189317</v>
      </c>
      <c r="L19" s="23">
        <f>IFERROR(__xludf.DUMMYFUNCTION("""COMPUTED_VALUE"""),-2.5649042466479512)</f>
        <v>-2.564904247</v>
      </c>
      <c r="M19" s="26">
        <f>IFERROR(__xludf.DUMMYFUNCTION("""COMPUTED_VALUE"""),-1.2530110764169513)</f>
        <v>-1.253011076</v>
      </c>
      <c r="N19" s="26">
        <f>IFERROR(__xludf.DUMMYFUNCTION("""COMPUTED_VALUE"""),8.2)</f>
        <v>8.2</v>
      </c>
      <c r="O19" s="26">
        <f>IFERROR(__xludf.DUMMYFUNCTION("""COMPUTED_VALUE"""),1.8)</f>
        <v>1.8</v>
      </c>
      <c r="P19" s="26">
        <f>IFERROR(__xludf.DUMMYFUNCTION("""COMPUTED_VALUE"""),5.4)</f>
        <v>5.4</v>
      </c>
      <c r="Q19" s="27">
        <f>IFERROR(__xludf.DUMMYFUNCTION("""COMPUTED_VALUE"""),1.3)</f>
        <v>1.3</v>
      </c>
      <c r="R19" s="26">
        <f>IFERROR(__xludf.DUMMYFUNCTION("""COMPUTED_VALUE"""),1.3)</f>
        <v>1.3</v>
      </c>
      <c r="S19" s="26">
        <f>IFERROR(__xludf.DUMMYFUNCTION("""COMPUTED_VALUE"""),1.2)</f>
        <v>1.2</v>
      </c>
      <c r="T19" s="26">
        <f>IFERROR(__xludf.DUMMYFUNCTION("""COMPUTED_VALUE"""),41.17647058823529)</f>
        <v>41.17647059</v>
      </c>
      <c r="U19" s="26">
        <f>IFERROR(__xludf.DUMMYFUNCTION("""COMPUTED_VALUE"""),80.0)</f>
        <v>80</v>
      </c>
      <c r="V19" s="26">
        <f>IFERROR(__xludf.DUMMYFUNCTION("""COMPUTED_VALUE"""),1.1)</f>
        <v>1.1</v>
      </c>
      <c r="W19" s="23">
        <f>IFERROR(__xludf.DUMMYFUNCTION("""COMPUTED_VALUE"""),-2.330796661829545)</f>
        <v>-2.330796662</v>
      </c>
      <c r="X19" s="23">
        <f>IFERROR(__xludf.DUMMYFUNCTION("""COMPUTED_VALUE"""),0.18656889019363826)</f>
        <v>0.1865688902</v>
      </c>
      <c r="Y19" s="23">
        <f>IFERROR(__xludf.DUMMYFUNCTION("""COMPUTED_VALUE"""),-0.27533991949968795)</f>
        <v>-0.2753399195</v>
      </c>
      <c r="Z19" s="23">
        <f>IFERROR(__xludf.DUMMYFUNCTION("""COMPUTED_VALUE"""),-1.3708127526470602)</f>
        <v>-1.370812753</v>
      </c>
      <c r="AA19" s="23">
        <f>IFERROR(__xludf.DUMMYFUNCTION("""COMPUTED_VALUE"""),1.209937837528042)</f>
        <v>1.209937838</v>
      </c>
      <c r="AB19" s="23">
        <f>IFERROR(__xludf.DUMMYFUNCTION("""COMPUTED_VALUE"""),0.0)</f>
        <v>0</v>
      </c>
      <c r="AC19" s="23">
        <f>IFERROR(__xludf.DUMMYFUNCTION("""COMPUTED_VALUE"""),0.0)</f>
        <v>0</v>
      </c>
      <c r="AD19" s="23">
        <f>IFERROR(__xludf.DUMMYFUNCTION("""COMPUTED_VALUE"""),0.015538359606661832)</f>
        <v>0.01553835961</v>
      </c>
      <c r="AE19" s="23">
        <f>IFERROR(__xludf.DUMMYFUNCTION("""COMPUTED_VALUE"""),0.0)</f>
        <v>0</v>
      </c>
      <c r="AH19" s="35"/>
      <c r="AI19" s="35"/>
      <c r="AJ19" s="35"/>
      <c r="AK19" s="35"/>
      <c r="AL19" s="35"/>
      <c r="AM19" s="35"/>
      <c r="AN19" s="35"/>
      <c r="AO19" s="35"/>
      <c r="AP19" s="35"/>
    </row>
    <row r="20">
      <c r="A20" s="12" t="str">
        <f>IF(VLOOKUP(H20,'Paste #BBall'!$C$2:$Q$201,3,)="BRO","BKN",IF(VLOOKUP(H20,'Paste #BBall'!$C$2:$Q$201,3,)="OKL","OKC",VLOOKUP(H20,'Paste #BBall'!$C$2:$Q$201,3,)))</f>
        <v>UTA</v>
      </c>
      <c r="B20" s="12">
        <f>VLOOKUP(A20,'Paste #BBall'!$A$204:$D$233,4,)</f>
        <v>3</v>
      </c>
      <c r="C20" s="12">
        <f>VLOOKUP(A20,'Paste #BBall'!$A$204:$C$233,3,)</f>
        <v>3</v>
      </c>
      <c r="D20" s="12">
        <f>VLOOKUP(A20,'Paste #BBall'!$A$204:$B$233,2,)</f>
        <v>2</v>
      </c>
      <c r="E20" s="12">
        <f t="shared" si="1"/>
        <v>8</v>
      </c>
      <c r="F20" s="12">
        <v>15.0</v>
      </c>
      <c r="G20" s="25">
        <f>IFERROR(__xludf.DUMMYFUNCTION("""COMPUTED_VALUE"""),175.0)</f>
        <v>175</v>
      </c>
      <c r="H20" s="25" t="str">
        <f>IFERROR(__xludf.DUMMYFUNCTION("""COMPUTED_VALUE"""),"Jordan Clarkson")</f>
        <v>Jordan Clarkson</v>
      </c>
      <c r="I20" s="25">
        <f>IFERROR(__xludf.DUMMYFUNCTION("""COMPUTED_VALUE"""),64.0)</f>
        <v>64</v>
      </c>
      <c r="J20" s="23" t="str">
        <f>IFERROR(__xludf.DUMMYFUNCTION("""COMPUTED_VALUE"""),"SG")</f>
        <v>SG</v>
      </c>
      <c r="K20" s="23">
        <f>IFERROR(__xludf.DUMMYFUNCTION("""COMPUTED_VALUE"""),-4.137784141412638)</f>
        <v>-4.137784141</v>
      </c>
      <c r="L20" s="23">
        <f>IFERROR(__xludf.DUMMYFUNCTION("""COMPUTED_VALUE"""),-2.575608423381195)</f>
        <v>-2.575608423</v>
      </c>
      <c r="M20" s="26">
        <f>IFERROR(__xludf.DUMMYFUNCTION("""COMPUTED_VALUE"""),1.562175718031443)</f>
        <v>1.562175718</v>
      </c>
      <c r="N20" s="26">
        <f>IFERROR(__xludf.DUMMYFUNCTION("""COMPUTED_VALUE"""),15.0)</f>
        <v>15</v>
      </c>
      <c r="O20" s="26">
        <f>IFERROR(__xludf.DUMMYFUNCTION("""COMPUTED_VALUE"""),2.3)</f>
        <v>2.3</v>
      </c>
      <c r="P20" s="26">
        <f>IFERROR(__xludf.DUMMYFUNCTION("""COMPUTED_VALUE"""),3.2)</f>
        <v>3.2</v>
      </c>
      <c r="Q20" s="27">
        <f>IFERROR(__xludf.DUMMYFUNCTION("""COMPUTED_VALUE"""),2.3)</f>
        <v>2.3</v>
      </c>
      <c r="R20" s="26">
        <f>IFERROR(__xludf.DUMMYFUNCTION("""COMPUTED_VALUE"""),0.8)</f>
        <v>0.8</v>
      </c>
      <c r="S20" s="26">
        <f>IFERROR(__xludf.DUMMYFUNCTION("""COMPUTED_VALUE"""),0.2)</f>
        <v>0.2</v>
      </c>
      <c r="T20" s="26">
        <f>IFERROR(__xludf.DUMMYFUNCTION("""COMPUTED_VALUE"""),41.66666666666667)</f>
        <v>41.66666667</v>
      </c>
      <c r="U20" s="26">
        <f>IFERROR(__xludf.DUMMYFUNCTION("""COMPUTED_VALUE"""),80.95238095238095)</f>
        <v>80.95238095</v>
      </c>
      <c r="V20" s="26">
        <f>IFERROR(__xludf.DUMMYFUNCTION("""COMPUTED_VALUE"""),1.5)</f>
        <v>1.5</v>
      </c>
      <c r="W20" s="23">
        <f>IFERROR(__xludf.DUMMYFUNCTION("""COMPUTED_VALUE"""),-0.5200596753507101)</f>
        <v>-0.5200596754</v>
      </c>
      <c r="X20" s="23">
        <f>IFERROR(__xludf.DUMMYFUNCTION("""COMPUTED_VALUE"""),0.6865466714679571)</f>
        <v>0.6865466715</v>
      </c>
      <c r="Y20" s="23">
        <f>IFERROR(__xludf.DUMMYFUNCTION("""COMPUTED_VALUE"""),-1.173413806186236)</f>
        <v>-1.173413806</v>
      </c>
      <c r="Z20" s="23">
        <f>IFERROR(__xludf.DUMMYFUNCTION("""COMPUTED_VALUE"""),-0.8001195418495975)</f>
        <v>-0.8001195418</v>
      </c>
      <c r="AA20" s="23">
        <f>IFERROR(__xludf.DUMMYFUNCTION("""COMPUTED_VALUE"""),-0.8340614571621854)</f>
        <v>-0.8340614572</v>
      </c>
      <c r="AB20" s="23">
        <f>IFERROR(__xludf.DUMMYFUNCTION("""COMPUTED_VALUE"""),0.0)</f>
        <v>0</v>
      </c>
      <c r="AC20" s="23">
        <f>IFERROR(__xludf.DUMMYFUNCTION("""COMPUTED_VALUE"""),0.0)</f>
        <v>0</v>
      </c>
      <c r="AD20" s="23">
        <f>IFERROR(__xludf.DUMMYFUNCTION("""COMPUTED_VALUE"""),0.0654993856995771)</f>
        <v>0.0654993857</v>
      </c>
      <c r="AE20" s="23">
        <f>IFERROR(__xludf.DUMMYFUNCTION("""COMPUTED_VALUE"""),0.0)</f>
        <v>0</v>
      </c>
      <c r="AH20" s="37"/>
      <c r="AI20" s="37"/>
      <c r="AJ20" s="37"/>
      <c r="AK20" s="37"/>
      <c r="AL20" s="38"/>
      <c r="AM20" s="37"/>
      <c r="AN20" s="37"/>
      <c r="AO20" s="37"/>
      <c r="AP20" s="37"/>
    </row>
    <row r="21">
      <c r="A21" s="12" t="str">
        <f>IF(VLOOKUP(H21,'Paste #BBall'!$C$2:$Q$201,3,)="BRO","BKN",IF(VLOOKUP(H21,'Paste #BBall'!$C$2:$Q$201,3,)="OKL","OKC",VLOOKUP(H21,'Paste #BBall'!$C$2:$Q$201,3,)))</f>
        <v>LAL</v>
      </c>
      <c r="B21" s="12">
        <f>VLOOKUP(A21,'Paste #BBall'!$A$204:$D$233,4,)</f>
        <v>4</v>
      </c>
      <c r="C21" s="12">
        <f>VLOOKUP(A21,'Paste #BBall'!$A$204:$C$233,3,)</f>
        <v>3</v>
      </c>
      <c r="D21" s="12">
        <f>VLOOKUP(A21,'Paste #BBall'!$A$204:$B$233,2,)</f>
        <v>4</v>
      </c>
      <c r="E21" s="12">
        <f t="shared" si="1"/>
        <v>11</v>
      </c>
      <c r="F21" s="12">
        <v>16.0</v>
      </c>
      <c r="G21" s="25">
        <f>IFERROR(__xludf.DUMMYFUNCTION("""COMPUTED_VALUE"""),128.0)</f>
        <v>128</v>
      </c>
      <c r="H21" s="25" t="str">
        <f>IFERROR(__xludf.DUMMYFUNCTION("""COMPUTED_VALUE"""),"Kendrick Nunn")</f>
        <v>Kendrick Nunn</v>
      </c>
      <c r="I21" s="25">
        <f>IFERROR(__xludf.DUMMYFUNCTION("""COMPUTED_VALUE"""),70.0)</f>
        <v>70</v>
      </c>
      <c r="J21" s="23" t="str">
        <f>IFERROR(__xludf.DUMMYFUNCTION("""COMPUTED_VALUE"""),"SG")</f>
        <v>SG</v>
      </c>
      <c r="K21" s="23">
        <f>IFERROR(__xludf.DUMMYFUNCTION("""COMPUTED_VALUE"""),-2.8448698230497627)</f>
        <v>-2.844869823</v>
      </c>
      <c r="L21" s="23">
        <f>IFERROR(__xludf.DUMMYFUNCTION("""COMPUTED_VALUE"""),-2.6497891012798527)</f>
        <v>-2.649789101</v>
      </c>
      <c r="M21" s="26">
        <f>IFERROR(__xludf.DUMMYFUNCTION("""COMPUTED_VALUE"""),0.19508072176990998)</f>
        <v>0.1950807218</v>
      </c>
      <c r="N21" s="26">
        <f>IFERROR(__xludf.DUMMYFUNCTION("""COMPUTED_VALUE"""),13.6)</f>
        <v>13.6</v>
      </c>
      <c r="O21" s="26">
        <f>IFERROR(__xludf.DUMMYFUNCTION("""COMPUTED_VALUE"""),2.1)</f>
        <v>2.1</v>
      </c>
      <c r="P21" s="26">
        <f>IFERROR(__xludf.DUMMYFUNCTION("""COMPUTED_VALUE"""),3.0)</f>
        <v>3</v>
      </c>
      <c r="Q21" s="27">
        <f>IFERROR(__xludf.DUMMYFUNCTION("""COMPUTED_VALUE"""),2.4)</f>
        <v>2.4</v>
      </c>
      <c r="R21" s="26">
        <f>IFERROR(__xludf.DUMMYFUNCTION("""COMPUTED_VALUE"""),0.9)</f>
        <v>0.9</v>
      </c>
      <c r="S21" s="26">
        <f>IFERROR(__xludf.DUMMYFUNCTION("""COMPUTED_VALUE"""),0.3)</f>
        <v>0.3</v>
      </c>
      <c r="T21" s="26">
        <f>IFERROR(__xludf.DUMMYFUNCTION("""COMPUTED_VALUE"""),48.18181818181818)</f>
        <v>48.18181818</v>
      </c>
      <c r="U21" s="26">
        <f>IFERROR(__xludf.DUMMYFUNCTION("""COMPUTED_VALUE"""),90.0)</f>
        <v>90</v>
      </c>
      <c r="V21" s="26">
        <f>IFERROR(__xludf.DUMMYFUNCTION("""COMPUTED_VALUE"""),1.3)</f>
        <v>1.3</v>
      </c>
      <c r="W21" s="23">
        <f>IFERROR(__xludf.DUMMYFUNCTION("""COMPUTED_VALUE"""),-0.8928584666845878)</f>
        <v>-0.8928584667</v>
      </c>
      <c r="X21" s="23">
        <f>IFERROR(__xludf.DUMMYFUNCTION("""COMPUTED_VALUE"""),0.4865555589582297)</f>
        <v>0.486555559</v>
      </c>
      <c r="Y21" s="23">
        <f>IFERROR(__xludf.DUMMYFUNCTION("""COMPUTED_VALUE"""),-1.255056886794104)</f>
        <v>-1.255056887</v>
      </c>
      <c r="Z21" s="23">
        <f>IFERROR(__xludf.DUMMYFUNCTION("""COMPUTED_VALUE"""),-0.743050220769851)</f>
        <v>-0.7430502208</v>
      </c>
      <c r="AA21" s="23">
        <f>IFERROR(__xludf.DUMMYFUNCTION("""COMPUTED_VALUE"""),-0.42526159822414)</f>
        <v>-0.4252615982</v>
      </c>
      <c r="AB21" s="23">
        <f>IFERROR(__xludf.DUMMYFUNCTION("""COMPUTED_VALUE"""),0.0)</f>
        <v>0</v>
      </c>
      <c r="AC21" s="23">
        <f>IFERROR(__xludf.DUMMYFUNCTION("""COMPUTED_VALUE"""),0.0)</f>
        <v>0</v>
      </c>
      <c r="AD21" s="23">
        <f>IFERROR(__xludf.DUMMYFUNCTION("""COMPUTED_VALUE"""),0.17988251223460047)</f>
        <v>0.1798825122</v>
      </c>
      <c r="AE21" s="23">
        <f>IFERROR(__xludf.DUMMYFUNCTION("""COMPUTED_VALUE"""),0.0)</f>
        <v>0</v>
      </c>
      <c r="AH21" s="37"/>
      <c r="AI21" s="37"/>
      <c r="AJ21" s="37"/>
      <c r="AK21" s="37"/>
      <c r="AL21" s="38"/>
      <c r="AM21" s="37"/>
      <c r="AN21" s="37"/>
      <c r="AO21" s="37"/>
      <c r="AP21" s="37"/>
    </row>
    <row r="22">
      <c r="A22" s="12" t="str">
        <f>IF(VLOOKUP(H22,'Paste #BBall'!$C$2:$Q$201,3,)="BRO","BKN",IF(VLOOKUP(H22,'Paste #BBall'!$C$2:$Q$201,3,)="OKL","OKC",VLOOKUP(H22,'Paste #BBall'!$C$2:$Q$201,3,)))</f>
        <v>LAC</v>
      </c>
      <c r="B22" s="12">
        <f>VLOOKUP(A22,'Paste #BBall'!$A$204:$D$233,4,)</f>
        <v>4</v>
      </c>
      <c r="C22" s="12">
        <f>VLOOKUP(A22,'Paste #BBall'!$A$204:$C$233,3,)</f>
        <v>2</v>
      </c>
      <c r="D22" s="12">
        <f>VLOOKUP(A22,'Paste #BBall'!$A$204:$B$233,2,)</f>
        <v>3</v>
      </c>
      <c r="E22" s="12">
        <f t="shared" si="1"/>
        <v>9</v>
      </c>
      <c r="F22" s="12">
        <v>17.0</v>
      </c>
      <c r="G22" s="25">
        <f>IFERROR(__xludf.DUMMYFUNCTION("""COMPUTED_VALUE"""),127.0)</f>
        <v>127</v>
      </c>
      <c r="H22" s="25" t="str">
        <f>IFERROR(__xludf.DUMMYFUNCTION("""COMPUTED_VALUE"""),"Norman Powell")</f>
        <v>Norman Powell</v>
      </c>
      <c r="I22" s="25">
        <f>IFERROR(__xludf.DUMMYFUNCTION("""COMPUTED_VALUE"""),76.0)</f>
        <v>76</v>
      </c>
      <c r="J22" s="23" t="str">
        <f>IFERROR(__xludf.DUMMYFUNCTION("""COMPUTED_VALUE"""),"SG/SF")</f>
        <v>SG/SF</v>
      </c>
      <c r="K22" s="23">
        <f>IFERROR(__xludf.DUMMYFUNCTION("""COMPUTED_VALUE"""),-2.8278501582441953)</f>
        <v>-2.827850158</v>
      </c>
      <c r="L22" s="23">
        <f>IFERROR(__xludf.DUMMYFUNCTION("""COMPUTED_VALUE"""),-2.681245816852229)</f>
        <v>-2.681245817</v>
      </c>
      <c r="M22" s="26">
        <f>IFERROR(__xludf.DUMMYFUNCTION("""COMPUTED_VALUE"""),0.1466043413919662)</f>
        <v>0.1466043414</v>
      </c>
      <c r="N22" s="26">
        <f>IFERROR(__xludf.DUMMYFUNCTION("""COMPUTED_VALUE"""),16.2)</f>
        <v>16.2</v>
      </c>
      <c r="O22" s="26">
        <f>IFERROR(__xludf.DUMMYFUNCTION("""COMPUTED_VALUE"""),2.1)</f>
        <v>2.1</v>
      </c>
      <c r="P22" s="26">
        <f>IFERROR(__xludf.DUMMYFUNCTION("""COMPUTED_VALUE"""),2.7)</f>
        <v>2.7</v>
      </c>
      <c r="Q22" s="27">
        <f>IFERROR(__xludf.DUMMYFUNCTION("""COMPUTED_VALUE"""),1.8)</f>
        <v>1.8</v>
      </c>
      <c r="R22" s="26">
        <f>IFERROR(__xludf.DUMMYFUNCTION("""COMPUTED_VALUE"""),0.8)</f>
        <v>0.8</v>
      </c>
      <c r="S22" s="26">
        <f>IFERROR(__xludf.DUMMYFUNCTION("""COMPUTED_VALUE"""),0.4)</f>
        <v>0.4</v>
      </c>
      <c r="T22" s="26">
        <f>IFERROR(__xludf.DUMMYFUNCTION("""COMPUTED_VALUE"""),46.49122807017543)</f>
        <v>46.49122807</v>
      </c>
      <c r="U22" s="26">
        <f>IFERROR(__xludf.DUMMYFUNCTION("""COMPUTED_VALUE"""),83.72093023255815)</f>
        <v>83.72093023</v>
      </c>
      <c r="V22" s="26">
        <f>IFERROR(__xludf.DUMMYFUNCTION("""COMPUTED_VALUE"""),1.3)</f>
        <v>1.3</v>
      </c>
      <c r="W22" s="23">
        <f>IFERROR(__xludf.DUMMYFUNCTION("""COMPUTED_VALUE"""),-0.20051785420738652)</f>
        <v>-0.2005178542</v>
      </c>
      <c r="X22" s="23">
        <f>IFERROR(__xludf.DUMMYFUNCTION("""COMPUTED_VALUE"""),0.4865555589582297)</f>
        <v>0.486555559</v>
      </c>
      <c r="Y22" s="23">
        <f>IFERROR(__xludf.DUMMYFUNCTION("""COMPUTED_VALUE"""),-1.377521507705906)</f>
        <v>-1.377521508</v>
      </c>
      <c r="Z22" s="23">
        <f>IFERROR(__xludf.DUMMYFUNCTION("""COMPUTED_VALUE"""),-1.085466147248329)</f>
        <v>-1.085466147</v>
      </c>
      <c r="AA22" s="23">
        <f>IFERROR(__xludf.DUMMYFUNCTION("""COMPUTED_VALUE"""),-0.8340614571621854)</f>
        <v>-0.8340614572</v>
      </c>
      <c r="AB22" s="23">
        <f>IFERROR(__xludf.DUMMYFUNCTION("""COMPUTED_VALUE"""),0.0)</f>
        <v>0</v>
      </c>
      <c r="AC22" s="23">
        <f>IFERROR(__xludf.DUMMYFUNCTION("""COMPUTED_VALUE"""),0.0)</f>
        <v>0</v>
      </c>
      <c r="AD22" s="23">
        <f>IFERROR(__xludf.DUMMYFUNCTION("""COMPUTED_VALUE"""),0.32976559051334775)</f>
        <v>0.3297655905</v>
      </c>
      <c r="AE22" s="23">
        <f>IFERROR(__xludf.DUMMYFUNCTION("""COMPUTED_VALUE"""),0.0)</f>
        <v>0</v>
      </c>
      <c r="AH22" s="37"/>
      <c r="AI22" s="37"/>
      <c r="AJ22" s="37"/>
      <c r="AK22" s="37"/>
      <c r="AL22" s="37"/>
      <c r="AM22" s="37"/>
      <c r="AN22" s="37"/>
      <c r="AO22" s="37"/>
      <c r="AP22" s="37"/>
    </row>
    <row r="23">
      <c r="A23" s="12" t="str">
        <f>IF(VLOOKUP(H23,'Paste #BBall'!$C$2:$Q$201,3,)="BRO","BKN",IF(VLOOKUP(H23,'Paste #BBall'!$C$2:$Q$201,3,)="OKL","OKC",VLOOKUP(H23,'Paste #BBall'!$C$2:$Q$201,3,)))</f>
        <v>NYK</v>
      </c>
      <c r="B23" s="12">
        <f>VLOOKUP(A23,'Paste #BBall'!$A$204:$D$233,4,)</f>
        <v>3</v>
      </c>
      <c r="C23" s="12">
        <f>VLOOKUP(A23,'Paste #BBall'!$A$204:$C$233,3,)</f>
        <v>4</v>
      </c>
      <c r="D23" s="12">
        <f>VLOOKUP(A23,'Paste #BBall'!$A$204:$B$233,2,)</f>
        <v>2</v>
      </c>
      <c r="E23" s="12">
        <f t="shared" si="1"/>
        <v>9</v>
      </c>
      <c r="F23" s="12">
        <v>18.0</v>
      </c>
      <c r="G23" s="25">
        <f>IFERROR(__xludf.DUMMYFUNCTION("""COMPUTED_VALUE"""),173.0)</f>
        <v>173</v>
      </c>
      <c r="H23" s="25" t="str">
        <f>IFERROR(__xludf.DUMMYFUNCTION("""COMPUTED_VALUE"""),"Immanuel Quickley")</f>
        <v>Immanuel Quickley</v>
      </c>
      <c r="I23" s="25">
        <f>IFERROR(__xludf.DUMMYFUNCTION("""COMPUTED_VALUE"""),76.0)</f>
        <v>76</v>
      </c>
      <c r="J23" s="23" t="str">
        <f>IFERROR(__xludf.DUMMYFUNCTION("""COMPUTED_VALUE"""),"PG")</f>
        <v>PG</v>
      </c>
      <c r="K23" s="23">
        <f>IFERROR(__xludf.DUMMYFUNCTION("""COMPUTED_VALUE"""),-4.079061846098121)</f>
        <v>-4.079061846</v>
      </c>
      <c r="L23" s="23">
        <f>IFERROR(__xludf.DUMMYFUNCTION("""COMPUTED_VALUE"""),-2.949756739025076)</f>
        <v>-2.949756739</v>
      </c>
      <c r="M23" s="26">
        <f>IFERROR(__xludf.DUMMYFUNCTION("""COMPUTED_VALUE"""),1.1293051070730447)</f>
        <v>1.129305107</v>
      </c>
      <c r="N23" s="26">
        <f>IFERROR(__xludf.DUMMYFUNCTION("""COMPUTED_VALUE"""),12.3)</f>
        <v>12.3</v>
      </c>
      <c r="O23" s="26">
        <f>IFERROR(__xludf.DUMMYFUNCTION("""COMPUTED_VALUE"""),1.9)</f>
        <v>1.9</v>
      </c>
      <c r="P23" s="26">
        <f>IFERROR(__xludf.DUMMYFUNCTION("""COMPUTED_VALUE"""),3.3)</f>
        <v>3.3</v>
      </c>
      <c r="Q23" s="27">
        <f>IFERROR(__xludf.DUMMYFUNCTION("""COMPUTED_VALUE"""),3.6)</f>
        <v>3.6</v>
      </c>
      <c r="R23" s="26">
        <f>IFERROR(__xludf.DUMMYFUNCTION("""COMPUTED_VALUE"""),0.7)</f>
        <v>0.7</v>
      </c>
      <c r="S23" s="26">
        <f>IFERROR(__xludf.DUMMYFUNCTION("""COMPUTED_VALUE"""),0.0)</f>
        <v>0</v>
      </c>
      <c r="T23" s="26">
        <f>IFERROR(__xludf.DUMMYFUNCTION("""COMPUTED_VALUE"""),41.66666666666667)</f>
        <v>41.66666667</v>
      </c>
      <c r="U23" s="26">
        <f>IFERROR(__xludf.DUMMYFUNCTION("""COMPUTED_VALUE"""),88.88888888888889)</f>
        <v>88.88888889</v>
      </c>
      <c r="V23" s="26">
        <f>IFERROR(__xludf.DUMMYFUNCTION("""COMPUTED_VALUE"""),1.3)</f>
        <v>1.3</v>
      </c>
      <c r="W23" s="23">
        <f>IFERROR(__xludf.DUMMYFUNCTION("""COMPUTED_VALUE"""),-1.2390287729231884)</f>
        <v>-1.239028773</v>
      </c>
      <c r="X23" s="23">
        <f>IFERROR(__xludf.DUMMYFUNCTION("""COMPUTED_VALUE"""),0.28656444644850193)</f>
        <v>0.2865644464</v>
      </c>
      <c r="Y23" s="23">
        <f>IFERROR(__xludf.DUMMYFUNCTION("""COMPUTED_VALUE"""),-1.1325922658823022)</f>
        <v>-1.132592266</v>
      </c>
      <c r="Z23" s="23">
        <f>IFERROR(__xludf.DUMMYFUNCTION("""COMPUTED_VALUE"""),-0.058218367812895515)</f>
        <v>-0.05821836781</v>
      </c>
      <c r="AA23" s="23">
        <f>IFERROR(__xludf.DUMMYFUNCTION("""COMPUTED_VALUE"""),-1.2428613161002313)</f>
        <v>-1.242861316</v>
      </c>
      <c r="AB23" s="23">
        <f>IFERROR(__xludf.DUMMYFUNCTION("""COMPUTED_VALUE"""),0.0)</f>
        <v>0</v>
      </c>
      <c r="AC23" s="23">
        <f>IFERROR(__xludf.DUMMYFUNCTION("""COMPUTED_VALUE"""),0.0)</f>
        <v>0</v>
      </c>
      <c r="AD23" s="23">
        <f>IFERROR(__xludf.DUMMYFUNCTION("""COMPUTED_VALUE"""),0.43637953724503936)</f>
        <v>0.4363795372</v>
      </c>
      <c r="AE23" s="23">
        <f>IFERROR(__xludf.DUMMYFUNCTION("""COMPUTED_VALUE"""),0.0)</f>
        <v>0</v>
      </c>
      <c r="AH23" s="37"/>
      <c r="AI23" s="37"/>
      <c r="AJ23" s="37"/>
      <c r="AK23" s="37"/>
      <c r="AL23" s="38"/>
      <c r="AM23" s="37"/>
      <c r="AN23" s="37"/>
      <c r="AO23" s="37"/>
      <c r="AP23" s="37"/>
    </row>
    <row r="24">
      <c r="A24" s="12" t="str">
        <f>IF(VLOOKUP(H24,'Paste #BBall'!$C$2:$Q$201,3,)="BRO","BKN",IF(VLOOKUP(H24,'Paste #BBall'!$C$2:$Q$201,3,)="OKL","OKC",VLOOKUP(H24,'Paste #BBall'!$C$2:$Q$201,3,)))</f>
        <v>ORL</v>
      </c>
      <c r="B24" s="12">
        <f>VLOOKUP(A24,'Paste #BBall'!$A$204:$D$233,4,)</f>
        <v>4</v>
      </c>
      <c r="C24" s="12">
        <f>VLOOKUP(A24,'Paste #BBall'!$A$204:$C$233,3,)</f>
        <v>3</v>
      </c>
      <c r="D24" s="12">
        <f>VLOOKUP(A24,'Paste #BBall'!$A$204:$B$233,2,)</f>
        <v>4</v>
      </c>
      <c r="E24" s="12">
        <f t="shared" si="1"/>
        <v>11</v>
      </c>
      <c r="F24" s="12">
        <v>19.0</v>
      </c>
      <c r="G24" s="25">
        <f>IFERROR(__xludf.DUMMYFUNCTION("""COMPUTED_VALUE"""),139.0)</f>
        <v>139</v>
      </c>
      <c r="H24" s="25" t="str">
        <f>IFERROR(__xludf.DUMMYFUNCTION("""COMPUTED_VALUE"""),"Chuma Okeke")</f>
        <v>Chuma Okeke</v>
      </c>
      <c r="I24" s="25">
        <f>IFERROR(__xludf.DUMMYFUNCTION("""COMPUTED_VALUE"""),67.0)</f>
        <v>67</v>
      </c>
      <c r="J24" s="23" t="str">
        <f>IFERROR(__xludf.DUMMYFUNCTION("""COMPUTED_VALUE"""),"PF")</f>
        <v>PF</v>
      </c>
      <c r="K24" s="23">
        <f>IFERROR(__xludf.DUMMYFUNCTION("""COMPUTED_VALUE"""),-3.1729721277845986)</f>
        <v>-3.172972128</v>
      </c>
      <c r="L24" s="23">
        <f>IFERROR(__xludf.DUMMYFUNCTION("""COMPUTED_VALUE"""),-3.034567840121997)</f>
        <v>-3.03456784</v>
      </c>
      <c r="M24" s="26">
        <f>IFERROR(__xludf.DUMMYFUNCTION("""COMPUTED_VALUE"""),0.1384042876626017)</f>
        <v>0.1384042877</v>
      </c>
      <c r="N24" s="26">
        <f>IFERROR(__xludf.DUMMYFUNCTION("""COMPUTED_VALUE"""),7.9)</f>
        <v>7.9</v>
      </c>
      <c r="O24" s="26">
        <f>IFERROR(__xludf.DUMMYFUNCTION("""COMPUTED_VALUE"""),1.6)</f>
        <v>1.6</v>
      </c>
      <c r="P24" s="26">
        <f>IFERROR(__xludf.DUMMYFUNCTION("""COMPUTED_VALUE"""),4.6)</f>
        <v>4.6</v>
      </c>
      <c r="Q24" s="27">
        <f>IFERROR(__xludf.DUMMYFUNCTION("""COMPUTED_VALUE"""),1.6)</f>
        <v>1.6</v>
      </c>
      <c r="R24" s="26">
        <f>IFERROR(__xludf.DUMMYFUNCTION("""COMPUTED_VALUE"""),1.3)</f>
        <v>1.3</v>
      </c>
      <c r="S24" s="26">
        <f>IFERROR(__xludf.DUMMYFUNCTION("""COMPUTED_VALUE"""),0.6)</f>
        <v>0.6</v>
      </c>
      <c r="T24" s="26">
        <f>IFERROR(__xludf.DUMMYFUNCTION("""COMPUTED_VALUE"""),40.0)</f>
        <v>40</v>
      </c>
      <c r="U24" s="26">
        <f>IFERROR(__xludf.DUMMYFUNCTION("""COMPUTED_VALUE"""),77.77777777777777)</f>
        <v>77.77777778</v>
      </c>
      <c r="V24" s="26">
        <f>IFERROR(__xludf.DUMMYFUNCTION("""COMPUTED_VALUE"""),0.7)</f>
        <v>0.7</v>
      </c>
      <c r="W24" s="23">
        <f>IFERROR(__xludf.DUMMYFUNCTION("""COMPUTED_VALUE"""),-2.4106821171153756)</f>
        <v>-2.410682117</v>
      </c>
      <c r="X24" s="23">
        <f>IFERROR(__xludf.DUMMYFUNCTION("""COMPUTED_VALUE"""),-0.013422222316089305)</f>
        <v>-0.01342222232</v>
      </c>
      <c r="Y24" s="23">
        <f>IFERROR(__xludf.DUMMYFUNCTION("""COMPUTED_VALUE"""),-0.6019122419311602)</f>
        <v>-0.6019122419</v>
      </c>
      <c r="Z24" s="23">
        <f>IFERROR(__xludf.DUMMYFUNCTION("""COMPUTED_VALUE"""),-1.1996047894078214)</f>
        <v>-1.199604789</v>
      </c>
      <c r="AA24" s="23">
        <f>IFERROR(__xludf.DUMMYFUNCTION("""COMPUTED_VALUE"""),1.209937837528042)</f>
        <v>1.209937838</v>
      </c>
      <c r="AB24" s="23">
        <f>IFERROR(__xludf.DUMMYFUNCTION("""COMPUTED_VALUE"""),0.0)</f>
        <v>0</v>
      </c>
      <c r="AC24" s="23">
        <f>IFERROR(__xludf.DUMMYFUNCTION("""COMPUTED_VALUE"""),0.0)</f>
        <v>0</v>
      </c>
      <c r="AD24" s="23">
        <f>IFERROR(__xludf.DUMMYFUNCTION("""COMPUTED_VALUE"""),-0.0188843068795923)</f>
        <v>-0.01888430688</v>
      </c>
      <c r="AE24" s="23">
        <f>IFERROR(__xludf.DUMMYFUNCTION("""COMPUTED_VALUE"""),0.0)</f>
        <v>0</v>
      </c>
      <c r="AH24" s="37"/>
      <c r="AI24" s="37"/>
      <c r="AJ24" s="37"/>
      <c r="AK24" s="37"/>
      <c r="AL24" s="38"/>
      <c r="AM24" s="37"/>
      <c r="AN24" s="37"/>
      <c r="AO24" s="37"/>
      <c r="AP24" s="37"/>
    </row>
    <row r="25">
      <c r="A25" s="12" t="str">
        <f>IF(VLOOKUP(H25,'Paste #BBall'!$C$2:$Q$201,3,)="BRO","BKN",IF(VLOOKUP(H25,'Paste #BBall'!$C$2:$Q$201,3,)="OKL","OKC",VLOOKUP(H25,'Paste #BBall'!$C$2:$Q$201,3,)))</f>
        <v>WAS</v>
      </c>
      <c r="B25" s="12">
        <f>VLOOKUP(A25,'Paste #BBall'!$A$204:$D$233,4,)</f>
        <v>3</v>
      </c>
      <c r="C25" s="12">
        <f>VLOOKUP(A25,'Paste #BBall'!$A$204:$C$233,3,)</f>
        <v>4</v>
      </c>
      <c r="D25" s="12">
        <f>VLOOKUP(A25,'Paste #BBall'!$A$204:$B$233,2,)</f>
        <v>3</v>
      </c>
      <c r="E25" s="12">
        <f t="shared" si="1"/>
        <v>10</v>
      </c>
      <c r="F25" s="12">
        <v>20.0</v>
      </c>
      <c r="G25" s="25">
        <f>IFERROR(__xludf.DUMMYFUNCTION("""COMPUTED_VALUE"""),165.0)</f>
        <v>165</v>
      </c>
      <c r="H25" s="25" t="str">
        <f>IFERROR(__xludf.DUMMYFUNCTION("""COMPUTED_VALUE"""),"Will Barton")</f>
        <v>Will Barton</v>
      </c>
      <c r="I25" s="25">
        <f>IFERROR(__xludf.DUMMYFUNCTION("""COMPUTED_VALUE"""),60.0)</f>
        <v>60</v>
      </c>
      <c r="J25" s="23" t="str">
        <f>IFERROR(__xludf.DUMMYFUNCTION("""COMPUTED_VALUE"""),"PG/SG")</f>
        <v>PG/SG</v>
      </c>
      <c r="K25" s="23">
        <f>IFERROR(__xludf.DUMMYFUNCTION("""COMPUTED_VALUE"""),-3.884669330997389)</f>
        <v>-3.884669331</v>
      </c>
      <c r="L25" s="23">
        <f>IFERROR(__xludf.DUMMYFUNCTION("""COMPUTED_VALUE"""),-3.0971380863975897)</f>
        <v>-3.097138086</v>
      </c>
      <c r="M25" s="26">
        <f>IFERROR(__xludf.DUMMYFUNCTION("""COMPUTED_VALUE"""),0.7875312445997995)</f>
        <v>0.7875312446</v>
      </c>
      <c r="N25" s="26">
        <f>IFERROR(__xludf.DUMMYFUNCTION("""COMPUTED_VALUE"""),12.5)</f>
        <v>12.5</v>
      </c>
      <c r="O25" s="26">
        <f>IFERROR(__xludf.DUMMYFUNCTION("""COMPUTED_VALUE"""),1.9)</f>
        <v>1.9</v>
      </c>
      <c r="P25" s="26">
        <f>IFERROR(__xludf.DUMMYFUNCTION("""COMPUTED_VALUE"""),4.1)</f>
        <v>4.1</v>
      </c>
      <c r="Q25" s="27">
        <f>IFERROR(__xludf.DUMMYFUNCTION("""COMPUTED_VALUE"""),3.4)</f>
        <v>3.4</v>
      </c>
      <c r="R25" s="26">
        <f>IFERROR(__xludf.DUMMYFUNCTION("""COMPUTED_VALUE"""),0.7)</f>
        <v>0.7</v>
      </c>
      <c r="S25" s="26">
        <f>IFERROR(__xludf.DUMMYFUNCTION("""COMPUTED_VALUE"""),0.3)</f>
        <v>0.3</v>
      </c>
      <c r="T25" s="26">
        <f>IFERROR(__xludf.DUMMYFUNCTION("""COMPUTED_VALUE"""),43.51851851851852)</f>
        <v>43.51851852</v>
      </c>
      <c r="U25" s="26">
        <f>IFERROR(__xludf.DUMMYFUNCTION("""COMPUTED_VALUE"""),80.0)</f>
        <v>80</v>
      </c>
      <c r="V25" s="26">
        <f>IFERROR(__xludf.DUMMYFUNCTION("""COMPUTED_VALUE"""),1.6)</f>
        <v>1.6</v>
      </c>
      <c r="W25" s="23">
        <f>IFERROR(__xludf.DUMMYFUNCTION("""COMPUTED_VALUE"""),-1.1857718027326345)</f>
        <v>-1.185771803</v>
      </c>
      <c r="X25" s="23">
        <f>IFERROR(__xludf.DUMMYFUNCTION("""COMPUTED_VALUE"""),0.28656444644850193)</f>
        <v>0.2865644464</v>
      </c>
      <c r="Y25" s="23">
        <f>IFERROR(__xludf.DUMMYFUNCTION("""COMPUTED_VALUE"""),-0.8060199434508303)</f>
        <v>-0.8060199435</v>
      </c>
      <c r="Z25" s="23">
        <f>IFERROR(__xludf.DUMMYFUNCTION("""COMPUTED_VALUE"""),-0.17235700997238818)</f>
        <v>-0.17235701</v>
      </c>
      <c r="AA25" s="23">
        <f>IFERROR(__xludf.DUMMYFUNCTION("""COMPUTED_VALUE"""),-1.2428613161002313)</f>
        <v>-1.242861316</v>
      </c>
      <c r="AB25" s="23">
        <f>IFERROR(__xludf.DUMMYFUNCTION("""COMPUTED_VALUE"""),0.0)</f>
        <v>0</v>
      </c>
      <c r="AC25" s="23">
        <f>IFERROR(__xludf.DUMMYFUNCTION("""COMPUTED_VALUE"""),0.0)</f>
        <v>0</v>
      </c>
      <c r="AD25" s="23">
        <f>IFERROR(__xludf.DUMMYFUNCTION("""COMPUTED_VALUE"""),0.023307539409992476)</f>
        <v>0.02330753941</v>
      </c>
      <c r="AE25" s="23">
        <f>IFERROR(__xludf.DUMMYFUNCTION("""COMPUTED_VALUE"""),0.0)</f>
        <v>0</v>
      </c>
      <c r="AH25" s="37"/>
      <c r="AI25" s="37"/>
      <c r="AJ25" s="37"/>
      <c r="AK25" s="37"/>
      <c r="AL25" s="37"/>
      <c r="AM25" s="37"/>
      <c r="AN25" s="37"/>
      <c r="AO25" s="37"/>
      <c r="AP25" s="37"/>
    </row>
    <row r="26">
      <c r="A26" s="12" t="str">
        <f>IF(VLOOKUP(H26,'Paste #BBall'!$C$2:$Q$201,3,)="BRO","BKN",IF(VLOOKUP(H26,'Paste #BBall'!$C$2:$Q$201,3,)="OKL","OKC",VLOOKUP(H26,'Paste #BBall'!$C$2:$Q$201,3,)))</f>
        <v>IND</v>
      </c>
      <c r="B26" s="12">
        <f>VLOOKUP(A26,'Paste #BBall'!$A$204:$D$233,4,)</f>
        <v>3</v>
      </c>
      <c r="C26" s="12">
        <f>VLOOKUP(A26,'Paste #BBall'!$A$204:$C$233,3,)</f>
        <v>3</v>
      </c>
      <c r="D26" s="12">
        <f>VLOOKUP(A26,'Paste #BBall'!$A$204:$B$233,2,)</f>
        <v>3</v>
      </c>
      <c r="E26" s="12">
        <f t="shared" si="1"/>
        <v>9</v>
      </c>
      <c r="F26" s="12">
        <v>21.0</v>
      </c>
      <c r="G26" s="25">
        <f>IFERROR(__xludf.DUMMYFUNCTION("""COMPUTED_VALUE"""),170.0)</f>
        <v>170</v>
      </c>
      <c r="H26" s="25" t="str">
        <f>IFERROR(__xludf.DUMMYFUNCTION("""COMPUTED_VALUE"""),"Bennedict Mathurin")</f>
        <v>Bennedict Mathurin</v>
      </c>
      <c r="I26" s="25">
        <f>IFERROR(__xludf.DUMMYFUNCTION("""COMPUTED_VALUE"""),77.0)</f>
        <v>77</v>
      </c>
      <c r="J26" s="23" t="str">
        <f>IFERROR(__xludf.DUMMYFUNCTION("""COMPUTED_VALUE"""),"SF")</f>
        <v>SF</v>
      </c>
      <c r="K26" s="23">
        <f>IFERROR(__xludf.DUMMYFUNCTION("""COMPUTED_VALUE"""),-4.023659401206252)</f>
        <v>-4.023659401</v>
      </c>
      <c r="L26" s="23">
        <f>IFERROR(__xludf.DUMMYFUNCTION("""COMPUTED_VALUE"""),-3.132123762245191)</f>
        <v>-3.132123762</v>
      </c>
      <c r="M26" s="26">
        <f>IFERROR(__xludf.DUMMYFUNCTION("""COMPUTED_VALUE"""),0.8915356389610607)</f>
        <v>0.891535639</v>
      </c>
      <c r="N26" s="26">
        <f>IFERROR(__xludf.DUMMYFUNCTION("""COMPUTED_VALUE"""),15.2)</f>
        <v>15.2</v>
      </c>
      <c r="O26" s="26">
        <f>IFERROR(__xludf.DUMMYFUNCTION("""COMPUTED_VALUE"""),1.9)</f>
        <v>1.9</v>
      </c>
      <c r="P26" s="26">
        <f>IFERROR(__xludf.DUMMYFUNCTION("""COMPUTED_VALUE"""),3.6)</f>
        <v>3.6</v>
      </c>
      <c r="Q26" s="27">
        <f>IFERROR(__xludf.DUMMYFUNCTION("""COMPUTED_VALUE"""),1.8)</f>
        <v>1.8</v>
      </c>
      <c r="R26" s="26">
        <f>IFERROR(__xludf.DUMMYFUNCTION("""COMPUTED_VALUE"""),0.8)</f>
        <v>0.8</v>
      </c>
      <c r="S26" s="26">
        <f>IFERROR(__xludf.DUMMYFUNCTION("""COMPUTED_VALUE"""),0.3)</f>
        <v>0.3</v>
      </c>
      <c r="T26" s="26">
        <f>IFERROR(__xludf.DUMMYFUNCTION("""COMPUTED_VALUE"""),44.8)</f>
        <v>44.8</v>
      </c>
      <c r="U26" s="26">
        <f>IFERROR(__xludf.DUMMYFUNCTION("""COMPUTED_VALUE"""),78.57142857142858)</f>
        <v>78.57142857</v>
      </c>
      <c r="V26" s="26">
        <f>IFERROR(__xludf.DUMMYFUNCTION("""COMPUTED_VALUE"""),1.6)</f>
        <v>1.6</v>
      </c>
      <c r="W26" s="23">
        <f>IFERROR(__xludf.DUMMYFUNCTION("""COMPUTED_VALUE"""),-0.4668027051601563)</f>
        <v>-0.4668027052</v>
      </c>
      <c r="X26" s="23">
        <f>IFERROR(__xludf.DUMMYFUNCTION("""COMPUTED_VALUE"""),0.28656444644850193)</f>
        <v>0.2865644464</v>
      </c>
      <c r="Y26" s="23">
        <f>IFERROR(__xludf.DUMMYFUNCTION("""COMPUTED_VALUE"""),-1.0101276449705001)</f>
        <v>-1.010127645</v>
      </c>
      <c r="Z26" s="23">
        <f>IFERROR(__xludf.DUMMYFUNCTION("""COMPUTED_VALUE"""),-1.085466147248329)</f>
        <v>-1.085466147</v>
      </c>
      <c r="AA26" s="23">
        <f>IFERROR(__xludf.DUMMYFUNCTION("""COMPUTED_VALUE"""),-0.8340614571621854)</f>
        <v>-0.8340614572</v>
      </c>
      <c r="AB26" s="23">
        <f>IFERROR(__xludf.DUMMYFUNCTION("""COMPUTED_VALUE"""),0.0)</f>
        <v>0</v>
      </c>
      <c r="AC26" s="23">
        <f>IFERROR(__xludf.DUMMYFUNCTION("""COMPUTED_VALUE"""),0.0)</f>
        <v>0</v>
      </c>
      <c r="AD26" s="23">
        <f>IFERROR(__xludf.DUMMYFUNCTION("""COMPUTED_VALUE"""),-0.022230254152522107)</f>
        <v>-0.02223025415</v>
      </c>
      <c r="AE26" s="23">
        <f>IFERROR(__xludf.DUMMYFUNCTION("""COMPUTED_VALUE"""),0.0)</f>
        <v>0</v>
      </c>
    </row>
    <row r="27">
      <c r="A27" s="12" t="str">
        <f>IF(VLOOKUP(H27,'Paste #BBall'!$C$2:$Q$201,3,)="BRO","BKN",IF(VLOOKUP(H27,'Paste #BBall'!$C$2:$Q$201,3,)="OKL","OKC",VLOOKUP(H27,'Paste #BBall'!$C$2:$Q$201,3,)))</f>
        <v>LAL</v>
      </c>
      <c r="B27" s="12">
        <f>VLOOKUP(A27,'Paste #BBall'!$A$204:$D$233,4,)</f>
        <v>4</v>
      </c>
      <c r="C27" s="12">
        <f>VLOOKUP(A27,'Paste #BBall'!$A$204:$C$233,3,)</f>
        <v>3</v>
      </c>
      <c r="D27" s="12">
        <f>VLOOKUP(A27,'Paste #BBall'!$A$204:$B$233,2,)</f>
        <v>4</v>
      </c>
      <c r="E27" s="12">
        <f t="shared" si="1"/>
        <v>11</v>
      </c>
      <c r="F27" s="12">
        <v>22.0</v>
      </c>
      <c r="G27" s="25">
        <f>IFERROR(__xludf.DUMMYFUNCTION("""COMPUTED_VALUE"""),135.0)</f>
        <v>135</v>
      </c>
      <c r="H27" s="25" t="str">
        <f>IFERROR(__xludf.DUMMYFUNCTION("""COMPUTED_VALUE"""),"Patrick Beverley")</f>
        <v>Patrick Beverley</v>
      </c>
      <c r="I27" s="25">
        <f>IFERROR(__xludf.DUMMYFUNCTION("""COMPUTED_VALUE"""),68.0)</f>
        <v>68</v>
      </c>
      <c r="J27" s="23" t="str">
        <f>IFERROR(__xludf.DUMMYFUNCTION("""COMPUTED_VALUE"""),"PG")</f>
        <v>PG</v>
      </c>
      <c r="K27" s="23">
        <f>IFERROR(__xludf.DUMMYFUNCTION("""COMPUTED_VALUE"""),-3.1476955341449813)</f>
        <v>-3.147695534</v>
      </c>
      <c r="L27" s="23">
        <f>IFERROR(__xludf.DUMMYFUNCTION("""COMPUTED_VALUE"""),-3.1897841944960934)</f>
        <v>-3.189784194</v>
      </c>
      <c r="M27" s="26">
        <f>IFERROR(__xludf.DUMMYFUNCTION("""COMPUTED_VALUE"""),-0.04208866035111214)</f>
        <v>-0.04208866035</v>
      </c>
      <c r="N27" s="26">
        <f>IFERROR(__xludf.DUMMYFUNCTION("""COMPUTED_VALUE"""),8.3)</f>
        <v>8.3</v>
      </c>
      <c r="O27" s="26">
        <f>IFERROR(__xludf.DUMMYFUNCTION("""COMPUTED_VALUE"""),1.3)</f>
        <v>1.3</v>
      </c>
      <c r="P27" s="26">
        <f>IFERROR(__xludf.DUMMYFUNCTION("""COMPUTED_VALUE"""),3.8)</f>
        <v>3.8</v>
      </c>
      <c r="Q27" s="27">
        <f>IFERROR(__xludf.DUMMYFUNCTION("""COMPUTED_VALUE"""),4.1)</f>
        <v>4.1</v>
      </c>
      <c r="R27" s="26">
        <f>IFERROR(__xludf.DUMMYFUNCTION("""COMPUTED_VALUE"""),1.1)</f>
        <v>1.1</v>
      </c>
      <c r="S27" s="26">
        <f>IFERROR(__xludf.DUMMYFUNCTION("""COMPUTED_VALUE"""),0.8)</f>
        <v>0.8</v>
      </c>
      <c r="T27" s="26">
        <f>IFERROR(__xludf.DUMMYFUNCTION("""COMPUTED_VALUE"""),41.7910447761194)</f>
        <v>41.79104478</v>
      </c>
      <c r="U27" s="26">
        <f>IFERROR(__xludf.DUMMYFUNCTION("""COMPUTED_VALUE"""),71.42857142857143)</f>
        <v>71.42857143</v>
      </c>
      <c r="V27" s="26">
        <f>IFERROR(__xludf.DUMMYFUNCTION("""COMPUTED_VALUE"""),1.2)</f>
        <v>1.2</v>
      </c>
      <c r="W27" s="23">
        <f>IFERROR(__xludf.DUMMYFUNCTION("""COMPUTED_VALUE"""),-2.3041681767342674)</f>
        <v>-2.304168177</v>
      </c>
      <c r="X27" s="23">
        <f>IFERROR(__xludf.DUMMYFUNCTION("""COMPUTED_VALUE"""),-0.31340889108068076)</f>
        <v>-0.3134088911</v>
      </c>
      <c r="Y27" s="23">
        <f>IFERROR(__xludf.DUMMYFUNCTION("""COMPUTED_VALUE"""),-0.9284845643626322)</f>
        <v>-0.9284845644</v>
      </c>
      <c r="Z27" s="23">
        <f>IFERROR(__xludf.DUMMYFUNCTION("""COMPUTED_VALUE"""),0.22712823758583572)</f>
        <v>0.2271282376</v>
      </c>
      <c r="AA27" s="23">
        <f>IFERROR(__xludf.DUMMYFUNCTION("""COMPUTED_VALUE"""),0.39233811965195126)</f>
        <v>0.3923381197</v>
      </c>
      <c r="AB27" s="23">
        <f>IFERROR(__xludf.DUMMYFUNCTION("""COMPUTED_VALUE"""),0.0)</f>
        <v>0</v>
      </c>
      <c r="AC27" s="23">
        <f>IFERROR(__xludf.DUMMYFUNCTION("""COMPUTED_VALUE"""),0.0)</f>
        <v>0</v>
      </c>
      <c r="AD27" s="23">
        <f>IFERROR(__xludf.DUMMYFUNCTION("""COMPUTED_VALUE"""),-0.26318891955629986)</f>
        <v>-0.2631889196</v>
      </c>
      <c r="AE27" s="23">
        <f>IFERROR(__xludf.DUMMYFUNCTION("""COMPUTED_VALUE"""),0.0)</f>
        <v>0</v>
      </c>
    </row>
    <row r="28">
      <c r="A28" s="12" t="str">
        <f>IF(VLOOKUP(H28,'Paste #BBall'!$C$2:$Q$201,3,)="BRO","BKN",IF(VLOOKUP(H28,'Paste #BBall'!$C$2:$Q$201,3,)="OKL","OKC",VLOOKUP(H28,'Paste #BBall'!$C$2:$Q$201,3,)))</f>
        <v>NYK</v>
      </c>
      <c r="B28" s="12">
        <f>VLOOKUP(A28,'Paste #BBall'!$A$204:$D$233,4,)</f>
        <v>3</v>
      </c>
      <c r="C28" s="12">
        <f>VLOOKUP(A28,'Paste #BBall'!$A$204:$C$233,3,)</f>
        <v>4</v>
      </c>
      <c r="D28" s="12">
        <f>VLOOKUP(A28,'Paste #BBall'!$A$204:$B$233,2,)</f>
        <v>2</v>
      </c>
      <c r="E28" s="12">
        <f t="shared" si="1"/>
        <v>9</v>
      </c>
      <c r="F28" s="12">
        <v>23.0</v>
      </c>
      <c r="G28" s="25">
        <f>IFERROR(__xludf.DUMMYFUNCTION("""COMPUTED_VALUE"""),179.0)</f>
        <v>179</v>
      </c>
      <c r="H28" s="25" t="str">
        <f>IFERROR(__xludf.DUMMYFUNCTION("""COMPUTED_VALUE"""),"Quentin Grimes")</f>
        <v>Quentin Grimes</v>
      </c>
      <c r="I28" s="25">
        <f>IFERROR(__xludf.DUMMYFUNCTION("""COMPUTED_VALUE"""),69.0)</f>
        <v>69</v>
      </c>
      <c r="J28" s="23" t="str">
        <f>IFERROR(__xludf.DUMMYFUNCTION("""COMPUTED_VALUE"""),"SG")</f>
        <v>SG</v>
      </c>
      <c r="K28" s="23">
        <f>IFERROR(__xludf.DUMMYFUNCTION("""COMPUTED_VALUE"""),-4.242830850978957)</f>
        <v>-4.242830851</v>
      </c>
      <c r="L28" s="23">
        <f>IFERROR(__xludf.DUMMYFUNCTION("""COMPUTED_VALUE"""),-3.214061781746177)</f>
        <v>-3.214061782</v>
      </c>
      <c r="M28" s="26">
        <f>IFERROR(__xludf.DUMMYFUNCTION("""COMPUTED_VALUE"""),1.02876906923278)</f>
        <v>1.028769069</v>
      </c>
      <c r="N28" s="26">
        <f>IFERROR(__xludf.DUMMYFUNCTION("""COMPUTED_VALUE"""),11.9)</f>
        <v>11.9</v>
      </c>
      <c r="O28" s="26">
        <f>IFERROR(__xludf.DUMMYFUNCTION("""COMPUTED_VALUE"""),2.4)</f>
        <v>2.4</v>
      </c>
      <c r="P28" s="26">
        <f>IFERROR(__xludf.DUMMYFUNCTION("""COMPUTED_VALUE"""),3.1)</f>
        <v>3.1</v>
      </c>
      <c r="Q28" s="27">
        <f>IFERROR(__xludf.DUMMYFUNCTION("""COMPUTED_VALUE"""),1.5)</f>
        <v>1.5</v>
      </c>
      <c r="R28" s="26">
        <f>IFERROR(__xludf.DUMMYFUNCTION("""COMPUTED_VALUE"""),1.0)</f>
        <v>1</v>
      </c>
      <c r="S28" s="26">
        <f>IFERROR(__xludf.DUMMYFUNCTION("""COMPUTED_VALUE"""),0.3)</f>
        <v>0.3</v>
      </c>
      <c r="T28" s="26">
        <f>IFERROR(__xludf.DUMMYFUNCTION("""COMPUTED_VALUE"""),42.10526315789473)</f>
        <v>42.10526316</v>
      </c>
      <c r="U28" s="26">
        <f>IFERROR(__xludf.DUMMYFUNCTION("""COMPUTED_VALUE"""),73.68421052631578)</f>
        <v>73.68421053</v>
      </c>
      <c r="V28" s="26">
        <f>IFERROR(__xludf.DUMMYFUNCTION("""COMPUTED_VALUE"""),0.9)</f>
        <v>0.9</v>
      </c>
      <c r="W28" s="23">
        <f>IFERROR(__xludf.DUMMYFUNCTION("""COMPUTED_VALUE"""),-1.3455427133042963)</f>
        <v>-1.345542713</v>
      </c>
      <c r="X28" s="23">
        <f>IFERROR(__xludf.DUMMYFUNCTION("""COMPUTED_VALUE"""),0.786542227722821)</f>
        <v>0.7865422277</v>
      </c>
      <c r="Y28" s="23">
        <f>IFERROR(__xludf.DUMMYFUNCTION("""COMPUTED_VALUE"""),-1.21423534649017)</f>
        <v>-1.214235346</v>
      </c>
      <c r="Z28" s="23">
        <f>IFERROR(__xludf.DUMMYFUNCTION("""COMPUTED_VALUE"""),-1.2566741104875678)</f>
        <v>-1.25667411</v>
      </c>
      <c r="AA28" s="23">
        <f>IFERROR(__xludf.DUMMYFUNCTION("""COMPUTED_VALUE"""),-0.01646173928609459)</f>
        <v>-0.01646173929</v>
      </c>
      <c r="AB28" s="23">
        <f>IFERROR(__xludf.DUMMYFUNCTION("""COMPUTED_VALUE"""),0.0)</f>
        <v>0</v>
      </c>
      <c r="AC28" s="23">
        <f>IFERROR(__xludf.DUMMYFUNCTION("""COMPUTED_VALUE"""),0.0)</f>
        <v>0</v>
      </c>
      <c r="AD28" s="23">
        <f>IFERROR(__xludf.DUMMYFUNCTION("""COMPUTED_VALUE"""),-0.1676900999008692)</f>
        <v>-0.1676900999</v>
      </c>
      <c r="AE28" s="23">
        <f>IFERROR(__xludf.DUMMYFUNCTION("""COMPUTED_VALUE"""),0.0)</f>
        <v>0</v>
      </c>
      <c r="AQ28" s="50"/>
    </row>
    <row r="29">
      <c r="A29" s="12" t="str">
        <f>IF(VLOOKUP(H29,'Paste #BBall'!$C$2:$Q$201,3,)="BRO","BKN",IF(VLOOKUP(H29,'Paste #BBall'!$C$2:$Q$201,3,)="OKL","OKC",VLOOKUP(H29,'Paste #BBall'!$C$2:$Q$201,3,)))</f>
        <v>DET</v>
      </c>
      <c r="B29" s="12">
        <f>VLOOKUP(A29,'Paste #BBall'!$A$204:$D$233,4,)</f>
        <v>2</v>
      </c>
      <c r="C29" s="12">
        <f>VLOOKUP(A29,'Paste #BBall'!$A$204:$C$233,3,)</f>
        <v>3</v>
      </c>
      <c r="D29" s="12">
        <f>VLOOKUP(A29,'Paste #BBall'!$A$204:$B$233,2,)</f>
        <v>4</v>
      </c>
      <c r="E29" s="12">
        <f t="shared" si="1"/>
        <v>9</v>
      </c>
      <c r="F29" s="12">
        <v>24.0</v>
      </c>
      <c r="G29" s="25">
        <f>IFERROR(__xludf.DUMMYFUNCTION("""COMPUTED_VALUE"""),163.0)</f>
        <v>163</v>
      </c>
      <c r="H29" s="25" t="str">
        <f>IFERROR(__xludf.DUMMYFUNCTION("""COMPUTED_VALUE"""),"Killian Hayes")</f>
        <v>Killian Hayes</v>
      </c>
      <c r="I29" s="25">
        <f>IFERROR(__xludf.DUMMYFUNCTION("""COMPUTED_VALUE"""),67.0)</f>
        <v>67</v>
      </c>
      <c r="J29" s="23" t="str">
        <f>IFERROR(__xludf.DUMMYFUNCTION("""COMPUTED_VALUE"""),"PG")</f>
        <v>PG</v>
      </c>
      <c r="K29" s="23">
        <f>IFERROR(__xludf.DUMMYFUNCTION("""COMPUTED_VALUE"""),-3.8169585361562657)</f>
        <v>-3.816958536</v>
      </c>
      <c r="L29" s="23">
        <f>IFERROR(__xludf.DUMMYFUNCTION("""COMPUTED_VALUE"""),-3.3317407525785128)</f>
        <v>-3.331740753</v>
      </c>
      <c r="M29" s="26">
        <f>IFERROR(__xludf.DUMMYFUNCTION("""COMPUTED_VALUE"""),0.4852177835777529)</f>
        <v>0.4852177836</v>
      </c>
      <c r="N29" s="26">
        <f>IFERROR(__xludf.DUMMYFUNCTION("""COMPUTED_VALUE"""),7.8)</f>
        <v>7.8</v>
      </c>
      <c r="O29" s="26">
        <f>IFERROR(__xludf.DUMMYFUNCTION("""COMPUTED_VALUE"""),0.7)</f>
        <v>0.7</v>
      </c>
      <c r="P29" s="26">
        <f>IFERROR(__xludf.DUMMYFUNCTION("""COMPUTED_VALUE"""),3.2)</f>
        <v>3.2</v>
      </c>
      <c r="Q29" s="27">
        <f>IFERROR(__xludf.DUMMYFUNCTION("""COMPUTED_VALUE"""),4.3)</f>
        <v>4.3</v>
      </c>
      <c r="R29" s="26">
        <f>IFERROR(__xludf.DUMMYFUNCTION("""COMPUTED_VALUE"""),1.2)</f>
        <v>1.2</v>
      </c>
      <c r="S29" s="26">
        <f>IFERROR(__xludf.DUMMYFUNCTION("""COMPUTED_VALUE"""),0.5)</f>
        <v>0.5</v>
      </c>
      <c r="T29" s="26">
        <f>IFERROR(__xludf.DUMMYFUNCTION("""COMPUTED_VALUE"""),40.789473684210535)</f>
        <v>40.78947368</v>
      </c>
      <c r="U29" s="26">
        <f>IFERROR(__xludf.DUMMYFUNCTION("""COMPUTED_VALUE"""),81.81818181818181)</f>
        <v>81.81818182</v>
      </c>
      <c r="V29" s="26">
        <f>IFERROR(__xludf.DUMMYFUNCTION("""COMPUTED_VALUE"""),1.7)</f>
        <v>1.7</v>
      </c>
      <c r="W29" s="23">
        <f>IFERROR(__xludf.DUMMYFUNCTION("""COMPUTED_VALUE"""),-2.4373106022106525)</f>
        <v>-2.437310602</v>
      </c>
      <c r="X29" s="23">
        <f>IFERROR(__xludf.DUMMYFUNCTION("""COMPUTED_VALUE"""),-0.9133822286098637)</f>
        <v>-0.9133822286</v>
      </c>
      <c r="Y29" s="23">
        <f>IFERROR(__xludf.DUMMYFUNCTION("""COMPUTED_VALUE"""),-1.173413806186236)</f>
        <v>-1.173413806</v>
      </c>
      <c r="Z29" s="23">
        <f>IFERROR(__xludf.DUMMYFUNCTION("""COMPUTED_VALUE"""),0.3412668797453284)</f>
        <v>0.3412668797</v>
      </c>
      <c r="AA29" s="23">
        <f>IFERROR(__xludf.DUMMYFUNCTION("""COMPUTED_VALUE"""),0.8011379785899962)</f>
        <v>0.8011379786</v>
      </c>
      <c r="AB29" s="23">
        <f>IFERROR(__xludf.DUMMYFUNCTION("""COMPUTED_VALUE"""),0.0)</f>
        <v>0</v>
      </c>
      <c r="AC29" s="23">
        <f>IFERROR(__xludf.DUMMYFUNCTION("""COMPUTED_VALUE"""),0.0)</f>
        <v>0</v>
      </c>
      <c r="AD29" s="23">
        <f>IFERROR(__xludf.DUMMYFUNCTION("""COMPUTED_VALUE"""),0.04996102609291556)</f>
        <v>0.04996102609</v>
      </c>
      <c r="AE29" s="23">
        <f>IFERROR(__xludf.DUMMYFUNCTION("""COMPUTED_VALUE"""),0.0)</f>
        <v>0</v>
      </c>
    </row>
    <row r="30">
      <c r="A30" s="12" t="str">
        <f>IF(VLOOKUP(H30,'Paste #BBall'!$C$2:$Q$201,3,)="BRO","BKN",IF(VLOOKUP(H30,'Paste #BBall'!$C$2:$Q$201,3,)="OKL","OKC",VLOOKUP(H30,'Paste #BBall'!$C$2:$Q$201,3,)))</f>
        <v>DET</v>
      </c>
      <c r="B30" s="12">
        <f>VLOOKUP(A30,'Paste #BBall'!$A$204:$D$233,4,)</f>
        <v>2</v>
      </c>
      <c r="C30" s="12">
        <f>VLOOKUP(A30,'Paste #BBall'!$A$204:$C$233,3,)</f>
        <v>3</v>
      </c>
      <c r="D30" s="12">
        <f>VLOOKUP(A30,'Paste #BBall'!$A$204:$B$233,2,)</f>
        <v>4</v>
      </c>
      <c r="E30" s="12">
        <f t="shared" si="1"/>
        <v>9</v>
      </c>
      <c r="F30" s="12">
        <v>25.0</v>
      </c>
      <c r="G30" s="25">
        <f>IFERROR(__xludf.DUMMYFUNCTION("""COMPUTED_VALUE"""),189.0)</f>
        <v>189</v>
      </c>
      <c r="H30" s="25" t="str">
        <f>IFERROR(__xludf.DUMMYFUNCTION("""COMPUTED_VALUE"""),"Jaden Ivey")</f>
        <v>Jaden Ivey</v>
      </c>
      <c r="I30" s="25">
        <f>IFERROR(__xludf.DUMMYFUNCTION("""COMPUTED_VALUE"""),72.0)</f>
        <v>72</v>
      </c>
      <c r="J30" s="23" t="str">
        <f>IFERROR(__xludf.DUMMYFUNCTION("""COMPUTED_VALUE"""),"PG")</f>
        <v>PG</v>
      </c>
      <c r="K30" s="23">
        <f>IFERROR(__xludf.DUMMYFUNCTION("""COMPUTED_VALUE"""),-4.705814899117969)</f>
        <v>-4.705814899</v>
      </c>
      <c r="L30" s="23">
        <f>IFERROR(__xludf.DUMMYFUNCTION("""COMPUTED_VALUE"""),-3.4522017413043806)</f>
        <v>-3.452201741</v>
      </c>
      <c r="M30" s="26">
        <f>IFERROR(__xludf.DUMMYFUNCTION("""COMPUTED_VALUE"""),1.253613157813588)</f>
        <v>1.253613158</v>
      </c>
      <c r="N30" s="26">
        <f>IFERROR(__xludf.DUMMYFUNCTION("""COMPUTED_VALUE"""),16.0)</f>
        <v>16</v>
      </c>
      <c r="O30" s="26">
        <f>IFERROR(__xludf.DUMMYFUNCTION("""COMPUTED_VALUE"""),1.7)</f>
        <v>1.7</v>
      </c>
      <c r="P30" s="26">
        <f>IFERROR(__xludf.DUMMYFUNCTION("""COMPUTED_VALUE"""),3.5)</f>
        <v>3.5</v>
      </c>
      <c r="Q30" s="27">
        <f>IFERROR(__xludf.DUMMYFUNCTION("""COMPUTED_VALUE"""),2.8)</f>
        <v>2.8</v>
      </c>
      <c r="R30" s="26">
        <f>IFERROR(__xludf.DUMMYFUNCTION("""COMPUTED_VALUE"""),0.7)</f>
        <v>0.7</v>
      </c>
      <c r="S30" s="26">
        <f>IFERROR(__xludf.DUMMYFUNCTION("""COMPUTED_VALUE"""),0.4)</f>
        <v>0.4</v>
      </c>
      <c r="T30" s="26">
        <f>IFERROR(__xludf.DUMMYFUNCTION("""COMPUTED_VALUE"""),44.44444444444445)</f>
        <v>44.44444444</v>
      </c>
      <c r="U30" s="26">
        <f>IFERROR(__xludf.DUMMYFUNCTION("""COMPUTED_VALUE"""),73.58490566037736)</f>
        <v>73.58490566</v>
      </c>
      <c r="V30" s="26">
        <f>IFERROR(__xludf.DUMMYFUNCTION("""COMPUTED_VALUE"""),2.4)</f>
        <v>2.4</v>
      </c>
      <c r="W30" s="23">
        <f>IFERROR(__xludf.DUMMYFUNCTION("""COMPUTED_VALUE"""),-0.2537748243979403)</f>
        <v>-0.2537748244</v>
      </c>
      <c r="X30" s="23">
        <f>IFERROR(__xludf.DUMMYFUNCTION("""COMPUTED_VALUE"""),0.08657333393877437)</f>
        <v>0.08657333394</v>
      </c>
      <c r="Y30" s="23">
        <f>IFERROR(__xludf.DUMMYFUNCTION("""COMPUTED_VALUE"""),-1.0509491852744342)</f>
        <v>-1.050949185</v>
      </c>
      <c r="Z30" s="23">
        <f>IFERROR(__xludf.DUMMYFUNCTION("""COMPUTED_VALUE"""),-0.514772936450866)</f>
        <v>-0.5147729365</v>
      </c>
      <c r="AA30" s="23">
        <f>IFERROR(__xludf.DUMMYFUNCTION("""COMPUTED_VALUE"""),-1.2428613161002313)</f>
        <v>-1.242861316</v>
      </c>
      <c r="AB30" s="23">
        <f>IFERROR(__xludf.DUMMYFUNCTION("""COMPUTED_VALUE"""),0.0)</f>
        <v>0</v>
      </c>
      <c r="AC30" s="23">
        <f>IFERROR(__xludf.DUMMYFUNCTION("""COMPUTED_VALUE"""),0.0)</f>
        <v>0</v>
      </c>
      <c r="AD30" s="23">
        <f>IFERROR(__xludf.DUMMYFUNCTION("""COMPUTED_VALUE"""),-0.4764168130196837)</f>
        <v>-0.476416813</v>
      </c>
      <c r="AE30" s="23">
        <f>IFERROR(__xludf.DUMMYFUNCTION("""COMPUTED_VALUE"""),0.0)</f>
        <v>0</v>
      </c>
    </row>
    <row r="31">
      <c r="A31" s="12" t="str">
        <f>IF(VLOOKUP(H31,'Paste #BBall'!$C$2:$Q$201,3,)="BRO","BKN",IF(VLOOKUP(H31,'Paste #BBall'!$C$2:$Q$201,3,)="OKL","OKC",VLOOKUP(H31,'Paste #BBall'!$C$2:$Q$201,3,)))</f>
        <v>TOR</v>
      </c>
      <c r="B31" s="12">
        <f>VLOOKUP(A31,'Paste #BBall'!$A$204:$D$233,4,)</f>
        <v>3</v>
      </c>
      <c r="C31" s="12">
        <f>VLOOKUP(A31,'Paste #BBall'!$A$204:$C$233,3,)</f>
        <v>3</v>
      </c>
      <c r="D31" s="12">
        <f>VLOOKUP(A31,'Paste #BBall'!$A$204:$B$233,2,)</f>
        <v>4</v>
      </c>
      <c r="E31" s="12">
        <f t="shared" si="1"/>
        <v>10</v>
      </c>
      <c r="F31" s="12">
        <v>26.0</v>
      </c>
      <c r="G31" s="25">
        <f>IFERROR(__xludf.DUMMYFUNCTION("""COMPUTED_VALUE"""),131.0)</f>
        <v>131</v>
      </c>
      <c r="H31" s="25" t="str">
        <f>IFERROR(__xludf.DUMMYFUNCTION("""COMPUTED_VALUE"""),"Otto Porter Jr.")</f>
        <v>Otto Porter Jr.</v>
      </c>
      <c r="I31" s="25">
        <f>IFERROR(__xludf.DUMMYFUNCTION("""COMPUTED_VALUE"""),63.0)</f>
        <v>63</v>
      </c>
      <c r="J31" s="23" t="str">
        <f>IFERROR(__xludf.DUMMYFUNCTION("""COMPUTED_VALUE"""),"SF")</f>
        <v>SF</v>
      </c>
      <c r="K31" s="23">
        <f>IFERROR(__xludf.DUMMYFUNCTION("""COMPUTED_VALUE"""),-3.0382835634253063)</f>
        <v>-3.038283563</v>
      </c>
      <c r="L31" s="23">
        <f>IFERROR(__xludf.DUMMYFUNCTION("""COMPUTED_VALUE"""),-3.484349946833367)</f>
        <v>-3.484349947</v>
      </c>
      <c r="M31" s="26">
        <f>IFERROR(__xludf.DUMMYFUNCTION("""COMPUTED_VALUE"""),-0.44606638340806093)</f>
        <v>-0.4460663834</v>
      </c>
      <c r="N31" s="26">
        <f>IFERROR(__xludf.DUMMYFUNCTION("""COMPUTED_VALUE"""),8.5)</f>
        <v>8.5</v>
      </c>
      <c r="O31" s="26">
        <f>IFERROR(__xludf.DUMMYFUNCTION("""COMPUTED_VALUE"""),1.3)</f>
        <v>1.3</v>
      </c>
      <c r="P31" s="26">
        <f>IFERROR(__xludf.DUMMYFUNCTION("""COMPUTED_VALUE"""),5.9)</f>
        <v>5.9</v>
      </c>
      <c r="Q31" s="27">
        <f>IFERROR(__xludf.DUMMYFUNCTION("""COMPUTED_VALUE"""),1.5)</f>
        <v>1.5</v>
      </c>
      <c r="R31" s="26">
        <f>IFERROR(__xludf.DUMMYFUNCTION("""COMPUTED_VALUE"""),1.1)</f>
        <v>1.1</v>
      </c>
      <c r="S31" s="26">
        <f>IFERROR(__xludf.DUMMYFUNCTION("""COMPUTED_VALUE"""),0.5)</f>
        <v>0.5</v>
      </c>
      <c r="T31" s="26">
        <f>IFERROR(__xludf.DUMMYFUNCTION("""COMPUTED_VALUE"""),47.76119402985074)</f>
        <v>47.76119403</v>
      </c>
      <c r="U31" s="26">
        <f>IFERROR(__xludf.DUMMYFUNCTION("""COMPUTED_VALUE"""),80.0)</f>
        <v>80</v>
      </c>
      <c r="V31" s="26">
        <f>IFERROR(__xludf.DUMMYFUNCTION("""COMPUTED_VALUE"""),0.6)</f>
        <v>0.6</v>
      </c>
      <c r="W31" s="23">
        <f>IFERROR(__xludf.DUMMYFUNCTION("""COMPUTED_VALUE"""),-2.2509112065437136)</f>
        <v>-2.250911207</v>
      </c>
      <c r="X31" s="23">
        <f>IFERROR(__xludf.DUMMYFUNCTION("""COMPUTED_VALUE"""),-0.31340889108068076)</f>
        <v>-0.3134088911</v>
      </c>
      <c r="Y31" s="23">
        <f>IFERROR(__xludf.DUMMYFUNCTION("""COMPUTED_VALUE"""),-0.07123221798001796)</f>
        <v>-0.07123221798</v>
      </c>
      <c r="Z31" s="23">
        <f>IFERROR(__xludf.DUMMYFUNCTION("""COMPUTED_VALUE"""),-1.2566741104875678)</f>
        <v>-1.25667411</v>
      </c>
      <c r="AA31" s="23">
        <f>IFERROR(__xludf.DUMMYFUNCTION("""COMPUTED_VALUE"""),0.39233811965195126)</f>
        <v>0.3923381197</v>
      </c>
      <c r="AB31" s="23">
        <f>IFERROR(__xludf.DUMMYFUNCTION("""COMPUTED_VALUE"""),0.0)</f>
        <v>0</v>
      </c>
      <c r="AC31" s="23">
        <f>IFERROR(__xludf.DUMMYFUNCTION("""COMPUTED_VALUE"""),0.0)</f>
        <v>0</v>
      </c>
      <c r="AD31" s="23">
        <f>IFERROR(__xludf.DUMMYFUNCTION("""COMPUTED_VALUE"""),0.015538359606661832)</f>
        <v>0.01553835961</v>
      </c>
      <c r="AE31" s="23">
        <f>IFERROR(__xludf.DUMMYFUNCTION("""COMPUTED_VALUE"""),0.0)</f>
        <v>0</v>
      </c>
    </row>
    <row r="32">
      <c r="A32" s="12" t="str">
        <f>IF(VLOOKUP(H32,'Paste #BBall'!$C$2:$Q$201,3,)="BRO","BKN",IF(VLOOKUP(H32,'Paste #BBall'!$C$2:$Q$201,3,)="OKL","OKC",VLOOKUP(H32,'Paste #BBall'!$C$2:$Q$201,3,)))</f>
        <v>MIL</v>
      </c>
      <c r="B32" s="12">
        <f>VLOOKUP(A32,'Paste #BBall'!$A$204:$D$233,4,)</f>
        <v>3</v>
      </c>
      <c r="C32" s="12">
        <f>VLOOKUP(A32,'Paste #BBall'!$A$204:$C$233,3,)</f>
        <v>4</v>
      </c>
      <c r="D32" s="12">
        <f>VLOOKUP(A32,'Paste #BBall'!$A$204:$B$233,2,)</f>
        <v>4</v>
      </c>
      <c r="E32" s="12">
        <f t="shared" si="1"/>
        <v>11</v>
      </c>
      <c r="F32" s="12">
        <v>27.0</v>
      </c>
      <c r="G32" s="25">
        <f>IFERROR(__xludf.DUMMYFUNCTION("""COMPUTED_VALUE"""),164.0)</f>
        <v>164</v>
      </c>
      <c r="H32" s="25" t="str">
        <f>IFERROR(__xludf.DUMMYFUNCTION("""COMPUTED_VALUE"""),"Pat Connaughton")</f>
        <v>Pat Connaughton</v>
      </c>
      <c r="I32" s="25">
        <f>IFERROR(__xludf.DUMMYFUNCTION("""COMPUTED_VALUE"""),66.0)</f>
        <v>66</v>
      </c>
      <c r="J32" s="23" t="str">
        <f>IFERROR(__xludf.DUMMYFUNCTION("""COMPUTED_VALUE"""),"SG/SF")</f>
        <v>SG/SF</v>
      </c>
      <c r="K32" s="23">
        <f>IFERROR(__xludf.DUMMYFUNCTION("""COMPUTED_VALUE"""),-3.8815494860208117)</f>
        <v>-3.881549486</v>
      </c>
      <c r="L32" s="23">
        <f>IFERROR(__xludf.DUMMYFUNCTION("""COMPUTED_VALUE"""),-3.551020252794939)</f>
        <v>-3.551020253</v>
      </c>
      <c r="M32" s="26">
        <f>IFERROR(__xludf.DUMMYFUNCTION("""COMPUTED_VALUE"""),0.3305292332258727)</f>
        <v>0.3305292332</v>
      </c>
      <c r="N32" s="26">
        <f>IFERROR(__xludf.DUMMYFUNCTION("""COMPUTED_VALUE"""),10.2)</f>
        <v>10.2</v>
      </c>
      <c r="O32" s="26">
        <f>IFERROR(__xludf.DUMMYFUNCTION("""COMPUTED_VALUE"""),2.4)</f>
        <v>2.4</v>
      </c>
      <c r="P32" s="26">
        <f>IFERROR(__xludf.DUMMYFUNCTION("""COMPUTED_VALUE"""),4.3)</f>
        <v>4.3</v>
      </c>
      <c r="Q32" s="27">
        <f>IFERROR(__xludf.DUMMYFUNCTION("""COMPUTED_VALUE"""),1.3)</f>
        <v>1.3</v>
      </c>
      <c r="R32" s="26">
        <f>IFERROR(__xludf.DUMMYFUNCTION("""COMPUTED_VALUE"""),0.9)</f>
        <v>0.9</v>
      </c>
      <c r="S32" s="26">
        <f>IFERROR(__xludf.DUMMYFUNCTION("""COMPUTED_VALUE"""),0.2)</f>
        <v>0.2</v>
      </c>
      <c r="T32" s="26">
        <f>IFERROR(__xludf.DUMMYFUNCTION("""COMPUTED_VALUE"""),46.15384615384615)</f>
        <v>46.15384615</v>
      </c>
      <c r="U32" s="26">
        <f>IFERROR(__xludf.DUMMYFUNCTION("""COMPUTED_VALUE"""),77.77777777777777)</f>
        <v>77.77777778</v>
      </c>
      <c r="V32" s="26">
        <f>IFERROR(__xludf.DUMMYFUNCTION("""COMPUTED_VALUE"""),0.5)</f>
        <v>0.5</v>
      </c>
      <c r="W32" s="23">
        <f>IFERROR(__xludf.DUMMYFUNCTION("""COMPUTED_VALUE"""),-1.7982269599240053)</f>
        <v>-1.79822696</v>
      </c>
      <c r="X32" s="23">
        <f>IFERROR(__xludf.DUMMYFUNCTION("""COMPUTED_VALUE"""),0.786542227722821)</f>
        <v>0.7865422277</v>
      </c>
      <c r="Y32" s="23">
        <f>IFERROR(__xludf.DUMMYFUNCTION("""COMPUTED_VALUE"""),-0.7243768628429622)</f>
        <v>-0.7243768628</v>
      </c>
      <c r="Z32" s="23">
        <f>IFERROR(__xludf.DUMMYFUNCTION("""COMPUTED_VALUE"""),-1.3708127526470602)</f>
        <v>-1.370812753</v>
      </c>
      <c r="AA32" s="23">
        <f>IFERROR(__xludf.DUMMYFUNCTION("""COMPUTED_VALUE"""),-0.42526159822414)</f>
        <v>-0.4252615982</v>
      </c>
      <c r="AB32" s="23">
        <f>IFERROR(__xludf.DUMMYFUNCTION("""COMPUTED_VALUE"""),0.0)</f>
        <v>0</v>
      </c>
      <c r="AC32" s="23">
        <f>IFERROR(__xludf.DUMMYFUNCTION("""COMPUTED_VALUE"""),0.0)</f>
        <v>0</v>
      </c>
      <c r="AD32" s="23">
        <f>IFERROR(__xludf.DUMMYFUNCTION("""COMPUTED_VALUE"""),-0.0188843068795923)</f>
        <v>-0.01888430688</v>
      </c>
      <c r="AE32" s="23">
        <f>IFERROR(__xludf.DUMMYFUNCTION("""COMPUTED_VALUE"""),0.0)</f>
        <v>0</v>
      </c>
    </row>
    <row r="33">
      <c r="A33" s="12" t="str">
        <f>IF(VLOOKUP(H33,'Paste #BBall'!$C$2:$Q$201,3,)="BRO","BKN",IF(VLOOKUP(H33,'Paste #BBall'!$C$2:$Q$201,3,)="OKL","OKC",VLOOKUP(H33,'Paste #BBall'!$C$2:$Q$201,3,)))</f>
        <v>SAC</v>
      </c>
      <c r="B33" s="12">
        <f>VLOOKUP(A33,'Paste #BBall'!$A$204:$D$233,4,)</f>
        <v>3</v>
      </c>
      <c r="C33" s="12">
        <f>VLOOKUP(A33,'Paste #BBall'!$A$204:$C$233,3,)</f>
        <v>3</v>
      </c>
      <c r="D33" s="12">
        <f>VLOOKUP(A33,'Paste #BBall'!$A$204:$B$233,2,)</f>
        <v>4</v>
      </c>
      <c r="E33" s="12">
        <f t="shared" si="1"/>
        <v>10</v>
      </c>
      <c r="F33" s="12">
        <v>28.0</v>
      </c>
      <c r="G33" s="25">
        <f>IFERROR(__xludf.DUMMYFUNCTION("""COMPUTED_VALUE"""),159.0)</f>
        <v>159</v>
      </c>
      <c r="H33" s="25" t="str">
        <f>IFERROR(__xludf.DUMMYFUNCTION("""COMPUTED_VALUE"""),"Kevin Huerter")</f>
        <v>Kevin Huerter</v>
      </c>
      <c r="I33" s="25">
        <f>IFERROR(__xludf.DUMMYFUNCTION("""COMPUTED_VALUE"""),72.0)</f>
        <v>72</v>
      </c>
      <c r="J33" s="23" t="str">
        <f>IFERROR(__xludf.DUMMYFUNCTION("""COMPUTED_VALUE"""),"SG")</f>
        <v>SG</v>
      </c>
      <c r="K33" s="23">
        <f>IFERROR(__xludf.DUMMYFUNCTION("""COMPUTED_VALUE"""),-3.741940281902594)</f>
        <v>-3.741940282</v>
      </c>
      <c r="L33" s="23">
        <f>IFERROR(__xludf.DUMMYFUNCTION("""COMPUTED_VALUE"""),-3.5622228994292984)</f>
        <v>-3.562222899</v>
      </c>
      <c r="M33" s="26">
        <f>IFERROR(__xludf.DUMMYFUNCTION("""COMPUTED_VALUE"""),0.17971738247329583)</f>
        <v>0.1797173825</v>
      </c>
      <c r="N33" s="26">
        <f>IFERROR(__xludf.DUMMYFUNCTION("""COMPUTED_VALUE"""),12.0)</f>
        <v>12</v>
      </c>
      <c r="O33" s="26">
        <f>IFERROR(__xludf.DUMMYFUNCTION("""COMPUTED_VALUE"""),2.2)</f>
        <v>2.2</v>
      </c>
      <c r="P33" s="26">
        <f>IFERROR(__xludf.DUMMYFUNCTION("""COMPUTED_VALUE"""),3.4)</f>
        <v>3.4</v>
      </c>
      <c r="Q33" s="27">
        <f>IFERROR(__xludf.DUMMYFUNCTION("""COMPUTED_VALUE"""),2.7)</f>
        <v>2.7</v>
      </c>
      <c r="R33" s="26">
        <f>IFERROR(__xludf.DUMMYFUNCTION("""COMPUTED_VALUE"""),0.7)</f>
        <v>0.7</v>
      </c>
      <c r="S33" s="26">
        <f>IFERROR(__xludf.DUMMYFUNCTION("""COMPUTED_VALUE"""),0.4)</f>
        <v>0.4</v>
      </c>
      <c r="T33" s="26">
        <f>IFERROR(__xludf.DUMMYFUNCTION("""COMPUTED_VALUE"""),45.09803921568628)</f>
        <v>45.09803922</v>
      </c>
      <c r="U33" s="26">
        <f>IFERROR(__xludf.DUMMYFUNCTION("""COMPUTED_VALUE"""),85.71428571428572)</f>
        <v>85.71428571</v>
      </c>
      <c r="V33" s="26">
        <f>IFERROR(__xludf.DUMMYFUNCTION("""COMPUTED_VALUE"""),1.2)</f>
        <v>1.2</v>
      </c>
      <c r="W33" s="23">
        <f>IFERROR(__xludf.DUMMYFUNCTION("""COMPUTED_VALUE"""),-1.3189142282090194)</f>
        <v>-1.318914228</v>
      </c>
      <c r="X33" s="23">
        <f>IFERROR(__xludf.DUMMYFUNCTION("""COMPUTED_VALUE"""),0.5865511152130937)</f>
        <v>0.5865511152</v>
      </c>
      <c r="Y33" s="23">
        <f>IFERROR(__xludf.DUMMYFUNCTION("""COMPUTED_VALUE"""),-1.0917707255783682)</f>
        <v>-1.091770726</v>
      </c>
      <c r="Z33" s="23">
        <f>IFERROR(__xludf.DUMMYFUNCTION("""COMPUTED_VALUE"""),-0.5718422575306121)</f>
        <v>-0.5718422575</v>
      </c>
      <c r="AA33" s="23">
        <f>IFERROR(__xludf.DUMMYFUNCTION("""COMPUTED_VALUE"""),-1.2428613161002313)</f>
        <v>-1.242861316</v>
      </c>
      <c r="AB33" s="23">
        <f>IFERROR(__xludf.DUMMYFUNCTION("""COMPUTED_VALUE"""),0.0)</f>
        <v>0</v>
      </c>
      <c r="AC33" s="23">
        <f>IFERROR(__xludf.DUMMYFUNCTION("""COMPUTED_VALUE"""),0.0)</f>
        <v>0</v>
      </c>
      <c r="AD33" s="23">
        <f>IFERROR(__xludf.DUMMYFUNCTION("""COMPUTED_VALUE"""),0.07661451277583878)</f>
        <v>0.07661451278</v>
      </c>
      <c r="AE33" s="23">
        <f>IFERROR(__xludf.DUMMYFUNCTION("""COMPUTED_VALUE"""),0.0)</f>
        <v>0</v>
      </c>
    </row>
    <row r="34">
      <c r="A34" s="12" t="str">
        <f>IF(VLOOKUP(H34,'Paste #BBall'!$C$2:$Q$201,3,)="BRO","BKN",IF(VLOOKUP(H34,'Paste #BBall'!$C$2:$Q$201,3,)="OKL","OKC",VLOOKUP(H34,'Paste #BBall'!$C$2:$Q$201,3,)))</f>
        <v>CLE</v>
      </c>
      <c r="B34" s="12">
        <f>VLOOKUP(A34,'Paste #BBall'!$A$204:$D$233,4,)</f>
        <v>2</v>
      </c>
      <c r="C34" s="12">
        <f>VLOOKUP(A34,'Paste #BBall'!$A$204:$C$233,3,)</f>
        <v>4</v>
      </c>
      <c r="D34" s="12">
        <f>VLOOKUP(A34,'Paste #BBall'!$A$204:$B$233,2,)</f>
        <v>3</v>
      </c>
      <c r="E34" s="12">
        <f t="shared" si="1"/>
        <v>9</v>
      </c>
      <c r="F34" s="12">
        <v>29.0</v>
      </c>
      <c r="G34" s="25">
        <f>IFERROR(__xludf.DUMMYFUNCTION("""COMPUTED_VALUE"""),169.0)</f>
        <v>169</v>
      </c>
      <c r="H34" s="25" t="str">
        <f>IFERROR(__xludf.DUMMYFUNCTION("""COMPUTED_VALUE"""),"Kevin Love")</f>
        <v>Kevin Love</v>
      </c>
      <c r="I34" s="25">
        <f>IFERROR(__xludf.DUMMYFUNCTION("""COMPUTED_VALUE"""),68.0)</f>
        <v>68</v>
      </c>
      <c r="J34" s="23" t="str">
        <f>IFERROR(__xludf.DUMMYFUNCTION("""COMPUTED_VALUE"""),"PF")</f>
        <v>PF</v>
      </c>
      <c r="K34" s="23">
        <f>IFERROR(__xludf.DUMMYFUNCTION("""COMPUTED_VALUE"""),-4.014423520583521)</f>
        <v>-4.014423521</v>
      </c>
      <c r="L34" s="23">
        <f>IFERROR(__xludf.DUMMYFUNCTION("""COMPUTED_VALUE"""),-3.636413035247853)</f>
        <v>-3.636413035</v>
      </c>
      <c r="M34" s="26">
        <f>IFERROR(__xludf.DUMMYFUNCTION("""COMPUTED_VALUE"""),0.37801048533566783)</f>
        <v>0.3780104853</v>
      </c>
      <c r="N34" s="26">
        <f>IFERROR(__xludf.DUMMYFUNCTION("""COMPUTED_VALUE"""),12.2)</f>
        <v>12.2</v>
      </c>
      <c r="O34" s="26">
        <f>IFERROR(__xludf.DUMMYFUNCTION("""COMPUTED_VALUE"""),2.3)</f>
        <v>2.3</v>
      </c>
      <c r="P34" s="26">
        <f>IFERROR(__xludf.DUMMYFUNCTION("""COMPUTED_VALUE"""),6.6)</f>
        <v>6.6</v>
      </c>
      <c r="Q34" s="27">
        <f>IFERROR(__xludf.DUMMYFUNCTION("""COMPUTED_VALUE"""),2.0)</f>
        <v>2</v>
      </c>
      <c r="R34" s="26">
        <f>IFERROR(__xludf.DUMMYFUNCTION("""COMPUTED_VALUE"""),0.4)</f>
        <v>0.4</v>
      </c>
      <c r="S34" s="26">
        <f>IFERROR(__xludf.DUMMYFUNCTION("""COMPUTED_VALUE"""),0.2)</f>
        <v>0.2</v>
      </c>
      <c r="T34" s="26">
        <f>IFERROR(__xludf.DUMMYFUNCTION("""COMPUTED_VALUE"""),43.01075268817204)</f>
        <v>43.01075269</v>
      </c>
      <c r="U34" s="26">
        <f>IFERROR(__xludf.DUMMYFUNCTION("""COMPUTED_VALUE"""),83.33333333333334)</f>
        <v>83.33333333</v>
      </c>
      <c r="V34" s="26">
        <f>IFERROR(__xludf.DUMMYFUNCTION("""COMPUTED_VALUE"""),1.2)</f>
        <v>1.2</v>
      </c>
      <c r="W34" s="23">
        <f>IFERROR(__xludf.DUMMYFUNCTION("""COMPUTED_VALUE"""),-1.2656572580184657)</f>
        <v>-1.265657258</v>
      </c>
      <c r="X34" s="23">
        <f>IFERROR(__xludf.DUMMYFUNCTION("""COMPUTED_VALUE"""),0.6865466714679571)</f>
        <v>0.6865466715</v>
      </c>
      <c r="Y34" s="23">
        <f>IFERROR(__xludf.DUMMYFUNCTION("""COMPUTED_VALUE"""),0.21451856414751977)</f>
        <v>0.2145185641</v>
      </c>
      <c r="Z34" s="23">
        <f>IFERROR(__xludf.DUMMYFUNCTION("""COMPUTED_VALUE"""),-0.9713275050888364)</f>
        <v>-0.9713275051</v>
      </c>
      <c r="AA34" s="23">
        <f>IFERROR(__xludf.DUMMYFUNCTION("""COMPUTED_VALUE"""),-2.4692608929143676)</f>
        <v>-2.469260893</v>
      </c>
      <c r="AB34" s="23">
        <f>IFERROR(__xludf.DUMMYFUNCTION("""COMPUTED_VALUE"""),0.0)</f>
        <v>0</v>
      </c>
      <c r="AC34" s="23">
        <f>IFERROR(__xludf.DUMMYFUNCTION("""COMPUTED_VALUE"""),0.0)</f>
        <v>0</v>
      </c>
      <c r="AD34" s="23">
        <f>IFERROR(__xludf.DUMMYFUNCTION("""COMPUTED_VALUE"""),0.16876738515833928)</f>
        <v>0.1687673852</v>
      </c>
      <c r="AE34" s="23">
        <f>IFERROR(__xludf.DUMMYFUNCTION("""COMPUTED_VALUE"""),0.0)</f>
        <v>0</v>
      </c>
    </row>
    <row r="35">
      <c r="A35" s="12" t="str">
        <f>IF(VLOOKUP(H35,'Paste #BBall'!$C$2:$Q$201,3,)="BRO","BKN",IF(VLOOKUP(H35,'Paste #BBall'!$C$2:$Q$201,3,)="OKL","OKC",VLOOKUP(H35,'Paste #BBall'!$C$2:$Q$201,3,)))</f>
        <v>BKN</v>
      </c>
      <c r="B35" s="12">
        <f>VLOOKUP(A35,'Paste #BBall'!$A$204:$D$233,4,)</f>
        <v>4</v>
      </c>
      <c r="C35" s="12">
        <f>VLOOKUP(A35,'Paste #BBall'!$A$204:$C$233,3,)</f>
        <v>4</v>
      </c>
      <c r="D35" s="12">
        <f>VLOOKUP(A35,'Paste #BBall'!$A$204:$B$233,2,)</f>
        <v>3</v>
      </c>
      <c r="E35" s="12">
        <f t="shared" si="1"/>
        <v>11</v>
      </c>
      <c r="F35" s="12">
        <v>30.0</v>
      </c>
      <c r="G35" s="25">
        <f>IFERROR(__xludf.DUMMYFUNCTION("""COMPUTED_VALUE"""),162.0)</f>
        <v>162</v>
      </c>
      <c r="H35" s="25" t="str">
        <f>IFERROR(__xludf.DUMMYFUNCTION("""COMPUTED_VALUE"""),"Seth Curry")</f>
        <v>Seth Curry</v>
      </c>
      <c r="I35" s="25">
        <f>IFERROR(__xludf.DUMMYFUNCTION("""COMPUTED_VALUE"""),38.0)</f>
        <v>38</v>
      </c>
      <c r="J35" s="23" t="str">
        <f>IFERROR(__xludf.DUMMYFUNCTION("""COMPUTED_VALUE"""),"PG/SF")</f>
        <v>PG/SF</v>
      </c>
      <c r="K35" s="23">
        <f>IFERROR(__xludf.DUMMYFUNCTION("""COMPUTED_VALUE"""),-3.814033554214889)</f>
        <v>-3.814033554</v>
      </c>
      <c r="L35" s="23">
        <f>IFERROR(__xludf.DUMMYFUNCTION("""COMPUTED_VALUE"""),-3.642248543110426)</f>
        <v>-3.642248543</v>
      </c>
      <c r="M35" s="26">
        <f>IFERROR(__xludf.DUMMYFUNCTION("""COMPUTED_VALUE"""),0.17178501110446298)</f>
        <v>0.1717850111</v>
      </c>
      <c r="N35" s="26">
        <f>IFERROR(__xludf.DUMMYFUNCTION("""COMPUTED_VALUE"""),12.5)</f>
        <v>12.5</v>
      </c>
      <c r="O35" s="26">
        <f>IFERROR(__xludf.DUMMYFUNCTION("""COMPUTED_VALUE"""),2.1)</f>
        <v>2.1</v>
      </c>
      <c r="P35" s="26">
        <f>IFERROR(__xludf.DUMMYFUNCTION("""COMPUTED_VALUE"""),2.6)</f>
        <v>2.6</v>
      </c>
      <c r="Q35" s="27">
        <f>IFERROR(__xludf.DUMMYFUNCTION("""COMPUTED_VALUE"""),3.0)</f>
        <v>3</v>
      </c>
      <c r="R35" s="26">
        <f>IFERROR(__xludf.DUMMYFUNCTION("""COMPUTED_VALUE"""),0.7)</f>
        <v>0.7</v>
      </c>
      <c r="S35" s="26">
        <f>IFERROR(__xludf.DUMMYFUNCTION("""COMPUTED_VALUE"""),0.2)</f>
        <v>0.2</v>
      </c>
      <c r="T35" s="26">
        <f>IFERROR(__xludf.DUMMYFUNCTION("""COMPUTED_VALUE"""),48.958333333333336)</f>
        <v>48.95833333</v>
      </c>
      <c r="U35" s="26">
        <f>IFERROR(__xludf.DUMMYFUNCTION("""COMPUTED_VALUE"""),84.61538461538461)</f>
        <v>84.61538462</v>
      </c>
      <c r="V35" s="26">
        <f>IFERROR(__xludf.DUMMYFUNCTION("""COMPUTED_VALUE"""),1.4)</f>
        <v>1.4</v>
      </c>
      <c r="W35" s="23">
        <f>IFERROR(__xludf.DUMMYFUNCTION("""COMPUTED_VALUE"""),-1.1857718027326345)</f>
        <v>-1.185771803</v>
      </c>
      <c r="X35" s="23">
        <f>IFERROR(__xludf.DUMMYFUNCTION("""COMPUTED_VALUE"""),0.4865555589582297)</f>
        <v>0.486555559</v>
      </c>
      <c r="Y35" s="23">
        <f>IFERROR(__xludf.DUMMYFUNCTION("""COMPUTED_VALUE"""),-1.41834304800984)</f>
        <v>-1.418343048</v>
      </c>
      <c r="Z35" s="23">
        <f>IFERROR(__xludf.DUMMYFUNCTION("""COMPUTED_VALUE"""),-0.4006342942913733)</f>
        <v>-0.4006342943</v>
      </c>
      <c r="AA35" s="23">
        <f>IFERROR(__xludf.DUMMYFUNCTION("""COMPUTED_VALUE"""),-1.2428613161002313)</f>
        <v>-1.242861316</v>
      </c>
      <c r="AB35" s="23">
        <f>IFERROR(__xludf.DUMMYFUNCTION("""COMPUTED_VALUE"""),0.0)</f>
        <v>0</v>
      </c>
      <c r="AC35" s="23">
        <f>IFERROR(__xludf.DUMMYFUNCTION("""COMPUTED_VALUE"""),0.0)</f>
        <v>0</v>
      </c>
      <c r="AD35" s="23">
        <f>IFERROR(__xludf.DUMMYFUNCTION("""COMPUTED_VALUE"""),0.1188063590654235)</f>
        <v>0.1188063591</v>
      </c>
      <c r="AE35" s="23">
        <f>IFERROR(__xludf.DUMMYFUNCTION("""COMPUTED_VALUE"""),0.0)</f>
        <v>0</v>
      </c>
    </row>
    <row r="36">
      <c r="A36" s="12" t="str">
        <f>IF(VLOOKUP(H36,'Paste #BBall'!$C$2:$Q$201,3,)="BRO","BKN",IF(VLOOKUP(H36,'Paste #BBall'!$C$2:$Q$201,3,)="OKL","OKC",VLOOKUP(H36,'Paste #BBall'!$C$2:$Q$201,3,)))</f>
        <v>HOU</v>
      </c>
      <c r="B36" s="12">
        <f>VLOOKUP(A36,'Paste #BBall'!$A$204:$D$233,4,)</f>
        <v>4</v>
      </c>
      <c r="C36" s="12">
        <f>VLOOKUP(A36,'Paste #BBall'!$A$204:$C$233,3,)</f>
        <v>3</v>
      </c>
      <c r="D36" s="12">
        <f>VLOOKUP(A36,'Paste #BBall'!$A$204:$B$233,2,)</f>
        <v>4</v>
      </c>
      <c r="E36" s="12">
        <f t="shared" si="1"/>
        <v>11</v>
      </c>
      <c r="F36" s="12">
        <v>31.0</v>
      </c>
      <c r="G36" s="25">
        <f>IFERROR(__xludf.DUMMYFUNCTION("""COMPUTED_VALUE"""),161.0)</f>
        <v>161</v>
      </c>
      <c r="H36" s="25" t="str">
        <f>IFERROR(__xludf.DUMMYFUNCTION("""COMPUTED_VALUE"""),"Jae'Sean Tate")</f>
        <v>Jae'Sean Tate</v>
      </c>
      <c r="I36" s="25">
        <f>IFERROR(__xludf.DUMMYFUNCTION("""COMPUTED_VALUE"""),68.0)</f>
        <v>68</v>
      </c>
      <c r="J36" s="23" t="str">
        <f>IFERROR(__xludf.DUMMYFUNCTION("""COMPUTED_VALUE"""),"SF/PF")</f>
        <v>SF/PF</v>
      </c>
      <c r="K36" s="23">
        <f>IFERROR(__xludf.DUMMYFUNCTION("""COMPUTED_VALUE"""),-3.8046932208711444)</f>
        <v>-3.804693221</v>
      </c>
      <c r="L36" s="23">
        <f>IFERROR(__xludf.DUMMYFUNCTION("""COMPUTED_VALUE"""),-3.6773425671269178)</f>
        <v>-3.677342567</v>
      </c>
      <c r="M36" s="26">
        <f>IFERROR(__xludf.DUMMYFUNCTION("""COMPUTED_VALUE"""),0.1273506537442266)</f>
        <v>0.1273506537</v>
      </c>
      <c r="N36" s="26">
        <f>IFERROR(__xludf.DUMMYFUNCTION("""COMPUTED_VALUE"""),12.1)</f>
        <v>12.1</v>
      </c>
      <c r="O36" s="26">
        <f>IFERROR(__xludf.DUMMYFUNCTION("""COMPUTED_VALUE"""),0.8)</f>
        <v>0.8</v>
      </c>
      <c r="P36" s="26">
        <f>IFERROR(__xludf.DUMMYFUNCTION("""COMPUTED_VALUE"""),5.5)</f>
        <v>5.5</v>
      </c>
      <c r="Q36" s="27">
        <f>IFERROR(__xludf.DUMMYFUNCTION("""COMPUTED_VALUE"""),2.9)</f>
        <v>2.9</v>
      </c>
      <c r="R36" s="26">
        <f>IFERROR(__xludf.DUMMYFUNCTION("""COMPUTED_VALUE"""),0.9)</f>
        <v>0.9</v>
      </c>
      <c r="S36" s="26">
        <f>IFERROR(__xludf.DUMMYFUNCTION("""COMPUTED_VALUE"""),0.5)</f>
        <v>0.5</v>
      </c>
      <c r="T36" s="26">
        <f>IFERROR(__xludf.DUMMYFUNCTION("""COMPUTED_VALUE"""),50.0)</f>
        <v>50</v>
      </c>
      <c r="U36" s="26">
        <f>IFERROR(__xludf.DUMMYFUNCTION("""COMPUTED_VALUE"""),68.0)</f>
        <v>68</v>
      </c>
      <c r="V36" s="26">
        <f>IFERROR(__xludf.DUMMYFUNCTION("""COMPUTED_VALUE"""),1.8)</f>
        <v>1.8</v>
      </c>
      <c r="W36" s="23">
        <f>IFERROR(__xludf.DUMMYFUNCTION("""COMPUTED_VALUE"""),-1.2922857431137424)</f>
        <v>-1.292285743</v>
      </c>
      <c r="X36" s="23">
        <f>IFERROR(__xludf.DUMMYFUNCTION("""COMPUTED_VALUE"""),-0.8133866723549998)</f>
        <v>-0.8133866724</v>
      </c>
      <c r="Y36" s="23">
        <f>IFERROR(__xludf.DUMMYFUNCTION("""COMPUTED_VALUE"""),-0.2345183791957541)</f>
        <v>-0.2345183792</v>
      </c>
      <c r="Z36" s="23">
        <f>IFERROR(__xludf.DUMMYFUNCTION("""COMPUTED_VALUE"""),-0.4577036153711197)</f>
        <v>-0.4577036154</v>
      </c>
      <c r="AA36" s="23">
        <f>IFERROR(__xludf.DUMMYFUNCTION("""COMPUTED_VALUE"""),-0.42526159822414)</f>
        <v>-0.4252615982</v>
      </c>
      <c r="AB36" s="23">
        <f>IFERROR(__xludf.DUMMYFUNCTION("""COMPUTED_VALUE"""),0.0)</f>
        <v>0</v>
      </c>
      <c r="AC36" s="23">
        <f>IFERROR(__xludf.DUMMYFUNCTION("""COMPUTED_VALUE"""),0.0)</f>
        <v>0</v>
      </c>
      <c r="AD36" s="23">
        <f>IFERROR(__xludf.DUMMYFUNCTION("""COMPUTED_VALUE"""),-0.4541865588671619)</f>
        <v>-0.4541865589</v>
      </c>
      <c r="AE36" s="23">
        <f>IFERROR(__xludf.DUMMYFUNCTION("""COMPUTED_VALUE"""),0.0)</f>
        <v>0</v>
      </c>
    </row>
    <row r="37">
      <c r="A37" s="12" t="str">
        <f>IF(VLOOKUP(H37,'Paste #BBall'!$C$2:$Q$201,3,)="BRO","BKN",IF(VLOOKUP(H37,'Paste #BBall'!$C$2:$Q$201,3,)="OKL","OKC",VLOOKUP(H37,'Paste #BBall'!$C$2:$Q$201,3,)))</f>
        <v>DEN</v>
      </c>
      <c r="B37" s="12">
        <f>VLOOKUP(A37,'Paste #BBall'!$A$204:$D$233,4,)</f>
        <v>2</v>
      </c>
      <c r="C37" s="12">
        <f>VLOOKUP(A37,'Paste #BBall'!$A$204:$C$233,3,)</f>
        <v>4</v>
      </c>
      <c r="D37" s="12">
        <f>VLOOKUP(A37,'Paste #BBall'!$A$204:$B$233,2,)</f>
        <v>4</v>
      </c>
      <c r="E37" s="12">
        <f t="shared" si="1"/>
        <v>10</v>
      </c>
      <c r="F37" s="12">
        <v>32.0</v>
      </c>
      <c r="G37" s="25">
        <f>IFERROR(__xludf.DUMMYFUNCTION("""COMPUTED_VALUE"""),140.0)</f>
        <v>140</v>
      </c>
      <c r="H37" s="25" t="str">
        <f>IFERROR(__xludf.DUMMYFUNCTION("""COMPUTED_VALUE"""),"Aaron Gordon")</f>
        <v>Aaron Gordon</v>
      </c>
      <c r="I37" s="25">
        <f>IFERROR(__xludf.DUMMYFUNCTION("""COMPUTED_VALUE"""),72.0)</f>
        <v>72</v>
      </c>
      <c r="J37" s="23" t="str">
        <f>IFERROR(__xludf.DUMMYFUNCTION("""COMPUTED_VALUE"""),"PF")</f>
        <v>PF</v>
      </c>
      <c r="K37" s="23">
        <f>IFERROR(__xludf.DUMMYFUNCTION("""COMPUTED_VALUE"""),-3.1824749973452904)</f>
        <v>-3.182474997</v>
      </c>
      <c r="L37" s="23">
        <f>IFERROR(__xludf.DUMMYFUNCTION("""COMPUTED_VALUE"""),-3.7029017895430814)</f>
        <v>-3.70290179</v>
      </c>
      <c r="M37" s="26">
        <f>IFERROR(__xludf.DUMMYFUNCTION("""COMPUTED_VALUE"""),-0.520426792197791)</f>
        <v>-0.5204267922</v>
      </c>
      <c r="N37" s="26">
        <f>IFERROR(__xludf.DUMMYFUNCTION("""COMPUTED_VALUE"""),14.6)</f>
        <v>14.6</v>
      </c>
      <c r="O37" s="26">
        <f>IFERROR(__xludf.DUMMYFUNCTION("""COMPUTED_VALUE"""),1.2)</f>
        <v>1.2</v>
      </c>
      <c r="P37" s="26">
        <f>IFERROR(__xludf.DUMMYFUNCTION("""COMPUTED_VALUE"""),5.8)</f>
        <v>5.8</v>
      </c>
      <c r="Q37" s="27">
        <f>IFERROR(__xludf.DUMMYFUNCTION("""COMPUTED_VALUE"""),2.5)</f>
        <v>2.5</v>
      </c>
      <c r="R37" s="26">
        <f>IFERROR(__xludf.DUMMYFUNCTION("""COMPUTED_VALUE"""),0.6)</f>
        <v>0.6</v>
      </c>
      <c r="S37" s="26">
        <f>IFERROR(__xludf.DUMMYFUNCTION("""COMPUTED_VALUE"""),0.6)</f>
        <v>0.6</v>
      </c>
      <c r="T37" s="26">
        <f>IFERROR(__xludf.DUMMYFUNCTION("""COMPUTED_VALUE"""),50.92592592592592)</f>
        <v>50.92592593</v>
      </c>
      <c r="U37" s="26">
        <f>IFERROR(__xludf.DUMMYFUNCTION("""COMPUTED_VALUE"""),74.99999999999999)</f>
        <v>75</v>
      </c>
      <c r="V37" s="26">
        <f>IFERROR(__xludf.DUMMYFUNCTION("""COMPUTED_VALUE"""),1.8)</f>
        <v>1.8</v>
      </c>
      <c r="W37" s="23">
        <f>IFERROR(__xludf.DUMMYFUNCTION("""COMPUTED_VALUE"""),-0.6265736157318181)</f>
        <v>-0.6265736157</v>
      </c>
      <c r="X37" s="23">
        <f>IFERROR(__xludf.DUMMYFUNCTION("""COMPUTED_VALUE"""),-0.41340444733554466)</f>
        <v>-0.4134044473</v>
      </c>
      <c r="Y37" s="23">
        <f>IFERROR(__xludf.DUMMYFUNCTION("""COMPUTED_VALUE"""),-0.11205375828395218)</f>
        <v>-0.1120537583</v>
      </c>
      <c r="Z37" s="23">
        <f>IFERROR(__xludf.DUMMYFUNCTION("""COMPUTED_VALUE"""),-0.6859808996901049)</f>
        <v>-0.6859808997</v>
      </c>
      <c r="AA37" s="23">
        <f>IFERROR(__xludf.DUMMYFUNCTION("""COMPUTED_VALUE"""),-1.6516611750382768)</f>
        <v>-1.651661175</v>
      </c>
      <c r="AB37" s="23">
        <f>IFERROR(__xludf.DUMMYFUNCTION("""COMPUTED_VALUE"""),0.0)</f>
        <v>0</v>
      </c>
      <c r="AC37" s="23">
        <f>IFERROR(__xludf.DUMMYFUNCTION("""COMPUTED_VALUE"""),0.0)</f>
        <v>0</v>
      </c>
      <c r="AD37" s="23">
        <f>IFERROR(__xludf.DUMMYFUNCTION("""COMPUTED_VALUE"""),-0.21322789346338486)</f>
        <v>-0.2132278935</v>
      </c>
      <c r="AE37" s="23">
        <f>IFERROR(__xludf.DUMMYFUNCTION("""COMPUTED_VALUE"""),0.0)</f>
        <v>0</v>
      </c>
    </row>
    <row r="38">
      <c r="A38" s="12" t="str">
        <f>IF(VLOOKUP(H38,'Paste #BBall'!$C$2:$Q$201,3,)="BRO","BKN",IF(VLOOKUP(H38,'Paste #BBall'!$C$2:$Q$201,3,)="OKL","OKC",VLOOKUP(H38,'Paste #BBall'!$C$2:$Q$201,3,)))</f>
        <v>OKC</v>
      </c>
      <c r="B38" s="12">
        <f>VLOOKUP(A38,'Paste #BBall'!$A$204:$D$233,4,)</f>
        <v>4</v>
      </c>
      <c r="C38" s="12">
        <f>VLOOKUP(A38,'Paste #BBall'!$A$204:$C$233,3,)</f>
        <v>4</v>
      </c>
      <c r="D38" s="12">
        <f>VLOOKUP(A38,'Paste #BBall'!$A$204:$B$233,2,)</f>
        <v>3</v>
      </c>
      <c r="E38" s="12">
        <f t="shared" si="1"/>
        <v>11</v>
      </c>
      <c r="F38" s="12">
        <v>33.0</v>
      </c>
      <c r="G38" s="25">
        <f>IFERROR(__xludf.DUMMYFUNCTION("""COMPUTED_VALUE"""),145.0)</f>
        <v>145</v>
      </c>
      <c r="H38" s="25" t="str">
        <f>IFERROR(__xludf.DUMMYFUNCTION("""COMPUTED_VALUE"""),"Aleksej Pokusevski")</f>
        <v>Aleksej Pokusevski</v>
      </c>
      <c r="I38" s="25">
        <f>IFERROR(__xludf.DUMMYFUNCTION("""COMPUTED_VALUE"""),69.0)</f>
        <v>69</v>
      </c>
      <c r="J38" s="23" t="str">
        <f>IFERROR(__xludf.DUMMYFUNCTION("""COMPUTED_VALUE"""),"PF")</f>
        <v>PF</v>
      </c>
      <c r="K38" s="23">
        <f>IFERROR(__xludf.DUMMYFUNCTION("""COMPUTED_VALUE"""),-3.360186058058762)</f>
        <v>-3.360186058</v>
      </c>
      <c r="L38" s="23">
        <f>IFERROR(__xludf.DUMMYFUNCTION("""COMPUTED_VALUE"""),-3.7185070413130945)</f>
        <v>-3.718507041</v>
      </c>
      <c r="M38" s="26">
        <f>IFERROR(__xludf.DUMMYFUNCTION("""COMPUTED_VALUE"""),-0.3583209832543326)</f>
        <v>-0.3583209833</v>
      </c>
      <c r="N38" s="26">
        <f>IFERROR(__xludf.DUMMYFUNCTION("""COMPUTED_VALUE"""),9.7)</f>
        <v>9.7</v>
      </c>
      <c r="O38" s="26">
        <f>IFERROR(__xludf.DUMMYFUNCTION("""COMPUTED_VALUE"""),1.1)</f>
        <v>1.1</v>
      </c>
      <c r="P38" s="26">
        <f>IFERROR(__xludf.DUMMYFUNCTION("""COMPUTED_VALUE"""),6.5)</f>
        <v>6.5</v>
      </c>
      <c r="Q38" s="27">
        <f>IFERROR(__xludf.DUMMYFUNCTION("""COMPUTED_VALUE"""),2.6)</f>
        <v>2.6</v>
      </c>
      <c r="R38" s="26">
        <f>IFERROR(__xludf.DUMMYFUNCTION("""COMPUTED_VALUE"""),0.8)</f>
        <v>0.8</v>
      </c>
      <c r="S38" s="26">
        <f>IFERROR(__xludf.DUMMYFUNCTION("""COMPUTED_VALUE"""),0.8)</f>
        <v>0.8</v>
      </c>
      <c r="T38" s="26">
        <f>IFERROR(__xludf.DUMMYFUNCTION("""COMPUTED_VALUE"""),41.48936170212766)</f>
        <v>41.4893617</v>
      </c>
      <c r="U38" s="26">
        <f>IFERROR(__xludf.DUMMYFUNCTION("""COMPUTED_VALUE"""),80.0)</f>
        <v>80</v>
      </c>
      <c r="V38" s="26">
        <f>IFERROR(__xludf.DUMMYFUNCTION("""COMPUTED_VALUE"""),1.9)</f>
        <v>1.9</v>
      </c>
      <c r="W38" s="23">
        <f>IFERROR(__xludf.DUMMYFUNCTION("""COMPUTED_VALUE"""),-1.93136938540039)</f>
        <v>-1.931369385</v>
      </c>
      <c r="X38" s="23">
        <f>IFERROR(__xludf.DUMMYFUNCTION("""COMPUTED_VALUE"""),-0.5134000035904084)</f>
        <v>-0.5134000036</v>
      </c>
      <c r="Y38" s="23">
        <f>IFERROR(__xludf.DUMMYFUNCTION("""COMPUTED_VALUE"""),0.1736970238435859)</f>
        <v>0.1736970238</v>
      </c>
      <c r="Z38" s="23">
        <f>IFERROR(__xludf.DUMMYFUNCTION("""COMPUTED_VALUE"""),-0.6289115786103584)</f>
        <v>-0.6289115786</v>
      </c>
      <c r="AA38" s="23">
        <f>IFERROR(__xludf.DUMMYFUNCTION("""COMPUTED_VALUE"""),-0.8340614571621854)</f>
        <v>-0.8340614572</v>
      </c>
      <c r="AB38" s="23">
        <f>IFERROR(__xludf.DUMMYFUNCTION("""COMPUTED_VALUE"""),0.0)</f>
        <v>0</v>
      </c>
      <c r="AC38" s="23">
        <f>IFERROR(__xludf.DUMMYFUNCTION("""COMPUTED_VALUE"""),0.0)</f>
        <v>0</v>
      </c>
      <c r="AD38" s="23">
        <f>IFERROR(__xludf.DUMMYFUNCTION("""COMPUTED_VALUE"""),0.015538359606661832)</f>
        <v>0.01553835961</v>
      </c>
      <c r="AE38" s="23">
        <f>IFERROR(__xludf.DUMMYFUNCTION("""COMPUTED_VALUE"""),0.0)</f>
        <v>0</v>
      </c>
    </row>
    <row r="39">
      <c r="A39" s="12" t="str">
        <f>IF(VLOOKUP(H39,'Paste #BBall'!$C$2:$Q$201,3,)="BRO","BKN",IF(VLOOKUP(H39,'Paste #BBall'!$C$2:$Q$201,3,)="OKL","OKC",VLOOKUP(H39,'Paste #BBall'!$C$2:$Q$201,3,)))</f>
        <v>BOS</v>
      </c>
      <c r="B39" s="12">
        <f>VLOOKUP(A39,'Paste #BBall'!$A$204:$D$233,4,)</f>
        <v>3</v>
      </c>
      <c r="C39" s="12">
        <f>VLOOKUP(A39,'Paste #BBall'!$A$204:$C$233,3,)</f>
        <v>3</v>
      </c>
      <c r="D39" s="12">
        <f>VLOOKUP(A39,'Paste #BBall'!$A$204:$B$233,2,)</f>
        <v>4</v>
      </c>
      <c r="E39" s="12">
        <f t="shared" si="1"/>
        <v>10</v>
      </c>
      <c r="F39" s="12">
        <v>34.0</v>
      </c>
      <c r="G39" s="25">
        <f>IFERROR(__xludf.DUMMYFUNCTION("""COMPUTED_VALUE"""),149.0)</f>
        <v>149</v>
      </c>
      <c r="H39" s="25" t="str">
        <f>IFERROR(__xludf.DUMMYFUNCTION("""COMPUTED_VALUE"""),"Derrick White")</f>
        <v>Derrick White</v>
      </c>
      <c r="I39" s="25">
        <f>IFERROR(__xludf.DUMMYFUNCTION("""COMPUTED_VALUE"""),78.0)</f>
        <v>78</v>
      </c>
      <c r="J39" s="23" t="str">
        <f>IFERROR(__xludf.DUMMYFUNCTION("""COMPUTED_VALUE"""),"PG/SG")</f>
        <v>PG/SG</v>
      </c>
      <c r="K39" s="23">
        <f>IFERROR(__xludf.DUMMYFUNCTION("""COMPUTED_VALUE"""),-3.5249035126876263)</f>
        <v>-3.524903513</v>
      </c>
      <c r="L39" s="23">
        <f>IFERROR(__xludf.DUMMYFUNCTION("""COMPUTED_VALUE"""),-3.7445248097581976)</f>
        <v>-3.74452481</v>
      </c>
      <c r="M39" s="26">
        <f>IFERROR(__xludf.DUMMYFUNCTION("""COMPUTED_VALUE"""),-0.21962129707057132)</f>
        <v>-0.2196212971</v>
      </c>
      <c r="N39" s="26">
        <f>IFERROR(__xludf.DUMMYFUNCTION("""COMPUTED_VALUE"""),11.6)</f>
        <v>11.6</v>
      </c>
      <c r="O39" s="26">
        <f>IFERROR(__xludf.DUMMYFUNCTION("""COMPUTED_VALUE"""),1.3)</f>
        <v>1.3</v>
      </c>
      <c r="P39" s="26">
        <f>IFERROR(__xludf.DUMMYFUNCTION("""COMPUTED_VALUE"""),3.1)</f>
        <v>3.1</v>
      </c>
      <c r="Q39" s="27">
        <f>IFERROR(__xludf.DUMMYFUNCTION("""COMPUTED_VALUE"""),3.3)</f>
        <v>3.3</v>
      </c>
      <c r="R39" s="26">
        <f>IFERROR(__xludf.DUMMYFUNCTION("""COMPUTED_VALUE"""),0.8)</f>
        <v>0.8</v>
      </c>
      <c r="S39" s="26">
        <f>IFERROR(__xludf.DUMMYFUNCTION("""COMPUTED_VALUE"""),0.7)</f>
        <v>0.7</v>
      </c>
      <c r="T39" s="26">
        <f>IFERROR(__xludf.DUMMYFUNCTION("""COMPUTED_VALUE"""),42.10526315789473)</f>
        <v>42.10526316</v>
      </c>
      <c r="U39" s="26">
        <f>IFERROR(__xludf.DUMMYFUNCTION("""COMPUTED_VALUE"""),85.18518518518518)</f>
        <v>85.18518519</v>
      </c>
      <c r="V39" s="26">
        <f>IFERROR(__xludf.DUMMYFUNCTION("""COMPUTED_VALUE"""),1.4)</f>
        <v>1.4</v>
      </c>
      <c r="W39" s="23">
        <f>IFERROR(__xludf.DUMMYFUNCTION("""COMPUTED_VALUE"""),-1.4254281685901276)</f>
        <v>-1.425428169</v>
      </c>
      <c r="X39" s="23">
        <f>IFERROR(__xludf.DUMMYFUNCTION("""COMPUTED_VALUE"""),-0.31340889108068076)</f>
        <v>-0.3134088911</v>
      </c>
      <c r="Y39" s="23">
        <f>IFERROR(__xludf.DUMMYFUNCTION("""COMPUTED_VALUE"""),-1.21423534649017)</f>
        <v>-1.214235346</v>
      </c>
      <c r="Z39" s="23">
        <f>IFERROR(__xludf.DUMMYFUNCTION("""COMPUTED_VALUE"""),-0.22942633105213456)</f>
        <v>-0.2294263311</v>
      </c>
      <c r="AA39" s="23">
        <f>IFERROR(__xludf.DUMMYFUNCTION("""COMPUTED_VALUE"""),-0.8340614571621854)</f>
        <v>-0.8340614572</v>
      </c>
      <c r="AB39" s="23">
        <f>IFERROR(__xludf.DUMMYFUNCTION("""COMPUTED_VALUE"""),0.0)</f>
        <v>0</v>
      </c>
      <c r="AC39" s="23">
        <f>IFERROR(__xludf.DUMMYFUNCTION("""COMPUTED_VALUE"""),0.0)</f>
        <v>0</v>
      </c>
      <c r="AD39" s="23">
        <f>IFERROR(__xludf.DUMMYFUNCTION("""COMPUTED_VALUE"""),0.2720353846171005)</f>
        <v>0.2720353846</v>
      </c>
      <c r="AE39" s="23">
        <f>IFERROR(__xludf.DUMMYFUNCTION("""COMPUTED_VALUE"""),0.0)</f>
        <v>0</v>
      </c>
    </row>
    <row r="40">
      <c r="A40" s="12" t="str">
        <f>IF(VLOOKUP(H40,'Paste #BBall'!$C$2:$Q$201,3,)="BRO","BKN",IF(VLOOKUP(H40,'Paste #BBall'!$C$2:$Q$201,3,)="OKL","OKC",VLOOKUP(H40,'Paste #BBall'!$C$2:$Q$201,3,)))</f>
        <v>PHX</v>
      </c>
      <c r="B40" s="12">
        <f>VLOOKUP(A40,'Paste #BBall'!$A$204:$D$233,4,)</f>
        <v>3</v>
      </c>
      <c r="C40" s="12">
        <f>VLOOKUP(A40,'Paste #BBall'!$A$204:$C$233,3,)</f>
        <v>2</v>
      </c>
      <c r="D40" s="12">
        <f>VLOOKUP(A40,'Paste #BBall'!$A$204:$B$233,2,)</f>
        <v>4</v>
      </c>
      <c r="E40" s="12">
        <f t="shared" si="1"/>
        <v>9</v>
      </c>
      <c r="F40" s="12">
        <v>35.0</v>
      </c>
      <c r="G40" s="25">
        <f>IFERROR(__xludf.DUMMYFUNCTION("""COMPUTED_VALUE"""),183.0)</f>
        <v>183</v>
      </c>
      <c r="H40" s="25" t="str">
        <f>IFERROR(__xludf.DUMMYFUNCTION("""COMPUTED_VALUE"""),"Cameron Payne")</f>
        <v>Cameron Payne</v>
      </c>
      <c r="I40" s="25">
        <f>IFERROR(__xludf.DUMMYFUNCTION("""COMPUTED_VALUE"""),74.0)</f>
        <v>74</v>
      </c>
      <c r="J40" s="23" t="str">
        <f>IFERROR(__xludf.DUMMYFUNCTION("""COMPUTED_VALUE"""),"PG")</f>
        <v>PG</v>
      </c>
      <c r="K40" s="23">
        <f>IFERROR(__xludf.DUMMYFUNCTION("""COMPUTED_VALUE"""),-4.413455137394668)</f>
        <v>-4.413455137</v>
      </c>
      <c r="L40" s="23">
        <f>IFERROR(__xludf.DUMMYFUNCTION("""COMPUTED_VALUE"""),-3.7822021391605136)</f>
        <v>-3.782202139</v>
      </c>
      <c r="M40" s="26">
        <f>IFERROR(__xludf.DUMMYFUNCTION("""COMPUTED_VALUE"""),0.6312529982341544)</f>
        <v>0.6312529982</v>
      </c>
      <c r="N40" s="26">
        <f>IFERROR(__xludf.DUMMYFUNCTION("""COMPUTED_VALUE"""),10.9)</f>
        <v>10.9</v>
      </c>
      <c r="O40" s="26">
        <f>IFERROR(__xludf.DUMMYFUNCTION("""COMPUTED_VALUE"""),1.2)</f>
        <v>1.2</v>
      </c>
      <c r="P40" s="26">
        <f>IFERROR(__xludf.DUMMYFUNCTION("""COMPUTED_VALUE"""),3.1)</f>
        <v>3.1</v>
      </c>
      <c r="Q40" s="27">
        <f>IFERROR(__xludf.DUMMYFUNCTION("""COMPUTED_VALUE"""),4.6)</f>
        <v>4.6</v>
      </c>
      <c r="R40" s="26">
        <f>IFERROR(__xludf.DUMMYFUNCTION("""COMPUTED_VALUE"""),0.7)</f>
        <v>0.7</v>
      </c>
      <c r="S40" s="26">
        <f>IFERROR(__xludf.DUMMYFUNCTION("""COMPUTED_VALUE"""),0.3)</f>
        <v>0.3</v>
      </c>
      <c r="T40" s="26">
        <f>IFERROR(__xludf.DUMMYFUNCTION("""COMPUTED_VALUE"""),42.857142857142854)</f>
        <v>42.85714286</v>
      </c>
      <c r="U40" s="26">
        <f>IFERROR(__xludf.DUMMYFUNCTION("""COMPUTED_VALUE"""),86.66666666666667)</f>
        <v>86.66666667</v>
      </c>
      <c r="V40" s="26">
        <f>IFERROR(__xludf.DUMMYFUNCTION("""COMPUTED_VALUE"""),1.8)</f>
        <v>1.8</v>
      </c>
      <c r="W40" s="23">
        <f>IFERROR(__xludf.DUMMYFUNCTION("""COMPUTED_VALUE"""),-1.6118275642570663)</f>
        <v>-1.611827564</v>
      </c>
      <c r="X40" s="23">
        <f>IFERROR(__xludf.DUMMYFUNCTION("""COMPUTED_VALUE"""),-0.41340444733554466)</f>
        <v>-0.4134044473</v>
      </c>
      <c r="Y40" s="23">
        <f>IFERROR(__xludf.DUMMYFUNCTION("""COMPUTED_VALUE"""),-1.21423534649017)</f>
        <v>-1.214235346</v>
      </c>
      <c r="Z40" s="23">
        <f>IFERROR(__xludf.DUMMYFUNCTION("""COMPUTED_VALUE"""),0.5124748429845672)</f>
        <v>0.512474843</v>
      </c>
      <c r="AA40" s="23">
        <f>IFERROR(__xludf.DUMMYFUNCTION("""COMPUTED_VALUE"""),-1.2428613161002313)</f>
        <v>-1.242861316</v>
      </c>
      <c r="AB40" s="23">
        <f>IFERROR(__xludf.DUMMYFUNCTION("""COMPUTED_VALUE"""),0.0)</f>
        <v>0</v>
      </c>
      <c r="AC40" s="23">
        <f>IFERROR(__xludf.DUMMYFUNCTION("""COMPUTED_VALUE"""),0.0)</f>
        <v>0</v>
      </c>
      <c r="AD40" s="23">
        <f>IFERROR(__xludf.DUMMYFUNCTION("""COMPUTED_VALUE"""),0.1876516920379314)</f>
        <v>0.187651692</v>
      </c>
      <c r="AE40" s="23">
        <f>IFERROR(__xludf.DUMMYFUNCTION("""COMPUTED_VALUE"""),0.0)</f>
        <v>0</v>
      </c>
    </row>
    <row r="41">
      <c r="A41" s="12" t="str">
        <f>IF(VLOOKUP(H41,'Paste #BBall'!$C$2:$Q$201,3,)="BRO","BKN",IF(VLOOKUP(H41,'Paste #BBall'!$C$2:$Q$201,3,)="OKL","OKC",VLOOKUP(H41,'Paste #BBall'!$C$2:$Q$201,3,)))</f>
        <v>CHI</v>
      </c>
      <c r="B41" s="12">
        <f>VLOOKUP(A41,'Paste #BBall'!$A$204:$D$233,4,)</f>
        <v>4</v>
      </c>
      <c r="C41" s="12">
        <f>VLOOKUP(A41,'Paste #BBall'!$A$204:$C$233,3,)</f>
        <v>2</v>
      </c>
      <c r="D41" s="12">
        <f>VLOOKUP(A41,'Paste #BBall'!$A$204:$B$233,2,)</f>
        <v>3</v>
      </c>
      <c r="E41" s="12">
        <f t="shared" si="1"/>
        <v>9</v>
      </c>
      <c r="F41" s="12">
        <v>36.0</v>
      </c>
      <c r="G41" s="25">
        <f>IFERROR(__xludf.DUMMYFUNCTION("""COMPUTED_VALUE"""),134.0)</f>
        <v>134</v>
      </c>
      <c r="H41" s="25" t="str">
        <f>IFERROR(__xludf.DUMMYFUNCTION("""COMPUTED_VALUE"""),"Patrick Williams")</f>
        <v>Patrick Williams</v>
      </c>
      <c r="I41" s="25">
        <f>IFERROR(__xludf.DUMMYFUNCTION("""COMPUTED_VALUE"""),73.0)</f>
        <v>73</v>
      </c>
      <c r="J41" s="23" t="str">
        <f>IFERROR(__xludf.DUMMYFUNCTION("""COMPUTED_VALUE"""),"SF/PF")</f>
        <v>SF/PF</v>
      </c>
      <c r="K41" s="23">
        <f>IFERROR(__xludf.DUMMYFUNCTION("""COMPUTED_VALUE"""),-3.138080020795908)</f>
        <v>-3.138080021</v>
      </c>
      <c r="L41" s="23">
        <f>IFERROR(__xludf.DUMMYFUNCTION("""COMPUTED_VALUE"""),-3.787164759338576)</f>
        <v>-3.787164759</v>
      </c>
      <c r="M41" s="26">
        <f>IFERROR(__xludf.DUMMYFUNCTION("""COMPUTED_VALUE"""),-0.6490847385426681)</f>
        <v>-0.6490847385</v>
      </c>
      <c r="N41" s="26">
        <f>IFERROR(__xludf.DUMMYFUNCTION("""COMPUTED_VALUE"""),11.0)</f>
        <v>11</v>
      </c>
      <c r="O41" s="26">
        <f>IFERROR(__xludf.DUMMYFUNCTION("""COMPUTED_VALUE"""),1.3)</f>
        <v>1.3</v>
      </c>
      <c r="P41" s="26">
        <f>IFERROR(__xludf.DUMMYFUNCTION("""COMPUTED_VALUE"""),4.9)</f>
        <v>4.9</v>
      </c>
      <c r="Q41" s="27">
        <f>IFERROR(__xludf.DUMMYFUNCTION("""COMPUTED_VALUE"""),1.1)</f>
        <v>1.1</v>
      </c>
      <c r="R41" s="26">
        <f>IFERROR(__xludf.DUMMYFUNCTION("""COMPUTED_VALUE"""),1.1)</f>
        <v>1.1</v>
      </c>
      <c r="S41" s="26">
        <f>IFERROR(__xludf.DUMMYFUNCTION("""COMPUTED_VALUE"""),0.7)</f>
        <v>0.7</v>
      </c>
      <c r="T41" s="26">
        <f>IFERROR(__xludf.DUMMYFUNCTION("""COMPUTED_VALUE"""),51.35135135135135)</f>
        <v>51.35135135</v>
      </c>
      <c r="U41" s="26">
        <f>IFERROR(__xludf.DUMMYFUNCTION("""COMPUTED_VALUE"""),72.41379310344827)</f>
        <v>72.4137931</v>
      </c>
      <c r="V41" s="26">
        <f>IFERROR(__xludf.DUMMYFUNCTION("""COMPUTED_VALUE"""),1.1)</f>
        <v>1.1</v>
      </c>
      <c r="W41" s="23">
        <f>IFERROR(__xludf.DUMMYFUNCTION("""COMPUTED_VALUE"""),-1.5851990791617894)</f>
        <v>-1.585199079</v>
      </c>
      <c r="X41" s="23">
        <f>IFERROR(__xludf.DUMMYFUNCTION("""COMPUTED_VALUE"""),-0.31340889108068076)</f>
        <v>-0.3134088911</v>
      </c>
      <c r="Y41" s="23">
        <f>IFERROR(__xludf.DUMMYFUNCTION("""COMPUTED_VALUE"""),-0.47944762101935795)</f>
        <v>-0.479447621</v>
      </c>
      <c r="Z41" s="23">
        <f>IFERROR(__xludf.DUMMYFUNCTION("""COMPUTED_VALUE"""),-1.484951394806553)</f>
        <v>-1.484951395</v>
      </c>
      <c r="AA41" s="23">
        <f>IFERROR(__xludf.DUMMYFUNCTION("""COMPUTED_VALUE"""),0.39233811965195126)</f>
        <v>0.3923381197</v>
      </c>
      <c r="AB41" s="23">
        <f>IFERROR(__xludf.DUMMYFUNCTION("""COMPUTED_VALUE"""),0.0)</f>
        <v>0</v>
      </c>
      <c r="AC41" s="23">
        <f>IFERROR(__xludf.DUMMYFUNCTION("""COMPUTED_VALUE"""),0.0)</f>
        <v>0</v>
      </c>
      <c r="AD41" s="23">
        <f>IFERROR(__xludf.DUMMYFUNCTION("""COMPUTED_VALUE"""),-0.316495892922146)</f>
        <v>-0.3164958929</v>
      </c>
      <c r="AE41" s="23">
        <f>IFERROR(__xludf.DUMMYFUNCTION("""COMPUTED_VALUE"""),0.0)</f>
        <v>0</v>
      </c>
    </row>
    <row r="42">
      <c r="A42" s="12" t="str">
        <f>IF(VLOOKUP(H42,'Paste #BBall'!$C$2:$Q$201,3,)="BRO","BKN",IF(VLOOKUP(H42,'Paste #BBall'!$C$2:$Q$201,3,)="OKL","OKC",VLOOKUP(H42,'Paste #BBall'!$C$2:$Q$201,3,)))</f>
        <v>MIL</v>
      </c>
      <c r="B42" s="12">
        <f>VLOOKUP(A42,'Paste #BBall'!$A$204:$D$233,4,)</f>
        <v>3</v>
      </c>
      <c r="C42" s="12">
        <f>VLOOKUP(A42,'Paste #BBall'!$A$204:$C$233,3,)</f>
        <v>4</v>
      </c>
      <c r="D42" s="12">
        <f>VLOOKUP(A42,'Paste #BBall'!$A$204:$B$233,2,)</f>
        <v>4</v>
      </c>
      <c r="E42" s="12">
        <f t="shared" si="1"/>
        <v>11</v>
      </c>
      <c r="F42" s="12">
        <v>37.0</v>
      </c>
      <c r="G42" s="25">
        <f>IFERROR(__xludf.DUMMYFUNCTION("""COMPUTED_VALUE"""),166.0)</f>
        <v>166</v>
      </c>
      <c r="H42" s="25" t="str">
        <f>IFERROR(__xludf.DUMMYFUNCTION("""COMPUTED_VALUE"""),"Grayson Allen")</f>
        <v>Grayson Allen</v>
      </c>
      <c r="I42" s="25">
        <f>IFERROR(__xludf.DUMMYFUNCTION("""COMPUTED_VALUE"""),77.0)</f>
        <v>77</v>
      </c>
      <c r="J42" s="23" t="str">
        <f>IFERROR(__xludf.DUMMYFUNCTION("""COMPUTED_VALUE"""),"SG")</f>
        <v>SG</v>
      </c>
      <c r="K42" s="23">
        <f>IFERROR(__xludf.DUMMYFUNCTION("""COMPUTED_VALUE"""),-3.9152657569866998)</f>
        <v>-3.915265757</v>
      </c>
      <c r="L42" s="23">
        <f>IFERROR(__xludf.DUMMYFUNCTION("""COMPUTED_VALUE"""),-3.8672756363628444)</f>
        <v>-3.867275636</v>
      </c>
      <c r="M42" s="26">
        <f>IFERROR(__xludf.DUMMYFUNCTION("""COMPUTED_VALUE"""),0.047990120623855326)</f>
        <v>0.04799012062</v>
      </c>
      <c r="N42" s="26">
        <f>IFERROR(__xludf.DUMMYFUNCTION("""COMPUTED_VALUE"""),11.5)</f>
        <v>11.5</v>
      </c>
      <c r="O42" s="26">
        <f>IFERROR(__xludf.DUMMYFUNCTION("""COMPUTED_VALUE"""),2.5)</f>
        <v>2.5</v>
      </c>
      <c r="P42" s="26">
        <f>IFERROR(__xludf.DUMMYFUNCTION("""COMPUTED_VALUE"""),3.5)</f>
        <v>3.5</v>
      </c>
      <c r="Q42" s="27">
        <f>IFERROR(__xludf.DUMMYFUNCTION("""COMPUTED_VALUE"""),1.5)</f>
        <v>1.5</v>
      </c>
      <c r="R42" s="26">
        <f>IFERROR(__xludf.DUMMYFUNCTION("""COMPUTED_VALUE"""),0.7)</f>
        <v>0.7</v>
      </c>
      <c r="S42" s="26">
        <f>IFERROR(__xludf.DUMMYFUNCTION("""COMPUTED_VALUE"""),0.3)</f>
        <v>0.3</v>
      </c>
      <c r="T42" s="26">
        <f>IFERROR(__xludf.DUMMYFUNCTION("""COMPUTED_VALUE"""),44.44444444444444)</f>
        <v>44.44444444</v>
      </c>
      <c r="U42" s="26">
        <f>IFERROR(__xludf.DUMMYFUNCTION("""COMPUTED_VALUE"""),91.66666666666667)</f>
        <v>91.66666667</v>
      </c>
      <c r="V42" s="26">
        <f>IFERROR(__xludf.DUMMYFUNCTION("""COMPUTED_VALUE"""),0.7)</f>
        <v>0.7</v>
      </c>
      <c r="W42" s="23">
        <f>IFERROR(__xludf.DUMMYFUNCTION("""COMPUTED_VALUE"""),-1.4520566536854043)</f>
        <v>-1.452056654</v>
      </c>
      <c r="X42" s="23">
        <f>IFERROR(__xludf.DUMMYFUNCTION("""COMPUTED_VALUE"""),0.8865377839776849)</f>
        <v>0.886537784</v>
      </c>
      <c r="Y42" s="23">
        <f>IFERROR(__xludf.DUMMYFUNCTION("""COMPUTED_VALUE"""),-1.0509491852744342)</f>
        <v>-1.050949185</v>
      </c>
      <c r="Z42" s="23">
        <f>IFERROR(__xludf.DUMMYFUNCTION("""COMPUTED_VALUE"""),-1.2566741104875678)</f>
        <v>-1.25667411</v>
      </c>
      <c r="AA42" s="23">
        <f>IFERROR(__xludf.DUMMYFUNCTION("""COMPUTED_VALUE"""),-1.2428613161002313)</f>
        <v>-1.242861316</v>
      </c>
      <c r="AB42" s="23">
        <f>IFERROR(__xludf.DUMMYFUNCTION("""COMPUTED_VALUE"""),0.0)</f>
        <v>0</v>
      </c>
      <c r="AC42" s="23">
        <f>IFERROR(__xludf.DUMMYFUNCTION("""COMPUTED_VALUE"""),0.0)</f>
        <v>0</v>
      </c>
      <c r="AD42" s="23">
        <f>IFERROR(__xludf.DUMMYFUNCTION("""COMPUTED_VALUE"""),0.24872784520710842)</f>
        <v>0.2487278452</v>
      </c>
      <c r="AE42" s="23">
        <f>IFERROR(__xludf.DUMMYFUNCTION("""COMPUTED_VALUE"""),0.0)</f>
        <v>0</v>
      </c>
    </row>
    <row r="43">
      <c r="A43" s="12" t="str">
        <f>IF(VLOOKUP(H43,'Paste #BBall'!$C$2:$Q$201,3,)="BRO","BKN",IF(VLOOKUP(H43,'Paste #BBall'!$C$2:$Q$201,3,)="OKL","OKC",VLOOKUP(H43,'Paste #BBall'!$C$2:$Q$201,3,)))</f>
        <v>POR</v>
      </c>
      <c r="B43" s="12">
        <f>VLOOKUP(A43,'Paste #BBall'!$A$204:$D$233,4,)</f>
        <v>4</v>
      </c>
      <c r="C43" s="12">
        <f>VLOOKUP(A43,'Paste #BBall'!$A$204:$C$233,3,)</f>
        <v>4</v>
      </c>
      <c r="D43" s="12">
        <f>VLOOKUP(A43,'Paste #BBall'!$A$204:$B$233,2,)</f>
        <v>3</v>
      </c>
      <c r="E43" s="12">
        <f t="shared" si="1"/>
        <v>11</v>
      </c>
      <c r="F43" s="12">
        <v>38.0</v>
      </c>
      <c r="G43" s="25">
        <f>IFERROR(__xludf.DUMMYFUNCTION("""COMPUTED_VALUE"""),141.0)</f>
        <v>141</v>
      </c>
      <c r="H43" s="25" t="str">
        <f>IFERROR(__xludf.DUMMYFUNCTION("""COMPUTED_VALUE"""),"Gary Payton II")</f>
        <v>Gary Payton II</v>
      </c>
      <c r="I43" s="25">
        <f>IFERROR(__xludf.DUMMYFUNCTION("""COMPUTED_VALUE"""),58.0)</f>
        <v>58</v>
      </c>
      <c r="J43" s="23" t="str">
        <f>IFERROR(__xludf.DUMMYFUNCTION("""COMPUTED_VALUE"""),"PG")</f>
        <v>PG</v>
      </c>
      <c r="K43" s="23">
        <f>IFERROR(__xludf.DUMMYFUNCTION("""COMPUTED_VALUE"""),-3.219311282025422)</f>
        <v>-3.219311282</v>
      </c>
      <c r="L43" s="23">
        <f>IFERROR(__xludf.DUMMYFUNCTION("""COMPUTED_VALUE"""),-3.9789339961484704)</f>
        <v>-3.978933996</v>
      </c>
      <c r="M43" s="26">
        <f>IFERROR(__xludf.DUMMYFUNCTION("""COMPUTED_VALUE"""),-0.7596227141230485)</f>
        <v>-0.7596227141</v>
      </c>
      <c r="N43" s="26">
        <f>IFERROR(__xludf.DUMMYFUNCTION("""COMPUTED_VALUE"""),8.5)</f>
        <v>8.5</v>
      </c>
      <c r="O43" s="26">
        <f>IFERROR(__xludf.DUMMYFUNCTION("""COMPUTED_VALUE"""),0.7)</f>
        <v>0.7</v>
      </c>
      <c r="P43" s="26">
        <f>IFERROR(__xludf.DUMMYFUNCTION("""COMPUTED_VALUE"""),4.2)</f>
        <v>4.2</v>
      </c>
      <c r="Q43" s="27">
        <f>IFERROR(__xludf.DUMMYFUNCTION("""COMPUTED_VALUE"""),1.1)</f>
        <v>1.1</v>
      </c>
      <c r="R43" s="26">
        <f>IFERROR(__xludf.DUMMYFUNCTION("""COMPUTED_VALUE"""),1.4)</f>
        <v>1.4</v>
      </c>
      <c r="S43" s="26">
        <f>IFERROR(__xludf.DUMMYFUNCTION("""COMPUTED_VALUE"""),0.4)</f>
        <v>0.4</v>
      </c>
      <c r="T43" s="26">
        <f>IFERROR(__xludf.DUMMYFUNCTION("""COMPUTED_VALUE"""),61.01694915254237)</f>
        <v>61.01694915</v>
      </c>
      <c r="U43" s="26">
        <f>IFERROR(__xludf.DUMMYFUNCTION("""COMPUTED_VALUE"""),66.66666666666666)</f>
        <v>66.66666667</v>
      </c>
      <c r="V43" s="26">
        <f>IFERROR(__xludf.DUMMYFUNCTION("""COMPUTED_VALUE"""),0.7)</f>
        <v>0.7</v>
      </c>
      <c r="W43" s="23">
        <f>IFERROR(__xludf.DUMMYFUNCTION("""COMPUTED_VALUE"""),-2.2509112065437136)</f>
        <v>-2.250911207</v>
      </c>
      <c r="X43" s="23">
        <f>IFERROR(__xludf.DUMMYFUNCTION("""COMPUTED_VALUE"""),-0.9133822286098637)</f>
        <v>-0.9133822286</v>
      </c>
      <c r="Y43" s="23">
        <f>IFERROR(__xludf.DUMMYFUNCTION("""COMPUTED_VALUE"""),-0.765198403146896)</f>
        <v>-0.7651984031</v>
      </c>
      <c r="Z43" s="23">
        <f>IFERROR(__xludf.DUMMYFUNCTION("""COMPUTED_VALUE"""),-1.484951394806553)</f>
        <v>-1.484951395</v>
      </c>
      <c r="AA43" s="23">
        <f>IFERROR(__xludf.DUMMYFUNCTION("""COMPUTED_VALUE"""),1.6187376964660871)</f>
        <v>1.618737696</v>
      </c>
      <c r="AB43" s="23">
        <f>IFERROR(__xludf.DUMMYFUNCTION("""COMPUTED_VALUE"""),0.0)</f>
        <v>0</v>
      </c>
      <c r="AC43" s="23">
        <f>IFERROR(__xludf.DUMMYFUNCTION("""COMPUTED_VALUE"""),0.0)</f>
        <v>0</v>
      </c>
      <c r="AD43" s="23">
        <f>IFERROR(__xludf.DUMMYFUNCTION("""COMPUTED_VALUE"""),-0.1832284595075309)</f>
        <v>-0.1832284595</v>
      </c>
      <c r="AE43" s="23">
        <f>IFERROR(__xludf.DUMMYFUNCTION("""COMPUTED_VALUE"""),0.0)</f>
        <v>0</v>
      </c>
    </row>
    <row r="44">
      <c r="A44" s="12" t="str">
        <f>IF(VLOOKUP(H44,'Paste #BBall'!$C$2:$Q$201,3,)="BRO","BKN",IF(VLOOKUP(H44,'Paste #BBall'!$C$2:$Q$201,3,)="OKL","OKC",VLOOKUP(H44,'Paste #BBall'!$C$2:$Q$201,3,)))</f>
        <v>MEM</v>
      </c>
      <c r="B44" s="12">
        <f>VLOOKUP(A44,'Paste #BBall'!$A$204:$D$233,4,)</f>
        <v>4</v>
      </c>
      <c r="C44" s="12">
        <f>VLOOKUP(A44,'Paste #BBall'!$A$204:$C$233,3,)</f>
        <v>3</v>
      </c>
      <c r="D44" s="12">
        <f>VLOOKUP(A44,'Paste #BBall'!$A$204:$B$233,2,)</f>
        <v>4</v>
      </c>
      <c r="E44" s="12">
        <f t="shared" si="1"/>
        <v>11</v>
      </c>
      <c r="F44" s="12">
        <v>39.0</v>
      </c>
      <c r="G44" s="25">
        <f>IFERROR(__xludf.DUMMYFUNCTION("""COMPUTED_VALUE"""),191.0)</f>
        <v>191</v>
      </c>
      <c r="H44" s="25" t="str">
        <f>IFERROR(__xludf.DUMMYFUNCTION("""COMPUTED_VALUE"""),"Tyus Jones")</f>
        <v>Tyus Jones</v>
      </c>
      <c r="I44" s="25">
        <f>IFERROR(__xludf.DUMMYFUNCTION("""COMPUTED_VALUE"""),65.0)</f>
        <v>65</v>
      </c>
      <c r="J44" s="23" t="str">
        <f>IFERROR(__xludf.DUMMYFUNCTION("""COMPUTED_VALUE"""),"PG")</f>
        <v>PG</v>
      </c>
      <c r="K44" s="23">
        <f>IFERROR(__xludf.DUMMYFUNCTION("""COMPUTED_VALUE"""),-4.887292503106335)</f>
        <v>-4.887292503</v>
      </c>
      <c r="L44" s="23">
        <f>IFERROR(__xludf.DUMMYFUNCTION("""COMPUTED_VALUE"""),-4.008808114036971)</f>
        <v>-4.008808114</v>
      </c>
      <c r="M44" s="26">
        <f>IFERROR(__xludf.DUMMYFUNCTION("""COMPUTED_VALUE"""),0.8784843890693637)</f>
        <v>0.8784843891</v>
      </c>
      <c r="N44" s="26">
        <f>IFERROR(__xludf.DUMMYFUNCTION("""COMPUTED_VALUE"""),8.8)</f>
        <v>8.8</v>
      </c>
      <c r="O44" s="26">
        <f>IFERROR(__xludf.DUMMYFUNCTION("""COMPUTED_VALUE"""),1.1)</f>
        <v>1.1</v>
      </c>
      <c r="P44" s="26">
        <f>IFERROR(__xludf.DUMMYFUNCTION("""COMPUTED_VALUE"""),2.4)</f>
        <v>2.4</v>
      </c>
      <c r="Q44" s="27">
        <f>IFERROR(__xludf.DUMMYFUNCTION("""COMPUTED_VALUE"""),4.5)</f>
        <v>4.5</v>
      </c>
      <c r="R44" s="26">
        <f>IFERROR(__xludf.DUMMYFUNCTION("""COMPUTED_VALUE"""),0.9)</f>
        <v>0.9</v>
      </c>
      <c r="S44" s="26">
        <f>IFERROR(__xludf.DUMMYFUNCTION("""COMPUTED_VALUE"""),0.0)</f>
        <v>0</v>
      </c>
      <c r="T44" s="26">
        <f>IFERROR(__xludf.DUMMYFUNCTION("""COMPUTED_VALUE"""),45.45454545454545)</f>
        <v>45.45454545</v>
      </c>
      <c r="U44" s="26">
        <f>IFERROR(__xludf.DUMMYFUNCTION("""COMPUTED_VALUE"""),88.8888888888889)</f>
        <v>88.88888889</v>
      </c>
      <c r="V44" s="26">
        <f>IFERROR(__xludf.DUMMYFUNCTION("""COMPUTED_VALUE"""),0.6)</f>
        <v>0.6</v>
      </c>
      <c r="W44" s="23">
        <f>IFERROR(__xludf.DUMMYFUNCTION("""COMPUTED_VALUE"""),-2.1710257512578823)</f>
        <v>-2.171025751</v>
      </c>
      <c r="X44" s="23">
        <f>IFERROR(__xludf.DUMMYFUNCTION("""COMPUTED_VALUE"""),-0.5134000035904084)</f>
        <v>-0.5134000036</v>
      </c>
      <c r="Y44" s="23">
        <f>IFERROR(__xludf.DUMMYFUNCTION("""COMPUTED_VALUE"""),-1.499986128617708)</f>
        <v>-1.499986129</v>
      </c>
      <c r="Z44" s="23">
        <f>IFERROR(__xludf.DUMMYFUNCTION("""COMPUTED_VALUE"""),0.4554055219048211)</f>
        <v>0.4554055219</v>
      </c>
      <c r="AA44" s="23">
        <f>IFERROR(__xludf.DUMMYFUNCTION("""COMPUTED_VALUE"""),-0.42526159822414)</f>
        <v>-0.4252615982</v>
      </c>
      <c r="AB44" s="23">
        <f>IFERROR(__xludf.DUMMYFUNCTION("""COMPUTED_VALUE"""),0.0)</f>
        <v>0</v>
      </c>
      <c r="AC44" s="23">
        <f>IFERROR(__xludf.DUMMYFUNCTION("""COMPUTED_VALUE"""),0.0)</f>
        <v>0</v>
      </c>
      <c r="AD44" s="23">
        <f>IFERROR(__xludf.DUMMYFUNCTION("""COMPUTED_VALUE"""),0.14545984574834664)</f>
        <v>0.1454598457</v>
      </c>
      <c r="AE44" s="23">
        <f>IFERROR(__xludf.DUMMYFUNCTION("""COMPUTED_VALUE"""),0.0)</f>
        <v>0</v>
      </c>
    </row>
    <row r="45">
      <c r="A45" s="12" t="str">
        <f>IF(VLOOKUP(H45,'Paste #BBall'!$C$2:$Q$201,3,)="BRO","BKN",IF(VLOOKUP(H45,'Paste #BBall'!$C$2:$Q$201,3,)="OKL","OKC",VLOOKUP(H45,'Paste #BBall'!$C$2:$Q$201,3,)))</f>
        <v>WAS</v>
      </c>
      <c r="B45" s="12">
        <f>VLOOKUP(A45,'Paste #BBall'!$A$204:$D$233,4,)</f>
        <v>3</v>
      </c>
      <c r="C45" s="12">
        <f>VLOOKUP(A45,'Paste #BBall'!$A$204:$C$233,3,)</f>
        <v>4</v>
      </c>
      <c r="D45" s="12">
        <f>VLOOKUP(A45,'Paste #BBall'!$A$204:$B$233,2,)</f>
        <v>3</v>
      </c>
      <c r="E45" s="12">
        <f t="shared" si="1"/>
        <v>10</v>
      </c>
      <c r="F45" s="12">
        <v>40.0</v>
      </c>
      <c r="G45" s="25">
        <f>IFERROR(__xludf.DUMMYFUNCTION("""COMPUTED_VALUE"""),182.0)</f>
        <v>182</v>
      </c>
      <c r="H45" s="25" t="str">
        <f>IFERROR(__xludf.DUMMYFUNCTION("""COMPUTED_VALUE"""),"Delon Wright")</f>
        <v>Delon Wright</v>
      </c>
      <c r="I45" s="25">
        <f>IFERROR(__xludf.DUMMYFUNCTION("""COMPUTED_VALUE"""),69.0)</f>
        <v>69</v>
      </c>
      <c r="J45" s="23" t="str">
        <f>IFERROR(__xludf.DUMMYFUNCTION("""COMPUTED_VALUE"""),"SG/PF")</f>
        <v>SG/PF</v>
      </c>
      <c r="K45" s="23">
        <f>IFERROR(__xludf.DUMMYFUNCTION("""COMPUTED_VALUE"""),-4.403843131387165)</f>
        <v>-4.403843131</v>
      </c>
      <c r="L45" s="23">
        <f>IFERROR(__xludf.DUMMYFUNCTION("""COMPUTED_VALUE"""),-4.113350002594853)</f>
        <v>-4.113350003</v>
      </c>
      <c r="M45" s="26">
        <f>IFERROR(__xludf.DUMMYFUNCTION("""COMPUTED_VALUE"""),0.2904931287923125)</f>
        <v>0.2904931288</v>
      </c>
      <c r="N45" s="26">
        <f>IFERROR(__xludf.DUMMYFUNCTION("""COMPUTED_VALUE"""),6.4)</f>
        <v>6.4</v>
      </c>
      <c r="O45" s="26">
        <f>IFERROR(__xludf.DUMMYFUNCTION("""COMPUTED_VALUE"""),0.7)</f>
        <v>0.7</v>
      </c>
      <c r="P45" s="26">
        <f>IFERROR(__xludf.DUMMYFUNCTION("""COMPUTED_VALUE"""),3.2)</f>
        <v>3.2</v>
      </c>
      <c r="Q45" s="27">
        <f>IFERROR(__xludf.DUMMYFUNCTION("""COMPUTED_VALUE"""),2.7)</f>
        <v>2.7</v>
      </c>
      <c r="R45" s="26">
        <f>IFERROR(__xludf.DUMMYFUNCTION("""COMPUTED_VALUE"""),1.3)</f>
        <v>1.3</v>
      </c>
      <c r="S45" s="26">
        <f>IFERROR(__xludf.DUMMYFUNCTION("""COMPUTED_VALUE"""),0.2)</f>
        <v>0.2</v>
      </c>
      <c r="T45" s="26">
        <f>IFERROR(__xludf.DUMMYFUNCTION("""COMPUTED_VALUE"""),45.28301886792453)</f>
        <v>45.28301887</v>
      </c>
      <c r="U45" s="26">
        <f>IFERROR(__xludf.DUMMYFUNCTION("""COMPUTED_VALUE"""),88.8888888888889)</f>
        <v>88.88888889</v>
      </c>
      <c r="V45" s="26">
        <f>IFERROR(__xludf.DUMMYFUNCTION("""COMPUTED_VALUE"""),0.7)</f>
        <v>0.7</v>
      </c>
      <c r="W45" s="23">
        <f>IFERROR(__xludf.DUMMYFUNCTION("""COMPUTED_VALUE"""),-2.81010939354453)</f>
        <v>-2.810109394</v>
      </c>
      <c r="X45" s="23">
        <f>IFERROR(__xludf.DUMMYFUNCTION("""COMPUTED_VALUE"""),-0.9133822286098637)</f>
        <v>-0.9133822286</v>
      </c>
      <c r="Y45" s="23">
        <f>IFERROR(__xludf.DUMMYFUNCTION("""COMPUTED_VALUE"""),-1.173413806186236)</f>
        <v>-1.173413806</v>
      </c>
      <c r="Z45" s="23">
        <f>IFERROR(__xludf.DUMMYFUNCTION("""COMPUTED_VALUE"""),-0.5718422575306121)</f>
        <v>-0.5718422575</v>
      </c>
      <c r="AA45" s="23">
        <f>IFERROR(__xludf.DUMMYFUNCTION("""COMPUTED_VALUE"""),1.209937837528042)</f>
        <v>1.209937838</v>
      </c>
      <c r="AB45" s="23">
        <f>IFERROR(__xludf.DUMMYFUNCTION("""COMPUTED_VALUE"""),0.0)</f>
        <v>0</v>
      </c>
      <c r="AC45" s="23">
        <f>IFERROR(__xludf.DUMMYFUNCTION("""COMPUTED_VALUE"""),0.0)</f>
        <v>0</v>
      </c>
      <c r="AD45" s="23">
        <f>IFERROR(__xludf.DUMMYFUNCTION("""COMPUTED_VALUE"""),0.14545984574834664)</f>
        <v>0.1454598457</v>
      </c>
      <c r="AE45" s="23">
        <f>IFERROR(__xludf.DUMMYFUNCTION("""COMPUTED_VALUE"""),0.0)</f>
        <v>0</v>
      </c>
    </row>
    <row r="46">
      <c r="A46" s="12" t="str">
        <f>IF(VLOOKUP(H46,'Paste #BBall'!$C$2:$Q$201,3,)="BRO","BKN",IF(VLOOKUP(H46,'Paste #BBall'!$C$2:$Q$201,3,)="OKL","OKC",VLOOKUP(H46,'Paste #BBall'!$C$2:$Q$201,3,)))</f>
        <v>MIA</v>
      </c>
      <c r="B46" s="12">
        <f>VLOOKUP(A46,'Paste #BBall'!$A$204:$D$233,4,)</f>
        <v>3</v>
      </c>
      <c r="C46" s="12">
        <f>VLOOKUP(A46,'Paste #BBall'!$A$204:$C$233,3,)</f>
        <v>4</v>
      </c>
      <c r="D46" s="12">
        <f>VLOOKUP(A46,'Paste #BBall'!$A$204:$B$233,2,)</f>
        <v>4</v>
      </c>
      <c r="E46" s="12">
        <f t="shared" si="1"/>
        <v>11</v>
      </c>
      <c r="F46" s="12">
        <v>41.0</v>
      </c>
      <c r="G46" s="25">
        <f>IFERROR(__xludf.DUMMYFUNCTION("""COMPUTED_VALUE"""),156.0)</f>
        <v>156</v>
      </c>
      <c r="H46" s="25" t="str">
        <f>IFERROR(__xludf.DUMMYFUNCTION("""COMPUTED_VALUE"""),"Caleb Martin")</f>
        <v>Caleb Martin</v>
      </c>
      <c r="I46" s="25">
        <f>IFERROR(__xludf.DUMMYFUNCTION("""COMPUTED_VALUE"""),64.0)</f>
        <v>64</v>
      </c>
      <c r="J46" s="23" t="str">
        <f>IFERROR(__xludf.DUMMYFUNCTION("""COMPUTED_VALUE"""),"SG/SF")</f>
        <v>SG/SF</v>
      </c>
      <c r="K46" s="23">
        <f>IFERROR(__xludf.DUMMYFUNCTION("""COMPUTED_VALUE"""),-3.6951221165375063)</f>
        <v>-3.695122117</v>
      </c>
      <c r="L46" s="23">
        <f>IFERROR(__xludf.DUMMYFUNCTION("""COMPUTED_VALUE"""),-4.137822014917293)</f>
        <v>-4.137822015</v>
      </c>
      <c r="M46" s="26">
        <f>IFERROR(__xludf.DUMMYFUNCTION("""COMPUTED_VALUE"""),-0.44269989837978674)</f>
        <v>-0.4426998984</v>
      </c>
      <c r="N46" s="26">
        <f>IFERROR(__xludf.DUMMYFUNCTION("""COMPUTED_VALUE"""),10.0)</f>
        <v>10</v>
      </c>
      <c r="O46" s="26">
        <f>IFERROR(__xludf.DUMMYFUNCTION("""COMPUTED_VALUE"""),1.2)</f>
        <v>1.2</v>
      </c>
      <c r="P46" s="26">
        <f>IFERROR(__xludf.DUMMYFUNCTION("""COMPUTED_VALUE"""),4.2)</f>
        <v>4.2</v>
      </c>
      <c r="Q46" s="27">
        <f>IFERROR(__xludf.DUMMYFUNCTION("""COMPUTED_VALUE"""),1.2)</f>
        <v>1.2</v>
      </c>
      <c r="R46" s="26">
        <f>IFERROR(__xludf.DUMMYFUNCTION("""COMPUTED_VALUE"""),1.1)</f>
        <v>1.1</v>
      </c>
      <c r="S46" s="26">
        <f>IFERROR(__xludf.DUMMYFUNCTION("""COMPUTED_VALUE"""),0.5)</f>
        <v>0.5</v>
      </c>
      <c r="T46" s="26">
        <f>IFERROR(__xludf.DUMMYFUNCTION("""COMPUTED_VALUE"""),50.0)</f>
        <v>50</v>
      </c>
      <c r="U46" s="26">
        <f>IFERROR(__xludf.DUMMYFUNCTION("""COMPUTED_VALUE"""),76.47058823529413)</f>
        <v>76.47058824</v>
      </c>
      <c r="V46" s="26">
        <f>IFERROR(__xludf.DUMMYFUNCTION("""COMPUTED_VALUE"""),1.0)</f>
        <v>1</v>
      </c>
      <c r="W46" s="23">
        <f>IFERROR(__xludf.DUMMYFUNCTION("""COMPUTED_VALUE"""),-1.851483930114559)</f>
        <v>-1.85148393</v>
      </c>
      <c r="X46" s="23">
        <f>IFERROR(__xludf.DUMMYFUNCTION("""COMPUTED_VALUE"""),-0.41340444733554466)</f>
        <v>-0.4134044473</v>
      </c>
      <c r="Y46" s="23">
        <f>IFERROR(__xludf.DUMMYFUNCTION("""COMPUTED_VALUE"""),-0.765198403146896)</f>
        <v>-0.7651984031</v>
      </c>
      <c r="Z46" s="23">
        <f>IFERROR(__xludf.DUMMYFUNCTION("""COMPUTED_VALUE"""),-1.427882073726807)</f>
        <v>-1.427882074</v>
      </c>
      <c r="AA46" s="23">
        <f>IFERROR(__xludf.DUMMYFUNCTION("""COMPUTED_VALUE"""),0.39233811965195126)</f>
        <v>0.3923381197</v>
      </c>
      <c r="AB46" s="23">
        <f>IFERROR(__xludf.DUMMYFUNCTION("""COMPUTED_VALUE"""),0.0)</f>
        <v>0</v>
      </c>
      <c r="AC46" s="23">
        <f>IFERROR(__xludf.DUMMYFUNCTION("""COMPUTED_VALUE"""),0.0)</f>
        <v>0</v>
      </c>
      <c r="AD46" s="23">
        <f>IFERROR(__xludf.DUMMYFUNCTION("""COMPUTED_VALUE"""),-0.07219128024543806)</f>
        <v>-0.07219128025</v>
      </c>
      <c r="AE46" s="23">
        <f>IFERROR(__xludf.DUMMYFUNCTION("""COMPUTED_VALUE"""),0.0)</f>
        <v>0</v>
      </c>
    </row>
    <row r="47">
      <c r="A47" s="12" t="str">
        <f>IF(VLOOKUP(H47,'Paste #BBall'!$C$2:$Q$201,3,)="BRO","BKN",IF(VLOOKUP(H47,'Paste #BBall'!$C$2:$Q$201,3,)="OKL","OKC",VLOOKUP(H47,'Paste #BBall'!$C$2:$Q$201,3,)))</f>
        <v>UTA</v>
      </c>
      <c r="B47" s="12">
        <f>VLOOKUP(A47,'Paste #BBall'!$A$204:$D$233,4,)</f>
        <v>3</v>
      </c>
      <c r="C47" s="12">
        <f>VLOOKUP(A47,'Paste #BBall'!$A$204:$C$233,3,)</f>
        <v>3</v>
      </c>
      <c r="D47" s="12">
        <f>VLOOKUP(A47,'Paste #BBall'!$A$204:$B$233,2,)</f>
        <v>2</v>
      </c>
      <c r="E47" s="12">
        <f t="shared" si="1"/>
        <v>8</v>
      </c>
      <c r="F47" s="12">
        <v>42.0</v>
      </c>
      <c r="G47" s="25">
        <f>IFERROR(__xludf.DUMMYFUNCTION("""COMPUTED_VALUE"""),185.0)</f>
        <v>185</v>
      </c>
      <c r="H47" s="25" t="str">
        <f>IFERROR(__xludf.DUMMYFUNCTION("""COMPUTED_VALUE"""),"Talen Horton-Tucker")</f>
        <v>Talen Horton-Tucker</v>
      </c>
      <c r="I47" s="25">
        <f>IFERROR(__xludf.DUMMYFUNCTION("""COMPUTED_VALUE"""),80.0)</f>
        <v>80</v>
      </c>
      <c r="J47" s="23" t="str">
        <f>IFERROR(__xludf.DUMMYFUNCTION("""COMPUTED_VALUE"""),"SG/SF")</f>
        <v>SG/SF</v>
      </c>
      <c r="K47" s="23">
        <f>IFERROR(__xludf.DUMMYFUNCTION("""COMPUTED_VALUE"""),-4.443876960992629)</f>
        <v>-4.443876961</v>
      </c>
      <c r="L47" s="23">
        <f>IFERROR(__xludf.DUMMYFUNCTION("""COMPUTED_VALUE"""),-4.2365696732939675)</f>
        <v>-4.236569673</v>
      </c>
      <c r="M47" s="26">
        <f>IFERROR(__xludf.DUMMYFUNCTION("""COMPUTED_VALUE"""),0.20730728769866147)</f>
        <v>0.2073072877</v>
      </c>
      <c r="N47" s="26">
        <f>IFERROR(__xludf.DUMMYFUNCTION("""COMPUTED_VALUE"""),10.1)</f>
        <v>10.1</v>
      </c>
      <c r="O47" s="26">
        <f>IFERROR(__xludf.DUMMYFUNCTION("""COMPUTED_VALUE"""),0.8)</f>
        <v>0.8</v>
      </c>
      <c r="P47" s="26">
        <f>IFERROR(__xludf.DUMMYFUNCTION("""COMPUTED_VALUE"""),3.3)</f>
        <v>3.3</v>
      </c>
      <c r="Q47" s="27">
        <f>IFERROR(__xludf.DUMMYFUNCTION("""COMPUTED_VALUE"""),2.8)</f>
        <v>2.8</v>
      </c>
      <c r="R47" s="26">
        <f>IFERROR(__xludf.DUMMYFUNCTION("""COMPUTED_VALUE"""),1.0)</f>
        <v>1</v>
      </c>
      <c r="S47" s="26">
        <f>IFERROR(__xludf.DUMMYFUNCTION("""COMPUTED_VALUE"""),0.5)</f>
        <v>0.5</v>
      </c>
      <c r="T47" s="26">
        <f>IFERROR(__xludf.DUMMYFUNCTION("""COMPUTED_VALUE"""),43.18181818181818)</f>
        <v>43.18181818</v>
      </c>
      <c r="U47" s="26">
        <f>IFERROR(__xludf.DUMMYFUNCTION("""COMPUTED_VALUE"""),80.95238095238095)</f>
        <v>80.95238095</v>
      </c>
      <c r="V47" s="26">
        <f>IFERROR(__xludf.DUMMYFUNCTION("""COMPUTED_VALUE"""),1.4)</f>
        <v>1.4</v>
      </c>
      <c r="W47" s="23">
        <f>IFERROR(__xludf.DUMMYFUNCTION("""COMPUTED_VALUE"""),-1.824855445019282)</f>
        <v>-1.824855445</v>
      </c>
      <c r="X47" s="23">
        <f>IFERROR(__xludf.DUMMYFUNCTION("""COMPUTED_VALUE"""),-0.8133866723549998)</f>
        <v>-0.8133866724</v>
      </c>
      <c r="Y47" s="23">
        <f>IFERROR(__xludf.DUMMYFUNCTION("""COMPUTED_VALUE"""),-1.1325922658823022)</f>
        <v>-1.132592266</v>
      </c>
      <c r="Z47" s="23">
        <f>IFERROR(__xludf.DUMMYFUNCTION("""COMPUTED_VALUE"""),-0.514772936450866)</f>
        <v>-0.5147729365</v>
      </c>
      <c r="AA47" s="23">
        <f>IFERROR(__xludf.DUMMYFUNCTION("""COMPUTED_VALUE"""),-0.01646173928609459)</f>
        <v>-0.01646173929</v>
      </c>
      <c r="AB47" s="23">
        <f>IFERROR(__xludf.DUMMYFUNCTION("""COMPUTED_VALUE"""),0.0)</f>
        <v>0</v>
      </c>
      <c r="AC47" s="23">
        <f>IFERROR(__xludf.DUMMYFUNCTION("""COMPUTED_VALUE"""),0.0)</f>
        <v>0</v>
      </c>
      <c r="AD47" s="23">
        <f>IFERROR(__xludf.DUMMYFUNCTION("""COMPUTED_VALUE"""),0.0654993856995771)</f>
        <v>0.0654993857</v>
      </c>
      <c r="AE47" s="23">
        <f>IFERROR(__xludf.DUMMYFUNCTION("""COMPUTED_VALUE"""),0.0)</f>
        <v>0</v>
      </c>
    </row>
    <row r="48">
      <c r="A48" s="12" t="str">
        <f>IF(VLOOKUP(H48,'Paste #BBall'!$C$2:$Q$201,3,)="BRO","BKN",IF(VLOOKUP(H48,'Paste #BBall'!$C$2:$Q$201,3,)="OKL","OKC",VLOOKUP(H48,'Paste #BBall'!$C$2:$Q$201,3,)))</f>
        <v>OKC</v>
      </c>
      <c r="B48" s="12">
        <f>VLOOKUP(A48,'Paste #BBall'!$A$204:$D$233,4,)</f>
        <v>4</v>
      </c>
      <c r="C48" s="12">
        <f>VLOOKUP(A48,'Paste #BBall'!$A$204:$C$233,3,)</f>
        <v>4</v>
      </c>
      <c r="D48" s="12">
        <f>VLOOKUP(A48,'Paste #BBall'!$A$204:$B$233,2,)</f>
        <v>3</v>
      </c>
      <c r="E48" s="12">
        <f t="shared" si="1"/>
        <v>11</v>
      </c>
      <c r="F48" s="12">
        <v>43.0</v>
      </c>
      <c r="G48" s="25">
        <f>IFERROR(__xludf.DUMMYFUNCTION("""COMPUTED_VALUE"""),155.0)</f>
        <v>155</v>
      </c>
      <c r="H48" s="25" t="str">
        <f>IFERROR(__xludf.DUMMYFUNCTION("""COMPUTED_VALUE"""),"Darius Bazley")</f>
        <v>Darius Bazley</v>
      </c>
      <c r="I48" s="25">
        <f>IFERROR(__xludf.DUMMYFUNCTION("""COMPUTED_VALUE"""),70.0)</f>
        <v>70</v>
      </c>
      <c r="J48" s="23" t="str">
        <f>IFERROR(__xludf.DUMMYFUNCTION("""COMPUTED_VALUE"""),"SF/PF")</f>
        <v>SF/PF</v>
      </c>
      <c r="K48" s="23">
        <f>IFERROR(__xludf.DUMMYFUNCTION("""COMPUTED_VALUE"""),-3.690717167703932)</f>
        <v>-3.690717168</v>
      </c>
      <c r="L48" s="23">
        <f>IFERROR(__xludf.DUMMYFUNCTION("""COMPUTED_VALUE"""),-4.243719493918171)</f>
        <v>-4.243719494</v>
      </c>
      <c r="M48" s="26">
        <f>IFERROR(__xludf.DUMMYFUNCTION("""COMPUTED_VALUE"""),-0.553002326214239)</f>
        <v>-0.5530023262</v>
      </c>
      <c r="N48" s="26">
        <f>IFERROR(__xludf.DUMMYFUNCTION("""COMPUTED_VALUE"""),11.2)</f>
        <v>11.2</v>
      </c>
      <c r="O48" s="26">
        <f>IFERROR(__xludf.DUMMYFUNCTION("""COMPUTED_VALUE"""),1.2)</f>
        <v>1.2</v>
      </c>
      <c r="P48" s="26">
        <f>IFERROR(__xludf.DUMMYFUNCTION("""COMPUTED_VALUE"""),6.5)</f>
        <v>6.5</v>
      </c>
      <c r="Q48" s="27">
        <f>IFERROR(__xludf.DUMMYFUNCTION("""COMPUTED_VALUE"""),1.4)</f>
        <v>1.4</v>
      </c>
      <c r="R48" s="26">
        <f>IFERROR(__xludf.DUMMYFUNCTION("""COMPUTED_VALUE"""),0.8)</f>
        <v>0.8</v>
      </c>
      <c r="S48" s="26">
        <f>IFERROR(__xludf.DUMMYFUNCTION("""COMPUTED_VALUE"""),1.0)</f>
        <v>1</v>
      </c>
      <c r="T48" s="26">
        <f>IFERROR(__xludf.DUMMYFUNCTION("""COMPUTED_VALUE"""),42.70833333333333)</f>
        <v>42.70833333</v>
      </c>
      <c r="U48" s="26">
        <f>IFERROR(__xludf.DUMMYFUNCTION("""COMPUTED_VALUE"""),70.83333333333334)</f>
        <v>70.83333333</v>
      </c>
      <c r="V48" s="26">
        <f>IFERROR(__xludf.DUMMYFUNCTION("""COMPUTED_VALUE"""),1.3)</f>
        <v>1.3</v>
      </c>
      <c r="W48" s="23">
        <f>IFERROR(__xludf.DUMMYFUNCTION("""COMPUTED_VALUE"""),-1.5319421089712355)</f>
        <v>-1.531942109</v>
      </c>
      <c r="X48" s="23">
        <f>IFERROR(__xludf.DUMMYFUNCTION("""COMPUTED_VALUE"""),-0.41340444733554466)</f>
        <v>-0.4134044473</v>
      </c>
      <c r="Y48" s="23">
        <f>IFERROR(__xludf.DUMMYFUNCTION("""COMPUTED_VALUE"""),0.1736970238435859)</f>
        <v>0.1736970238</v>
      </c>
      <c r="Z48" s="23">
        <f>IFERROR(__xludf.DUMMYFUNCTION("""COMPUTED_VALUE"""),-1.313743431567314)</f>
        <v>-1.313743432</v>
      </c>
      <c r="AA48" s="23">
        <f>IFERROR(__xludf.DUMMYFUNCTION("""COMPUTED_VALUE"""),-0.8340614571621854)</f>
        <v>-0.8340614572</v>
      </c>
      <c r="AB48" s="23">
        <f>IFERROR(__xludf.DUMMYFUNCTION("""COMPUTED_VALUE"""),0.0)</f>
        <v>0</v>
      </c>
      <c r="AC48" s="23">
        <f>IFERROR(__xludf.DUMMYFUNCTION("""COMPUTED_VALUE"""),0.0)</f>
        <v>0</v>
      </c>
      <c r="AD48" s="23">
        <f>IFERROR(__xludf.DUMMYFUNCTION("""COMPUTED_VALUE"""),-0.3242650727254767)</f>
        <v>-0.3242650727</v>
      </c>
      <c r="AE48" s="23">
        <f>IFERROR(__xludf.DUMMYFUNCTION("""COMPUTED_VALUE"""),0.0)</f>
        <v>0</v>
      </c>
    </row>
    <row r="49">
      <c r="A49" s="12" t="str">
        <f>IF(VLOOKUP(H49,'Paste #BBall'!$C$2:$Q$201,3,)="BRO","BKN",IF(VLOOKUP(H49,'Paste #BBall'!$C$2:$Q$201,3,)="OKL","OKC",VLOOKUP(H49,'Paste #BBall'!$C$2:$Q$201,3,)))</f>
        <v>DEN</v>
      </c>
      <c r="B49" s="12">
        <f>VLOOKUP(A49,'Paste #BBall'!$A$204:$D$233,4,)</f>
        <v>2</v>
      </c>
      <c r="C49" s="12">
        <f>VLOOKUP(A49,'Paste #BBall'!$A$204:$C$233,3,)</f>
        <v>4</v>
      </c>
      <c r="D49" s="12">
        <f>VLOOKUP(A49,'Paste #BBall'!$A$204:$B$233,2,)</f>
        <v>4</v>
      </c>
      <c r="E49" s="12">
        <f t="shared" si="1"/>
        <v>10</v>
      </c>
      <c r="F49" s="12">
        <v>44.0</v>
      </c>
      <c r="G49" s="25">
        <f>IFERROR(__xludf.DUMMYFUNCTION("""COMPUTED_VALUE"""),142.0)</f>
        <v>142</v>
      </c>
      <c r="H49" s="25" t="str">
        <f>IFERROR(__xludf.DUMMYFUNCTION("""COMPUTED_VALUE"""),"Bruce Brown")</f>
        <v>Bruce Brown</v>
      </c>
      <c r="I49" s="25">
        <f>IFERROR(__xludf.DUMMYFUNCTION("""COMPUTED_VALUE"""),60.0)</f>
        <v>60</v>
      </c>
      <c r="J49" s="23" t="str">
        <f>IFERROR(__xludf.DUMMYFUNCTION("""COMPUTED_VALUE"""),"SG")</f>
        <v>SG</v>
      </c>
      <c r="K49" s="23">
        <f>IFERROR(__xludf.DUMMYFUNCTION("""COMPUTED_VALUE"""),-3.268435312981288)</f>
        <v>-3.268435313</v>
      </c>
      <c r="L49" s="23">
        <f>IFERROR(__xludf.DUMMYFUNCTION("""COMPUTED_VALUE"""),-4.311099961626536)</f>
        <v>-4.311099962</v>
      </c>
      <c r="M49" s="26">
        <f>IFERROR(__xludf.DUMMYFUNCTION("""COMPUTED_VALUE"""),-1.042664648645248)</f>
        <v>-1.042664649</v>
      </c>
      <c r="N49" s="26">
        <f>IFERROR(__xludf.DUMMYFUNCTION("""COMPUTED_VALUE"""),9.0)</f>
        <v>9</v>
      </c>
      <c r="O49" s="26">
        <f>IFERROR(__xludf.DUMMYFUNCTION("""COMPUTED_VALUE"""),0.5)</f>
        <v>0.5</v>
      </c>
      <c r="P49" s="26">
        <f>IFERROR(__xludf.DUMMYFUNCTION("""COMPUTED_VALUE"""),4.8)</f>
        <v>4.8</v>
      </c>
      <c r="Q49" s="27">
        <f>IFERROR(__xludf.DUMMYFUNCTION("""COMPUTED_VALUE"""),2.1)</f>
        <v>2.1</v>
      </c>
      <c r="R49" s="26">
        <f>IFERROR(__xludf.DUMMYFUNCTION("""COMPUTED_VALUE"""),1.1)</f>
        <v>1.1</v>
      </c>
      <c r="S49" s="26">
        <f>IFERROR(__xludf.DUMMYFUNCTION("""COMPUTED_VALUE"""),0.7)</f>
        <v>0.7</v>
      </c>
      <c r="T49" s="26">
        <f>IFERROR(__xludf.DUMMYFUNCTION("""COMPUTED_VALUE"""),52.17391304347826)</f>
        <v>52.17391304</v>
      </c>
      <c r="U49" s="26">
        <f>IFERROR(__xludf.DUMMYFUNCTION("""COMPUTED_VALUE"""),77.77777777777777)</f>
        <v>77.77777778</v>
      </c>
      <c r="V49" s="26">
        <f>IFERROR(__xludf.DUMMYFUNCTION("""COMPUTED_VALUE"""),0.8)</f>
        <v>0.8</v>
      </c>
      <c r="W49" s="23">
        <f>IFERROR(__xludf.DUMMYFUNCTION("""COMPUTED_VALUE"""),-2.117768781067329)</f>
        <v>-2.117768781</v>
      </c>
      <c r="X49" s="23">
        <f>IFERROR(__xludf.DUMMYFUNCTION("""COMPUTED_VALUE"""),-1.1133733411195912)</f>
        <v>-1.113373341</v>
      </c>
      <c r="Y49" s="23">
        <f>IFERROR(__xludf.DUMMYFUNCTION("""COMPUTED_VALUE"""),-0.5202691613232922)</f>
        <v>-0.5202691613</v>
      </c>
      <c r="Z49" s="23">
        <f>IFERROR(__xludf.DUMMYFUNCTION("""COMPUTED_VALUE"""),-0.91425818400909)</f>
        <v>-0.914258184</v>
      </c>
      <c r="AA49" s="23">
        <f>IFERROR(__xludf.DUMMYFUNCTION("""COMPUTED_VALUE"""),0.39233811965195126)</f>
        <v>0.3923381197</v>
      </c>
      <c r="AB49" s="23">
        <f>IFERROR(__xludf.DUMMYFUNCTION("""COMPUTED_VALUE"""),0.0)</f>
        <v>0</v>
      </c>
      <c r="AC49" s="23">
        <f>IFERROR(__xludf.DUMMYFUNCTION("""COMPUTED_VALUE"""),0.0)</f>
        <v>0</v>
      </c>
      <c r="AD49" s="23">
        <f>IFERROR(__xludf.DUMMYFUNCTION("""COMPUTED_VALUE"""),-0.0377686137591846)</f>
        <v>-0.03776861376</v>
      </c>
      <c r="AE49" s="23">
        <f>IFERROR(__xludf.DUMMYFUNCTION("""COMPUTED_VALUE"""),0.0)</f>
        <v>0</v>
      </c>
    </row>
    <row r="50">
      <c r="A50" s="12" t="str">
        <f>IF(VLOOKUP(H50,'Paste #BBall'!$C$2:$Q$201,3,)="BRO","BKN",IF(VLOOKUP(H50,'Paste #BBall'!$C$2:$Q$201,3,)="OKL","OKC",VLOOKUP(H50,'Paste #BBall'!$C$2:$Q$201,3,)))</f>
        <v>NYK</v>
      </c>
      <c r="B50" s="12">
        <f>VLOOKUP(A50,'Paste #BBall'!$A$204:$D$233,4,)</f>
        <v>3</v>
      </c>
      <c r="C50" s="12">
        <f>VLOOKUP(A50,'Paste #BBall'!$A$204:$C$233,3,)</f>
        <v>4</v>
      </c>
      <c r="D50" s="12">
        <f>VLOOKUP(A50,'Paste #BBall'!$A$204:$B$233,2,)</f>
        <v>2</v>
      </c>
      <c r="E50" s="12">
        <f t="shared" si="1"/>
        <v>9</v>
      </c>
      <c r="F50" s="12">
        <v>45.0</v>
      </c>
      <c r="G50" s="25">
        <f>IFERROR(__xludf.DUMMYFUNCTION("""COMPUTED_VALUE"""),177.0)</f>
        <v>177</v>
      </c>
      <c r="H50" s="25" t="str">
        <f>IFERROR(__xludf.DUMMYFUNCTION("""COMPUTED_VALUE"""),"Derrick Rose")</f>
        <v>Derrick Rose</v>
      </c>
      <c r="I50" s="25">
        <f>IFERROR(__xludf.DUMMYFUNCTION("""COMPUTED_VALUE"""),70.0)</f>
        <v>70</v>
      </c>
      <c r="J50" s="23" t="str">
        <f>IFERROR(__xludf.DUMMYFUNCTION("""COMPUTED_VALUE"""),"PG")</f>
        <v>PG</v>
      </c>
      <c r="K50" s="23">
        <f>IFERROR(__xludf.DUMMYFUNCTION("""COMPUTED_VALUE"""),-4.207808493872338)</f>
        <v>-4.207808494</v>
      </c>
      <c r="L50" s="23">
        <f>IFERROR(__xludf.DUMMYFUNCTION("""COMPUTED_VALUE"""),-4.4083667719402255)</f>
        <v>-4.408366772</v>
      </c>
      <c r="M50" s="26">
        <f>IFERROR(__xludf.DUMMYFUNCTION("""COMPUTED_VALUE"""),-0.20055827806788784)</f>
        <v>-0.2005582781</v>
      </c>
      <c r="N50" s="26">
        <f>IFERROR(__xludf.DUMMYFUNCTION("""COMPUTED_VALUE"""),10.7)</f>
        <v>10.7</v>
      </c>
      <c r="O50" s="26">
        <f>IFERROR(__xludf.DUMMYFUNCTION("""COMPUTED_VALUE"""),1.3)</f>
        <v>1.3</v>
      </c>
      <c r="P50" s="26">
        <f>IFERROR(__xludf.DUMMYFUNCTION("""COMPUTED_VALUE"""),2.7)</f>
        <v>2.7</v>
      </c>
      <c r="Q50" s="27">
        <f>IFERROR(__xludf.DUMMYFUNCTION("""COMPUTED_VALUE"""),3.6)</f>
        <v>3.6</v>
      </c>
      <c r="R50" s="26">
        <f>IFERROR(__xludf.DUMMYFUNCTION("""COMPUTED_VALUE"""),0.7)</f>
        <v>0.7</v>
      </c>
      <c r="S50" s="26">
        <f>IFERROR(__xludf.DUMMYFUNCTION("""COMPUTED_VALUE"""),0.5)</f>
        <v>0.5</v>
      </c>
      <c r="T50" s="26">
        <f>IFERROR(__xludf.DUMMYFUNCTION("""COMPUTED_VALUE"""),44.680851063829785)</f>
        <v>44.68085106</v>
      </c>
      <c r="U50" s="26">
        <f>IFERROR(__xludf.DUMMYFUNCTION("""COMPUTED_VALUE"""),91.66666666666667)</f>
        <v>91.66666667</v>
      </c>
      <c r="V50" s="26">
        <f>IFERROR(__xludf.DUMMYFUNCTION("""COMPUTED_VALUE"""),1.3)</f>
        <v>1.3</v>
      </c>
      <c r="W50" s="23">
        <f>IFERROR(__xludf.DUMMYFUNCTION("""COMPUTED_VALUE"""),-1.6650845344476204)</f>
        <v>-1.665084534</v>
      </c>
      <c r="X50" s="23">
        <f>IFERROR(__xludf.DUMMYFUNCTION("""COMPUTED_VALUE"""),-0.31340889108068076)</f>
        <v>-0.3134088911</v>
      </c>
      <c r="Y50" s="23">
        <f>IFERROR(__xludf.DUMMYFUNCTION("""COMPUTED_VALUE"""),-1.377521507705906)</f>
        <v>-1.377521508</v>
      </c>
      <c r="Z50" s="23">
        <f>IFERROR(__xludf.DUMMYFUNCTION("""COMPUTED_VALUE"""),-0.058218367812895515)</f>
        <v>-0.05821836781</v>
      </c>
      <c r="AA50" s="23">
        <f>IFERROR(__xludf.DUMMYFUNCTION("""COMPUTED_VALUE"""),-1.2428613161002313)</f>
        <v>-1.242861316</v>
      </c>
      <c r="AB50" s="23">
        <f>IFERROR(__xludf.DUMMYFUNCTION("""COMPUTED_VALUE"""),0.0)</f>
        <v>0</v>
      </c>
      <c r="AC50" s="23">
        <f>IFERROR(__xludf.DUMMYFUNCTION("""COMPUTED_VALUE"""),0.0)</f>
        <v>0</v>
      </c>
      <c r="AD50" s="23">
        <f>IFERROR(__xludf.DUMMYFUNCTION("""COMPUTED_VALUE"""),0.24872784520710842)</f>
        <v>0.2487278452</v>
      </c>
      <c r="AE50" s="23">
        <f>IFERROR(__xludf.DUMMYFUNCTION("""COMPUTED_VALUE"""),0.0)</f>
        <v>0</v>
      </c>
    </row>
    <row r="51">
      <c r="A51" s="12" t="str">
        <f>IF(VLOOKUP(H51,'Paste #BBall'!$C$2:$Q$201,3,)="BRO","BKN",IF(VLOOKUP(H51,'Paste #BBall'!$C$2:$Q$201,3,)="OKL","OKC",VLOOKUP(H51,'Paste #BBall'!$C$2:$Q$201,3,)))</f>
        <v>MIN</v>
      </c>
      <c r="B51" s="12">
        <f>VLOOKUP(A51,'Paste #BBall'!$A$204:$D$233,4,)</f>
        <v>3</v>
      </c>
      <c r="C51" s="12">
        <f>VLOOKUP(A51,'Paste #BBall'!$A$204:$C$233,3,)</f>
        <v>2</v>
      </c>
      <c r="D51" s="12">
        <f>VLOOKUP(A51,'Paste #BBall'!$A$204:$B$233,2,)</f>
        <v>4</v>
      </c>
      <c r="E51" s="12">
        <f t="shared" si="1"/>
        <v>9</v>
      </c>
      <c r="F51" s="12">
        <v>46.0</v>
      </c>
      <c r="G51" s="25">
        <f>IFERROR(__xludf.DUMMYFUNCTION("""COMPUTED_VALUE"""),178.0)</f>
        <v>178</v>
      </c>
      <c r="H51" s="25" t="str">
        <f>IFERROR(__xludf.DUMMYFUNCTION("""COMPUTED_VALUE"""),"Kyle Anderson")</f>
        <v>Kyle Anderson</v>
      </c>
      <c r="I51" s="25">
        <f>IFERROR(__xludf.DUMMYFUNCTION("""COMPUTED_VALUE"""),72.0)</f>
        <v>72</v>
      </c>
      <c r="J51" s="23" t="str">
        <f>IFERROR(__xludf.DUMMYFUNCTION("""COMPUTED_VALUE"""),"SF/PF")</f>
        <v>SF/PF</v>
      </c>
      <c r="K51" s="23">
        <f>IFERROR(__xludf.DUMMYFUNCTION("""COMPUTED_VALUE"""),-4.231513943777578)</f>
        <v>-4.231513944</v>
      </c>
      <c r="L51" s="23">
        <f>IFERROR(__xludf.DUMMYFUNCTION("""COMPUTED_VALUE"""),-4.431615762144243)</f>
        <v>-4.431615762</v>
      </c>
      <c r="M51" s="26">
        <f>IFERROR(__xludf.DUMMYFUNCTION("""COMPUTED_VALUE"""),-0.2001018183666643)</f>
        <v>-0.2001018184</v>
      </c>
      <c r="N51" s="26">
        <f>IFERROR(__xludf.DUMMYFUNCTION("""COMPUTED_VALUE"""),7.5)</f>
        <v>7.5</v>
      </c>
      <c r="O51" s="26">
        <f>IFERROR(__xludf.DUMMYFUNCTION("""COMPUTED_VALUE"""),0.5)</f>
        <v>0.5</v>
      </c>
      <c r="P51" s="26">
        <f>IFERROR(__xludf.DUMMYFUNCTION("""COMPUTED_VALUE"""),5.3)</f>
        <v>5.3</v>
      </c>
      <c r="Q51" s="27">
        <f>IFERROR(__xludf.DUMMYFUNCTION("""COMPUTED_VALUE"""),2.7)</f>
        <v>2.7</v>
      </c>
      <c r="R51" s="26">
        <f>IFERROR(__xludf.DUMMYFUNCTION("""COMPUTED_VALUE"""),1.1)</f>
        <v>1.1</v>
      </c>
      <c r="S51" s="26">
        <f>IFERROR(__xludf.DUMMYFUNCTION("""COMPUTED_VALUE"""),0.7)</f>
        <v>0.7</v>
      </c>
      <c r="T51" s="26">
        <f>IFERROR(__xludf.DUMMYFUNCTION("""COMPUTED_VALUE"""),44.11764705882353)</f>
        <v>44.11764706</v>
      </c>
      <c r="U51" s="26">
        <f>IFERROR(__xludf.DUMMYFUNCTION("""COMPUTED_VALUE"""),66.66666666666666)</f>
        <v>66.66666667</v>
      </c>
      <c r="V51" s="26">
        <f>IFERROR(__xludf.DUMMYFUNCTION("""COMPUTED_VALUE"""),1.0)</f>
        <v>1</v>
      </c>
      <c r="W51" s="23">
        <f>IFERROR(__xludf.DUMMYFUNCTION("""COMPUTED_VALUE"""),-2.5171960574964833)</f>
        <v>-2.517196057</v>
      </c>
      <c r="X51" s="23">
        <f>IFERROR(__xludf.DUMMYFUNCTION("""COMPUTED_VALUE"""),-1.1133733411195912)</f>
        <v>-1.113373341</v>
      </c>
      <c r="Y51" s="23">
        <f>IFERROR(__xludf.DUMMYFUNCTION("""COMPUTED_VALUE"""),-0.3161614598036222)</f>
        <v>-0.3161614598</v>
      </c>
      <c r="Z51" s="23">
        <f>IFERROR(__xludf.DUMMYFUNCTION("""COMPUTED_VALUE"""),-0.5718422575306121)</f>
        <v>-0.5718422575</v>
      </c>
      <c r="AA51" s="23">
        <f>IFERROR(__xludf.DUMMYFUNCTION("""COMPUTED_VALUE"""),0.39233811965195126)</f>
        <v>0.3923381197</v>
      </c>
      <c r="AB51" s="23">
        <f>IFERROR(__xludf.DUMMYFUNCTION("""COMPUTED_VALUE"""),0.0)</f>
        <v>0</v>
      </c>
      <c r="AC51" s="23">
        <f>IFERROR(__xludf.DUMMYFUNCTION("""COMPUTED_VALUE"""),0.0)</f>
        <v>0</v>
      </c>
      <c r="AD51" s="23">
        <f>IFERROR(__xludf.DUMMYFUNCTION("""COMPUTED_VALUE"""),-0.3053807658458848)</f>
        <v>-0.3053807658</v>
      </c>
      <c r="AE51" s="23">
        <f>IFERROR(__xludf.DUMMYFUNCTION("""COMPUTED_VALUE"""),0.0)</f>
        <v>0</v>
      </c>
    </row>
    <row r="52">
      <c r="A52" s="12" t="str">
        <f>IF(VLOOKUP(H52,'Paste #BBall'!$C$2:$Q$201,3,)="BRO","BKN",IF(VLOOKUP(H52,'Paste #BBall'!$C$2:$Q$201,3,)="OKL","OKC",VLOOKUP(H52,'Paste #BBall'!$C$2:$Q$201,3,)))</f>
        <v>PHI</v>
      </c>
      <c r="B52" s="12">
        <f>VLOOKUP(A52,'Paste #BBall'!$A$204:$D$233,4,)</f>
        <v>3</v>
      </c>
      <c r="C52" s="12">
        <f>VLOOKUP(A52,'Paste #BBall'!$A$204:$C$233,3,)</f>
        <v>4</v>
      </c>
      <c r="D52" s="12">
        <f>VLOOKUP(A52,'Paste #BBall'!$A$204:$B$233,2,)</f>
        <v>3</v>
      </c>
      <c r="E52" s="12">
        <f t="shared" si="1"/>
        <v>10</v>
      </c>
      <c r="F52" s="12">
        <v>47.0</v>
      </c>
      <c r="G52" s="25">
        <f>IFERROR(__xludf.DUMMYFUNCTION("""COMPUTED_VALUE"""),123.0)</f>
        <v>123</v>
      </c>
      <c r="H52" s="25" t="str">
        <f>IFERROR(__xludf.DUMMYFUNCTION("""COMPUTED_VALUE"""),"Matisse Thybulle")</f>
        <v>Matisse Thybulle</v>
      </c>
      <c r="I52" s="25">
        <f>IFERROR(__xludf.DUMMYFUNCTION("""COMPUTED_VALUE"""),60.0)</f>
        <v>60</v>
      </c>
      <c r="J52" s="23" t="str">
        <f>IFERROR(__xludf.DUMMYFUNCTION("""COMPUTED_VALUE"""),"PG/SG")</f>
        <v>PG/SG</v>
      </c>
      <c r="K52" s="23">
        <f>IFERROR(__xludf.DUMMYFUNCTION("""COMPUTED_VALUE"""),-2.6598152798889014)</f>
        <v>-2.65981528</v>
      </c>
      <c r="L52" s="23">
        <f>IFERROR(__xludf.DUMMYFUNCTION("""COMPUTED_VALUE"""),-4.4571208209177655)</f>
        <v>-4.457120821</v>
      </c>
      <c r="M52" s="26">
        <f>IFERROR(__xludf.DUMMYFUNCTION("""COMPUTED_VALUE"""),-1.797305541028864)</f>
        <v>-1.797305541</v>
      </c>
      <c r="N52" s="26">
        <f>IFERROR(__xludf.DUMMYFUNCTION("""COMPUTED_VALUE"""),5.7)</f>
        <v>5.7</v>
      </c>
      <c r="O52" s="26">
        <f>IFERROR(__xludf.DUMMYFUNCTION("""COMPUTED_VALUE"""),0.7)</f>
        <v>0.7</v>
      </c>
      <c r="P52" s="26">
        <f>IFERROR(__xludf.DUMMYFUNCTION("""COMPUTED_VALUE"""),2.3)</f>
        <v>2.3</v>
      </c>
      <c r="Q52" s="27">
        <f>IFERROR(__xludf.DUMMYFUNCTION("""COMPUTED_VALUE"""),1.1)</f>
        <v>1.1</v>
      </c>
      <c r="R52" s="26">
        <f>IFERROR(__xludf.DUMMYFUNCTION("""COMPUTED_VALUE"""),1.6)</f>
        <v>1.6</v>
      </c>
      <c r="S52" s="26">
        <f>IFERROR(__xludf.DUMMYFUNCTION("""COMPUTED_VALUE"""),1.1)</f>
        <v>1.1</v>
      </c>
      <c r="T52" s="26">
        <f>IFERROR(__xludf.DUMMYFUNCTION("""COMPUTED_VALUE"""),51.11111111111111)</f>
        <v>51.11111111</v>
      </c>
      <c r="U52" s="26">
        <f>IFERROR(__xludf.DUMMYFUNCTION("""COMPUTED_VALUE"""),83.33333333333334)</f>
        <v>83.33333333</v>
      </c>
      <c r="V52" s="26">
        <f>IFERROR(__xludf.DUMMYFUNCTION("""COMPUTED_VALUE"""),0.6)</f>
        <v>0.6</v>
      </c>
      <c r="W52" s="23">
        <f>IFERROR(__xludf.DUMMYFUNCTION("""COMPUTED_VALUE"""),-2.9965087892114695)</f>
        <v>-2.996508789</v>
      </c>
      <c r="X52" s="23">
        <f>IFERROR(__xludf.DUMMYFUNCTION("""COMPUTED_VALUE"""),-0.9133822286098637)</f>
        <v>-0.9133822286</v>
      </c>
      <c r="Y52" s="23">
        <f>IFERROR(__xludf.DUMMYFUNCTION("""COMPUTED_VALUE"""),-1.5408076689216421)</f>
        <v>-1.540807669</v>
      </c>
      <c r="Z52" s="23">
        <f>IFERROR(__xludf.DUMMYFUNCTION("""COMPUTED_VALUE"""),-1.484951394806553)</f>
        <v>-1.484951395</v>
      </c>
      <c r="AA52" s="23">
        <f>IFERROR(__xludf.DUMMYFUNCTION("""COMPUTED_VALUE"""),2.4363374143421788)</f>
        <v>2.436337414</v>
      </c>
      <c r="AB52" s="23">
        <f>IFERROR(__xludf.DUMMYFUNCTION("""COMPUTED_VALUE"""),0.0)</f>
        <v>0</v>
      </c>
      <c r="AC52" s="23">
        <f>IFERROR(__xludf.DUMMYFUNCTION("""COMPUTED_VALUE"""),0.0)</f>
        <v>0</v>
      </c>
      <c r="AD52" s="23">
        <f>IFERROR(__xludf.DUMMYFUNCTION("""COMPUTED_VALUE"""),0.04219184628958482)</f>
        <v>0.04219184629</v>
      </c>
      <c r="AE52" s="23">
        <f>IFERROR(__xludf.DUMMYFUNCTION("""COMPUTED_VALUE"""),0.0)</f>
        <v>0</v>
      </c>
    </row>
    <row r="53">
      <c r="A53" s="12" t="str">
        <f>IF(VLOOKUP(H53,'Paste #BBall'!$C$2:$Q$201,3,)="BRO","BKN",IF(VLOOKUP(H53,'Paste #BBall'!$C$2:$Q$201,3,)="OKL","OKC",VLOOKUP(H53,'Paste #BBall'!$C$2:$Q$201,3,)))</f>
        <v>PHI</v>
      </c>
      <c r="B53" s="12">
        <f>VLOOKUP(A53,'Paste #BBall'!$A$204:$D$233,4,)</f>
        <v>3</v>
      </c>
      <c r="C53" s="12">
        <f>VLOOKUP(A53,'Paste #BBall'!$A$204:$C$233,3,)</f>
        <v>4</v>
      </c>
      <c r="D53" s="12">
        <f>VLOOKUP(A53,'Paste #BBall'!$A$204:$B$233,2,)</f>
        <v>3</v>
      </c>
      <c r="E53" s="12">
        <f t="shared" si="1"/>
        <v>10</v>
      </c>
      <c r="F53" s="12">
        <v>48.0</v>
      </c>
      <c r="G53" s="25">
        <f>IFERROR(__xludf.DUMMYFUNCTION("""COMPUTED_VALUE"""),152.0)</f>
        <v>152</v>
      </c>
      <c r="H53" s="25" t="str">
        <f>IFERROR(__xludf.DUMMYFUNCTION("""COMPUTED_VALUE"""),"Paul Reed")</f>
        <v>Paul Reed</v>
      </c>
      <c r="I53" s="25">
        <f>IFERROR(__xludf.DUMMYFUNCTION("""COMPUTED_VALUE"""),69.0)</f>
        <v>69</v>
      </c>
      <c r="J53" s="23" t="str">
        <f>IFERROR(__xludf.DUMMYFUNCTION("""COMPUTED_VALUE"""),"PF")</f>
        <v>PF</v>
      </c>
      <c r="K53" s="23">
        <f>IFERROR(__xludf.DUMMYFUNCTION("""COMPUTED_VALUE"""),-3.6424822096561114)</f>
        <v>-3.64248221</v>
      </c>
      <c r="L53" s="23">
        <f>IFERROR(__xludf.DUMMYFUNCTION("""COMPUTED_VALUE"""),-4.608196123689421)</f>
        <v>-4.608196124</v>
      </c>
      <c r="M53" s="26">
        <f>IFERROR(__xludf.DUMMYFUNCTION("""COMPUTED_VALUE"""),-0.9657139140333095)</f>
        <v>-0.965713914</v>
      </c>
      <c r="N53" s="26">
        <f>IFERROR(__xludf.DUMMYFUNCTION("""COMPUTED_VALUE"""),5.6)</f>
        <v>5.6</v>
      </c>
      <c r="O53" s="26">
        <f>IFERROR(__xludf.DUMMYFUNCTION("""COMPUTED_VALUE"""),0.2)</f>
        <v>0.2</v>
      </c>
      <c r="P53" s="26">
        <f>IFERROR(__xludf.DUMMYFUNCTION("""COMPUTED_VALUE"""),4.5)</f>
        <v>4.5</v>
      </c>
      <c r="Q53" s="27">
        <f>IFERROR(__xludf.DUMMYFUNCTION("""COMPUTED_VALUE"""),0.7)</f>
        <v>0.7</v>
      </c>
      <c r="R53" s="26">
        <f>IFERROR(__xludf.DUMMYFUNCTION("""COMPUTED_VALUE"""),1.6)</f>
        <v>1.6</v>
      </c>
      <c r="S53" s="26">
        <f>IFERROR(__xludf.DUMMYFUNCTION("""COMPUTED_VALUE"""),0.7)</f>
        <v>0.7</v>
      </c>
      <c r="T53" s="26">
        <f>IFERROR(__xludf.DUMMYFUNCTION("""COMPUTED_VALUE"""),55.55555555555556)</f>
        <v>55.55555556</v>
      </c>
      <c r="U53" s="26">
        <f>IFERROR(__xludf.DUMMYFUNCTION("""COMPUTED_VALUE"""),57.14285714285715)</f>
        <v>57.14285714</v>
      </c>
      <c r="V53" s="26">
        <f>IFERROR(__xludf.DUMMYFUNCTION("""COMPUTED_VALUE"""),0.5)</f>
        <v>0.5</v>
      </c>
      <c r="W53" s="23">
        <f>IFERROR(__xludf.DUMMYFUNCTION("""COMPUTED_VALUE"""),-3.023137274306746)</f>
        <v>-3.023137274</v>
      </c>
      <c r="X53" s="23">
        <f>IFERROR(__xludf.DUMMYFUNCTION("""COMPUTED_VALUE"""),-1.4133600098841828)</f>
        <v>-1.41336001</v>
      </c>
      <c r="Y53" s="23">
        <f>IFERROR(__xludf.DUMMYFUNCTION("""COMPUTED_VALUE"""),-0.6427337822350941)</f>
        <v>-0.6427337822</v>
      </c>
      <c r="Z53" s="23">
        <f>IFERROR(__xludf.DUMMYFUNCTION("""COMPUTED_VALUE"""),-1.7132286791255382)</f>
        <v>-1.713228679</v>
      </c>
      <c r="AA53" s="23">
        <f>IFERROR(__xludf.DUMMYFUNCTION("""COMPUTED_VALUE"""),2.4363374143421788)</f>
        <v>2.436337414</v>
      </c>
      <c r="AB53" s="23">
        <f>IFERROR(__xludf.DUMMYFUNCTION("""COMPUTED_VALUE"""),0.0)</f>
        <v>0</v>
      </c>
      <c r="AC53" s="23">
        <f>IFERROR(__xludf.DUMMYFUNCTION("""COMPUTED_VALUE"""),0.0)</f>
        <v>0</v>
      </c>
      <c r="AD53" s="23">
        <f>IFERROR(__xludf.DUMMYFUNCTION("""COMPUTED_VALUE"""),-0.2520737924800385)</f>
        <v>-0.2520737925</v>
      </c>
      <c r="AE53" s="23">
        <f>IFERROR(__xludf.DUMMYFUNCTION("""COMPUTED_VALUE"""),0.0)</f>
        <v>0</v>
      </c>
    </row>
    <row r="54">
      <c r="A54" s="12" t="str">
        <f>IF(VLOOKUP(H54,'Paste #BBall'!$C$2:$Q$201,3,)="BRO","BKN",IF(VLOOKUP(H54,'Paste #BBall'!$C$2:$Q$201,3,)="OKL","OKC",VLOOKUP(H54,'Paste #BBall'!$C$2:$Q$201,3,)))</f>
        <v>BKN</v>
      </c>
      <c r="B54" s="12">
        <f>VLOOKUP(A54,'Paste #BBall'!$A$204:$D$233,4,)</f>
        <v>4</v>
      </c>
      <c r="C54" s="12">
        <f>VLOOKUP(A54,'Paste #BBall'!$A$204:$C$233,3,)</f>
        <v>4</v>
      </c>
      <c r="D54" s="12">
        <f>VLOOKUP(A54,'Paste #BBall'!$A$204:$B$233,2,)</f>
        <v>3</v>
      </c>
      <c r="E54" s="12">
        <f t="shared" si="1"/>
        <v>11</v>
      </c>
      <c r="F54" s="12">
        <v>49.0</v>
      </c>
      <c r="G54" s="25">
        <f>IFERROR(__xludf.DUMMYFUNCTION("""COMPUTED_VALUE"""),186.0)</f>
        <v>186</v>
      </c>
      <c r="H54" s="25" t="str">
        <f>IFERROR(__xludf.DUMMYFUNCTION("""COMPUTED_VALUE"""),"Royce O'Neale")</f>
        <v>Royce O'Neale</v>
      </c>
      <c r="I54" s="25">
        <f>IFERROR(__xludf.DUMMYFUNCTION("""COMPUTED_VALUE"""),60.0)</f>
        <v>60</v>
      </c>
      <c r="J54" s="23" t="str">
        <f>IFERROR(__xludf.DUMMYFUNCTION("""COMPUTED_VALUE"""),"SF/PF")</f>
        <v>SF/PF</v>
      </c>
      <c r="K54" s="23">
        <f>IFERROR(__xludf.DUMMYFUNCTION("""COMPUTED_VALUE"""),-4.583286013078305)</f>
        <v>-4.583286013</v>
      </c>
      <c r="L54" s="23">
        <f>IFERROR(__xludf.DUMMYFUNCTION("""COMPUTED_VALUE"""),-4.696844403394227)</f>
        <v>-4.696844403</v>
      </c>
      <c r="M54" s="26">
        <f>IFERROR(__xludf.DUMMYFUNCTION("""COMPUTED_VALUE"""),-0.11355839031592208)</f>
        <v>-0.1135583903</v>
      </c>
      <c r="N54" s="26">
        <f>IFERROR(__xludf.DUMMYFUNCTION("""COMPUTED_VALUE"""),6.6)</f>
        <v>6.6</v>
      </c>
      <c r="O54" s="26">
        <f>IFERROR(__xludf.DUMMYFUNCTION("""COMPUTED_VALUE"""),1.4)</f>
        <v>1.4</v>
      </c>
      <c r="P54" s="26">
        <f>IFERROR(__xludf.DUMMYFUNCTION("""COMPUTED_VALUE"""),4.2)</f>
        <v>4.2</v>
      </c>
      <c r="Q54" s="27">
        <f>IFERROR(__xludf.DUMMYFUNCTION("""COMPUTED_VALUE"""),2.2)</f>
        <v>2.2</v>
      </c>
      <c r="R54" s="26">
        <f>IFERROR(__xludf.DUMMYFUNCTION("""COMPUTED_VALUE"""),1.0)</f>
        <v>1</v>
      </c>
      <c r="S54" s="26">
        <f>IFERROR(__xludf.DUMMYFUNCTION("""COMPUTED_VALUE"""),0.4)</f>
        <v>0.4</v>
      </c>
      <c r="T54" s="26">
        <f>IFERROR(__xludf.DUMMYFUNCTION("""COMPUTED_VALUE"""),44.230769230769226)</f>
        <v>44.23076923</v>
      </c>
      <c r="U54" s="26">
        <f>IFERROR(__xludf.DUMMYFUNCTION("""COMPUTED_VALUE"""),71.42857142857143)</f>
        <v>71.42857143</v>
      </c>
      <c r="V54" s="26">
        <f>IFERROR(__xludf.DUMMYFUNCTION("""COMPUTED_VALUE"""),0.9)</f>
        <v>0.9</v>
      </c>
      <c r="W54" s="23">
        <f>IFERROR(__xludf.DUMMYFUNCTION("""COMPUTED_VALUE"""),-2.756852423353976)</f>
        <v>-2.756852423</v>
      </c>
      <c r="X54" s="23">
        <f>IFERROR(__xludf.DUMMYFUNCTION("""COMPUTED_VALUE"""),-0.2134133348258171)</f>
        <v>-0.2134133348</v>
      </c>
      <c r="Y54" s="23">
        <f>IFERROR(__xludf.DUMMYFUNCTION("""COMPUTED_VALUE"""),-0.765198403146896)</f>
        <v>-0.7651984031</v>
      </c>
      <c r="Z54" s="23">
        <f>IFERROR(__xludf.DUMMYFUNCTION("""COMPUTED_VALUE"""),-0.8571888629293436)</f>
        <v>-0.8571888629</v>
      </c>
      <c r="AA54" s="23">
        <f>IFERROR(__xludf.DUMMYFUNCTION("""COMPUTED_VALUE"""),-0.01646173928609459)</f>
        <v>-0.01646173929</v>
      </c>
      <c r="AB54" s="23">
        <f>IFERROR(__xludf.DUMMYFUNCTION("""COMPUTED_VALUE"""),0.0)</f>
        <v>0</v>
      </c>
      <c r="AC54" s="23">
        <f>IFERROR(__xludf.DUMMYFUNCTION("""COMPUTED_VALUE"""),0.0)</f>
        <v>0</v>
      </c>
      <c r="AD54" s="23">
        <f>IFERROR(__xludf.DUMMYFUNCTION("""COMPUTED_VALUE"""),-0.08772963985209994)</f>
        <v>-0.08772963985</v>
      </c>
      <c r="AE54" s="23">
        <f>IFERROR(__xludf.DUMMYFUNCTION("""COMPUTED_VALUE"""),0.0)</f>
        <v>0</v>
      </c>
    </row>
    <row r="55">
      <c r="A55" s="12" t="str">
        <f>IF(VLOOKUP(H55,'Paste #BBall'!$C$2:$Q$201,3,)="BRO","BKN",IF(VLOOKUP(H55,'Paste #BBall'!$C$2:$Q$201,3,)="OKL","OKC",VLOOKUP(H55,'Paste #BBall'!$C$2:$Q$201,3,)))</f>
        <v>WAS</v>
      </c>
      <c r="B55" s="12">
        <f>VLOOKUP(A55,'Paste #BBall'!$A$204:$D$233,4,)</f>
        <v>3</v>
      </c>
      <c r="C55" s="12">
        <f>VLOOKUP(A55,'Paste #BBall'!$A$204:$C$233,3,)</f>
        <v>4</v>
      </c>
      <c r="D55" s="12">
        <f>VLOOKUP(A55,'Paste #BBall'!$A$204:$B$233,2,)</f>
        <v>3</v>
      </c>
      <c r="E55" s="12">
        <f t="shared" si="1"/>
        <v>10</v>
      </c>
      <c r="F55" s="12">
        <v>50.0</v>
      </c>
      <c r="G55" s="25">
        <f>IFERROR(__xludf.DUMMYFUNCTION("""COMPUTED_VALUE"""),187.0)</f>
        <v>187</v>
      </c>
      <c r="H55" s="25" t="str">
        <f>IFERROR(__xludf.DUMMYFUNCTION("""COMPUTED_VALUE"""),"Deni Avdija")</f>
        <v>Deni Avdija</v>
      </c>
      <c r="I55" s="25">
        <f>IFERROR(__xludf.DUMMYFUNCTION("""COMPUTED_VALUE"""),72.0)</f>
        <v>72</v>
      </c>
      <c r="J55" s="23" t="str">
        <f>IFERROR(__xludf.DUMMYFUNCTION("""COMPUTED_VALUE"""),"SF/PF")</f>
        <v>SF/PF</v>
      </c>
      <c r="K55" s="23">
        <f>IFERROR(__xludf.DUMMYFUNCTION("""COMPUTED_VALUE"""),-4.63979458430623)</f>
        <v>-4.639794584</v>
      </c>
      <c r="L55" s="23">
        <f>IFERROR(__xludf.DUMMYFUNCTION("""COMPUTED_VALUE"""),-4.708487925723021)</f>
        <v>-4.708487926</v>
      </c>
      <c r="M55" s="26">
        <f>IFERROR(__xludf.DUMMYFUNCTION("""COMPUTED_VALUE"""),-0.06869334141679051)</f>
        <v>-0.06869334142</v>
      </c>
      <c r="N55" s="26">
        <f>IFERROR(__xludf.DUMMYFUNCTION("""COMPUTED_VALUE"""),10.1)</f>
        <v>10.1</v>
      </c>
      <c r="O55" s="26">
        <f>IFERROR(__xludf.DUMMYFUNCTION("""COMPUTED_VALUE"""),1.2)</f>
        <v>1.2</v>
      </c>
      <c r="P55" s="26">
        <f>IFERROR(__xludf.DUMMYFUNCTION("""COMPUTED_VALUE"""),5.4)</f>
        <v>5.4</v>
      </c>
      <c r="Q55" s="27">
        <f>IFERROR(__xludf.DUMMYFUNCTION("""COMPUTED_VALUE"""),2.1)</f>
        <v>2.1</v>
      </c>
      <c r="R55" s="26">
        <f>IFERROR(__xludf.DUMMYFUNCTION("""COMPUTED_VALUE"""),0.7)</f>
        <v>0.7</v>
      </c>
      <c r="S55" s="26">
        <f>IFERROR(__xludf.DUMMYFUNCTION("""COMPUTED_VALUE"""),0.5)</f>
        <v>0.5</v>
      </c>
      <c r="T55" s="26">
        <f>IFERROR(__xludf.DUMMYFUNCTION("""COMPUTED_VALUE"""),43.529411764705884)</f>
        <v>43.52941176</v>
      </c>
      <c r="U55" s="26">
        <f>IFERROR(__xludf.DUMMYFUNCTION("""COMPUTED_VALUE"""),77.77777777777777)</f>
        <v>77.77777778</v>
      </c>
      <c r="V55" s="26">
        <f>IFERROR(__xludf.DUMMYFUNCTION("""COMPUTED_VALUE"""),1.2)</f>
        <v>1.2</v>
      </c>
      <c r="W55" s="23">
        <f>IFERROR(__xludf.DUMMYFUNCTION("""COMPUTED_VALUE"""),-1.824855445019282)</f>
        <v>-1.824855445</v>
      </c>
      <c r="X55" s="23">
        <f>IFERROR(__xludf.DUMMYFUNCTION("""COMPUTED_VALUE"""),-0.41340444733554466)</f>
        <v>-0.4134044473</v>
      </c>
      <c r="Y55" s="23">
        <f>IFERROR(__xludf.DUMMYFUNCTION("""COMPUTED_VALUE"""),-0.27533991949968795)</f>
        <v>-0.2753399195</v>
      </c>
      <c r="Z55" s="23">
        <f>IFERROR(__xludf.DUMMYFUNCTION("""COMPUTED_VALUE"""),-0.91425818400909)</f>
        <v>-0.914258184</v>
      </c>
      <c r="AA55" s="23">
        <f>IFERROR(__xludf.DUMMYFUNCTION("""COMPUTED_VALUE"""),-1.2428613161002313)</f>
        <v>-1.242861316</v>
      </c>
      <c r="AB55" s="23">
        <f>IFERROR(__xludf.DUMMYFUNCTION("""COMPUTED_VALUE"""),0.0)</f>
        <v>0</v>
      </c>
      <c r="AC55" s="23">
        <f>IFERROR(__xludf.DUMMYFUNCTION("""COMPUTED_VALUE"""),0.0)</f>
        <v>0</v>
      </c>
      <c r="AD55" s="23">
        <f>IFERROR(__xludf.DUMMYFUNCTION("""COMPUTED_VALUE"""),-0.0377686137591846)</f>
        <v>-0.03776861376</v>
      </c>
      <c r="AE55" s="23">
        <f>IFERROR(__xludf.DUMMYFUNCTION("""COMPUTED_VALUE"""),0.0)</f>
        <v>0</v>
      </c>
    </row>
    <row r="56">
      <c r="A56" s="12" t="str">
        <f>IF(VLOOKUP(H56,'Paste #BBall'!$C$2:$Q$201,3,)="BRO","BKN",IF(VLOOKUP(H56,'Paste #BBall'!$C$2:$Q$201,3,)="OKL","OKC",VLOOKUP(H56,'Paste #BBall'!$C$2:$Q$201,3,)))</f>
        <v>MIN</v>
      </c>
      <c r="B56" s="12">
        <f>VLOOKUP(A56,'Paste #BBall'!$A$204:$D$233,4,)</f>
        <v>3</v>
      </c>
      <c r="C56" s="12">
        <f>VLOOKUP(A56,'Paste #BBall'!$A$204:$C$233,3,)</f>
        <v>2</v>
      </c>
      <c r="D56" s="12">
        <f>VLOOKUP(A56,'Paste #BBall'!$A$204:$B$233,2,)</f>
        <v>4</v>
      </c>
      <c r="E56" s="12">
        <f t="shared" si="1"/>
        <v>9</v>
      </c>
      <c r="F56" s="12">
        <v>51.0</v>
      </c>
      <c r="G56" s="25">
        <f>IFERROR(__xludf.DUMMYFUNCTION("""COMPUTED_VALUE"""),151.0)</f>
        <v>151</v>
      </c>
      <c r="H56" s="25" t="str">
        <f>IFERROR(__xludf.DUMMYFUNCTION("""COMPUTED_VALUE"""),"Jaden McDaniels")</f>
        <v>Jaden McDaniels</v>
      </c>
      <c r="I56" s="25">
        <f>IFERROR(__xludf.DUMMYFUNCTION("""COMPUTED_VALUE"""),76.0)</f>
        <v>76</v>
      </c>
      <c r="J56" s="23" t="str">
        <f>IFERROR(__xludf.DUMMYFUNCTION("""COMPUTED_VALUE"""),"SF")</f>
        <v>SF</v>
      </c>
      <c r="K56" s="23">
        <f>IFERROR(__xludf.DUMMYFUNCTION("""COMPUTED_VALUE"""),-3.5921321353011324)</f>
        <v>-3.592132135</v>
      </c>
      <c r="L56" s="23">
        <f>IFERROR(__xludf.DUMMYFUNCTION("""COMPUTED_VALUE"""),-4.838611852222199)</f>
        <v>-4.838611852</v>
      </c>
      <c r="M56" s="26">
        <f>IFERROR(__xludf.DUMMYFUNCTION("""COMPUTED_VALUE"""),-1.2464797169210664)</f>
        <v>-1.246479717</v>
      </c>
      <c r="N56" s="26">
        <f>IFERROR(__xludf.DUMMYFUNCTION("""COMPUTED_VALUE"""),10.8)</f>
        <v>10.8</v>
      </c>
      <c r="O56" s="26">
        <f>IFERROR(__xludf.DUMMYFUNCTION("""COMPUTED_VALUE"""),1.3)</f>
        <v>1.3</v>
      </c>
      <c r="P56" s="26">
        <f>IFERROR(__xludf.DUMMYFUNCTION("""COMPUTED_VALUE"""),4.6)</f>
        <v>4.6</v>
      </c>
      <c r="Q56" s="27">
        <f>IFERROR(__xludf.DUMMYFUNCTION("""COMPUTED_VALUE"""),1.3)</f>
        <v>1.3</v>
      </c>
      <c r="R56" s="26">
        <f>IFERROR(__xludf.DUMMYFUNCTION("""COMPUTED_VALUE"""),0.8)</f>
        <v>0.8</v>
      </c>
      <c r="S56" s="26">
        <f>IFERROR(__xludf.DUMMYFUNCTION("""COMPUTED_VALUE"""),1.0)</f>
        <v>1</v>
      </c>
      <c r="T56" s="26">
        <f>IFERROR(__xludf.DUMMYFUNCTION("""COMPUTED_VALUE"""),46.23655913978494)</f>
        <v>46.23655914</v>
      </c>
      <c r="U56" s="26">
        <f>IFERROR(__xludf.DUMMYFUNCTION("""COMPUTED_VALUE"""),75.0)</f>
        <v>75</v>
      </c>
      <c r="V56" s="26">
        <f>IFERROR(__xludf.DUMMYFUNCTION("""COMPUTED_VALUE"""),1.3)</f>
        <v>1.3</v>
      </c>
      <c r="W56" s="23">
        <f>IFERROR(__xludf.DUMMYFUNCTION("""COMPUTED_VALUE"""),-1.6384560493523432)</f>
        <v>-1.638456049</v>
      </c>
      <c r="X56" s="23">
        <f>IFERROR(__xludf.DUMMYFUNCTION("""COMPUTED_VALUE"""),-0.31340889108068076)</f>
        <v>-0.3134088911</v>
      </c>
      <c r="Y56" s="23">
        <f>IFERROR(__xludf.DUMMYFUNCTION("""COMPUTED_VALUE"""),-0.6019122419311602)</f>
        <v>-0.6019122419</v>
      </c>
      <c r="Z56" s="23">
        <f>IFERROR(__xludf.DUMMYFUNCTION("""COMPUTED_VALUE"""),-1.3708127526470602)</f>
        <v>-1.370812753</v>
      </c>
      <c r="AA56" s="23">
        <f>IFERROR(__xludf.DUMMYFUNCTION("""COMPUTED_VALUE"""),-0.8340614571621854)</f>
        <v>-0.8340614572</v>
      </c>
      <c r="AB56" s="23">
        <f>IFERROR(__xludf.DUMMYFUNCTION("""COMPUTED_VALUE"""),0.0)</f>
        <v>0</v>
      </c>
      <c r="AC56" s="23">
        <f>IFERROR(__xludf.DUMMYFUNCTION("""COMPUTED_VALUE"""),0.0)</f>
        <v>0</v>
      </c>
      <c r="AD56" s="23">
        <f>IFERROR(__xludf.DUMMYFUNCTION("""COMPUTED_VALUE"""),-0.0799604600487691)</f>
        <v>-0.07996046005</v>
      </c>
      <c r="AE56" s="23">
        <f>IFERROR(__xludf.DUMMYFUNCTION("""COMPUTED_VALUE"""),0.0)</f>
        <v>0</v>
      </c>
    </row>
    <row r="57">
      <c r="A57" s="12" t="str">
        <f>IF(VLOOKUP(H57,'Paste #BBall'!$C$2:$Q$201,3,)="BRO","BKN",IF(VLOOKUP(H57,'Paste #BBall'!$C$2:$Q$201,3,)="OKL","OKC",VLOOKUP(H57,'Paste #BBall'!$C$2:$Q$201,3,)))</f>
        <v>DAL</v>
      </c>
      <c r="B57" s="12">
        <f>VLOOKUP(A57,'Paste #BBall'!$A$204:$D$233,4,)</f>
        <v>3</v>
      </c>
      <c r="C57" s="12">
        <f>VLOOKUP(A57,'Paste #BBall'!$A$204:$C$233,3,)</f>
        <v>3</v>
      </c>
      <c r="D57" s="12">
        <f>VLOOKUP(A57,'Paste #BBall'!$A$204:$B$233,2,)</f>
        <v>3</v>
      </c>
      <c r="E57" s="12">
        <f t="shared" si="1"/>
        <v>9</v>
      </c>
      <c r="F57" s="12">
        <v>52.0</v>
      </c>
      <c r="G57" s="25">
        <f>IFERROR(__xludf.DUMMYFUNCTION("""COMPUTED_VALUE"""),196.0)</f>
        <v>196</v>
      </c>
      <c r="H57" s="25" t="str">
        <f>IFERROR(__xludf.DUMMYFUNCTION("""COMPUTED_VALUE"""),"Reggie Bullock")</f>
        <v>Reggie Bullock</v>
      </c>
      <c r="I57" s="25">
        <f>IFERROR(__xludf.DUMMYFUNCTION("""COMPUTED_VALUE"""),70.0)</f>
        <v>70</v>
      </c>
      <c r="J57" s="23" t="str">
        <f>IFERROR(__xludf.DUMMYFUNCTION("""COMPUTED_VALUE"""),"PG/SG")</f>
        <v>PG/SG</v>
      </c>
      <c r="K57" s="23">
        <f>IFERROR(__xludf.DUMMYFUNCTION("""COMPUTED_VALUE"""),-5.1230163107224564)</f>
        <v>-5.123016311</v>
      </c>
      <c r="L57" s="23">
        <f>IFERROR(__xludf.DUMMYFUNCTION("""COMPUTED_VALUE"""),-4.912657196568591)</f>
        <v>-4.912657197</v>
      </c>
      <c r="M57" s="26">
        <f>IFERROR(__xludf.DUMMYFUNCTION("""COMPUTED_VALUE"""),0.21035911415386543)</f>
        <v>0.2103591142</v>
      </c>
      <c r="N57" s="26">
        <f>IFERROR(__xludf.DUMMYFUNCTION("""COMPUTED_VALUE"""),10.1)</f>
        <v>10.1</v>
      </c>
      <c r="O57" s="26">
        <f>IFERROR(__xludf.DUMMYFUNCTION("""COMPUTED_VALUE"""),2.4)</f>
        <v>2.4</v>
      </c>
      <c r="P57" s="26">
        <f>IFERROR(__xludf.DUMMYFUNCTION("""COMPUTED_VALUE"""),3.8)</f>
        <v>3.8</v>
      </c>
      <c r="Q57" s="27">
        <f>IFERROR(__xludf.DUMMYFUNCTION("""COMPUTED_VALUE"""),1.3)</f>
        <v>1.3</v>
      </c>
      <c r="R57" s="26">
        <f>IFERROR(__xludf.DUMMYFUNCTION("""COMPUTED_VALUE"""),0.6)</f>
        <v>0.6</v>
      </c>
      <c r="S57" s="26">
        <f>IFERROR(__xludf.DUMMYFUNCTION("""COMPUTED_VALUE"""),0.2)</f>
        <v>0.2</v>
      </c>
      <c r="T57" s="26">
        <f>IFERROR(__xludf.DUMMYFUNCTION("""COMPUTED_VALUE"""),43.75)</f>
        <v>43.75</v>
      </c>
      <c r="U57" s="26">
        <f>IFERROR(__xludf.DUMMYFUNCTION("""COMPUTED_VALUE"""),85.71428571428572)</f>
        <v>85.71428571</v>
      </c>
      <c r="V57" s="26">
        <f>IFERROR(__xludf.DUMMYFUNCTION("""COMPUTED_VALUE"""),0.6)</f>
        <v>0.6</v>
      </c>
      <c r="W57" s="23">
        <f>IFERROR(__xludf.DUMMYFUNCTION("""COMPUTED_VALUE"""),-1.824855445019282)</f>
        <v>-1.824855445</v>
      </c>
      <c r="X57" s="23">
        <f>IFERROR(__xludf.DUMMYFUNCTION("""COMPUTED_VALUE"""),0.786542227722821)</f>
        <v>0.7865422277</v>
      </c>
      <c r="Y57" s="23">
        <f>IFERROR(__xludf.DUMMYFUNCTION("""COMPUTED_VALUE"""),-0.9284845643626322)</f>
        <v>-0.9284845644</v>
      </c>
      <c r="Z57" s="23">
        <f>IFERROR(__xludf.DUMMYFUNCTION("""COMPUTED_VALUE"""),-1.3708127526470602)</f>
        <v>-1.370812753</v>
      </c>
      <c r="AA57" s="23">
        <f>IFERROR(__xludf.DUMMYFUNCTION("""COMPUTED_VALUE"""),-1.6516611750382768)</f>
        <v>-1.651661175</v>
      </c>
      <c r="AB57" s="23">
        <f>IFERROR(__xludf.DUMMYFUNCTION("""COMPUTED_VALUE"""),0.0)</f>
        <v>0</v>
      </c>
      <c r="AC57" s="23">
        <f>IFERROR(__xludf.DUMMYFUNCTION("""COMPUTED_VALUE"""),0.0)</f>
        <v>0</v>
      </c>
      <c r="AD57" s="23">
        <f>IFERROR(__xludf.DUMMYFUNCTION("""COMPUTED_VALUE"""),0.07661451277583878)</f>
        <v>0.07661451278</v>
      </c>
      <c r="AE57" s="23">
        <f>IFERROR(__xludf.DUMMYFUNCTION("""COMPUTED_VALUE"""),0.0)</f>
        <v>0</v>
      </c>
    </row>
    <row r="58">
      <c r="A58" s="12" t="str">
        <f>IF(VLOOKUP(H58,'Paste #BBall'!$C$2:$Q$201,3,)="BRO","BKN",IF(VLOOKUP(H58,'Paste #BBall'!$C$2:$Q$201,3,)="OKL","OKC",VLOOKUP(H58,'Paste #BBall'!$C$2:$Q$201,3,)))</f>
        <v>CHI</v>
      </c>
      <c r="B58" s="12">
        <f>VLOOKUP(A58,'Paste #BBall'!$A$204:$D$233,4,)</f>
        <v>4</v>
      </c>
      <c r="C58" s="12">
        <f>VLOOKUP(A58,'Paste #BBall'!$A$204:$C$233,3,)</f>
        <v>2</v>
      </c>
      <c r="D58" s="12">
        <f>VLOOKUP(A58,'Paste #BBall'!$A$204:$B$233,2,)</f>
        <v>3</v>
      </c>
      <c r="E58" s="12">
        <f t="shared" si="1"/>
        <v>9</v>
      </c>
      <c r="F58" s="12">
        <v>53.0</v>
      </c>
      <c r="G58" s="25">
        <f>IFERROR(__xludf.DUMMYFUNCTION("""COMPUTED_VALUE"""),167.0)</f>
        <v>167</v>
      </c>
      <c r="H58" s="25" t="str">
        <f>IFERROR(__xludf.DUMMYFUNCTION("""COMPUTED_VALUE"""),"Andre Drummond")</f>
        <v>Andre Drummond</v>
      </c>
      <c r="I58" s="25">
        <f>IFERROR(__xludf.DUMMYFUNCTION("""COMPUTED_VALUE"""),68.0)</f>
        <v>68</v>
      </c>
      <c r="J58" s="23" t="str">
        <f>IFERROR(__xludf.DUMMYFUNCTION("""COMPUTED_VALUE"""),"C")</f>
        <v>C</v>
      </c>
      <c r="K58" s="23">
        <f>IFERROR(__xludf.DUMMYFUNCTION("""COMPUTED_VALUE"""),-3.9222817147077222)</f>
        <v>-3.922281715</v>
      </c>
      <c r="L58" s="23">
        <f>IFERROR(__xludf.DUMMYFUNCTION("""COMPUTED_VALUE"""),-5.0084175209007995)</f>
        <v>-5.008417521</v>
      </c>
      <c r="M58" s="26">
        <f>IFERROR(__xludf.DUMMYFUNCTION("""COMPUTED_VALUE"""),-1.0861358061930773)</f>
        <v>-1.086135806</v>
      </c>
      <c r="N58" s="26">
        <f>IFERROR(__xludf.DUMMYFUNCTION("""COMPUTED_VALUE"""),7.5)</f>
        <v>7.5</v>
      </c>
      <c r="O58" s="26">
        <f>IFERROR(__xludf.DUMMYFUNCTION("""COMPUTED_VALUE"""),0.0)</f>
        <v>0</v>
      </c>
      <c r="P58" s="26">
        <f>IFERROR(__xludf.DUMMYFUNCTION("""COMPUTED_VALUE"""),8.7)</f>
        <v>8.7</v>
      </c>
      <c r="Q58" s="27">
        <f>IFERROR(__xludf.DUMMYFUNCTION("""COMPUTED_VALUE"""),1.7)</f>
        <v>1.7</v>
      </c>
      <c r="R58" s="26">
        <f>IFERROR(__xludf.DUMMYFUNCTION("""COMPUTED_VALUE"""),1.0)</f>
        <v>1</v>
      </c>
      <c r="S58" s="26">
        <f>IFERROR(__xludf.DUMMYFUNCTION("""COMPUTED_VALUE"""),0.8)</f>
        <v>0.8</v>
      </c>
      <c r="T58" s="26">
        <f>IFERROR(__xludf.DUMMYFUNCTION("""COMPUTED_VALUE"""),58.18181818181819)</f>
        <v>58.18181818</v>
      </c>
      <c r="U58" s="26">
        <f>IFERROR(__xludf.DUMMYFUNCTION("""COMPUTED_VALUE"""),55.00000000000001)</f>
        <v>55</v>
      </c>
      <c r="V58" s="26">
        <f>IFERROR(__xludf.DUMMYFUNCTION("""COMPUTED_VALUE"""),1.5)</f>
        <v>1.5</v>
      </c>
      <c r="W58" s="23">
        <f>IFERROR(__xludf.DUMMYFUNCTION("""COMPUTED_VALUE"""),-2.5171960574964833)</f>
        <v>-2.517196057</v>
      </c>
      <c r="X58" s="23">
        <f>IFERROR(__xludf.DUMMYFUNCTION("""COMPUTED_VALUE"""),-1.6133511223939103)</f>
        <v>-1.613351122</v>
      </c>
      <c r="Y58" s="23">
        <f>IFERROR(__xludf.DUMMYFUNCTION("""COMPUTED_VALUE"""),1.0717709105301336)</f>
        <v>1.071770911</v>
      </c>
      <c r="Z58" s="23">
        <f>IFERROR(__xludf.DUMMYFUNCTION("""COMPUTED_VALUE"""),-1.1425354683280753)</f>
        <v>-1.142535468</v>
      </c>
      <c r="AA58" s="23">
        <f>IFERROR(__xludf.DUMMYFUNCTION("""COMPUTED_VALUE"""),-0.01646173928609459)</f>
        <v>-0.01646173929</v>
      </c>
      <c r="AB58" s="23">
        <f>IFERROR(__xludf.DUMMYFUNCTION("""COMPUTED_VALUE"""),0.0)</f>
        <v>0</v>
      </c>
      <c r="AC58" s="23">
        <f>IFERROR(__xludf.DUMMYFUNCTION("""COMPUTED_VALUE"""),0.0)</f>
        <v>0</v>
      </c>
      <c r="AD58" s="23">
        <f>IFERROR(__xludf.DUMMYFUNCTION("""COMPUTED_VALUE"""),-0.7906440439263698)</f>
        <v>-0.7906440439</v>
      </c>
      <c r="AE58" s="23">
        <f>IFERROR(__xludf.DUMMYFUNCTION("""COMPUTED_VALUE"""),0.0)</f>
        <v>0</v>
      </c>
    </row>
    <row r="59">
      <c r="A59" s="12" t="str">
        <f>IF(VLOOKUP(H59,'Paste #BBall'!$C$2:$Q$201,3,)="BRO","BKN",IF(VLOOKUP(H59,'Paste #BBall'!$C$2:$Q$201,3,)="OKL","OKC",VLOOKUP(H59,'Paste #BBall'!$C$2:$Q$201,3,)))</f>
        <v>POR</v>
      </c>
      <c r="B59" s="12">
        <f>VLOOKUP(A59,'Paste #BBall'!$A$204:$D$233,4,)</f>
        <v>4</v>
      </c>
      <c r="C59" s="12">
        <f>VLOOKUP(A59,'Paste #BBall'!$A$204:$C$233,3,)</f>
        <v>4</v>
      </c>
      <c r="D59" s="12">
        <f>VLOOKUP(A59,'Paste #BBall'!$A$204:$B$233,2,)</f>
        <v>3</v>
      </c>
      <c r="E59" s="12">
        <f t="shared" si="1"/>
        <v>11</v>
      </c>
      <c r="F59" s="12">
        <v>54.0</v>
      </c>
      <c r="G59" s="25">
        <f>IFERROR(__xludf.DUMMYFUNCTION("""COMPUTED_VALUE"""),153.0)</f>
        <v>153</v>
      </c>
      <c r="H59" s="25" t="str">
        <f>IFERROR(__xludf.DUMMYFUNCTION("""COMPUTED_VALUE"""),"Nassir Little")</f>
        <v>Nassir Little</v>
      </c>
      <c r="I59" s="25">
        <f>IFERROR(__xludf.DUMMYFUNCTION("""COMPUTED_VALUE"""),72.0)</f>
        <v>72</v>
      </c>
      <c r="J59" s="23" t="str">
        <f>IFERROR(__xludf.DUMMYFUNCTION("""COMPUTED_VALUE"""),"SF/PF")</f>
        <v>SF/PF</v>
      </c>
      <c r="K59" s="23">
        <f>IFERROR(__xludf.DUMMYFUNCTION("""COMPUTED_VALUE"""),-3.66883546230712)</f>
        <v>-3.668835462</v>
      </c>
      <c r="L59" s="23">
        <f>IFERROR(__xludf.DUMMYFUNCTION("""COMPUTED_VALUE"""),-5.159437805841848)</f>
        <v>-5.159437806</v>
      </c>
      <c r="M59" s="26">
        <f>IFERROR(__xludf.DUMMYFUNCTION("""COMPUTED_VALUE"""),-1.4906023435347278)</f>
        <v>-1.490602344</v>
      </c>
      <c r="N59" s="26">
        <f>IFERROR(__xludf.DUMMYFUNCTION("""COMPUTED_VALUE"""),10.4)</f>
        <v>10.4</v>
      </c>
      <c r="O59" s="26">
        <f>IFERROR(__xludf.DUMMYFUNCTION("""COMPUTED_VALUE"""),1.3)</f>
        <v>1.3</v>
      </c>
      <c r="P59" s="26">
        <f>IFERROR(__xludf.DUMMYFUNCTION("""COMPUTED_VALUE"""),5.9)</f>
        <v>5.9</v>
      </c>
      <c r="Q59" s="27">
        <f>IFERROR(__xludf.DUMMYFUNCTION("""COMPUTED_VALUE"""),1.4)</f>
        <v>1.4</v>
      </c>
      <c r="R59" s="26">
        <f>IFERROR(__xludf.DUMMYFUNCTION("""COMPUTED_VALUE"""),0.6)</f>
        <v>0.6</v>
      </c>
      <c r="S59" s="26">
        <f>IFERROR(__xludf.DUMMYFUNCTION("""COMPUTED_VALUE"""),1.0)</f>
        <v>1</v>
      </c>
      <c r="T59" s="26">
        <f>IFERROR(__xludf.DUMMYFUNCTION("""COMPUTED_VALUE"""),46.25)</f>
        <v>46.25</v>
      </c>
      <c r="U59" s="26">
        <f>IFERROR(__xludf.DUMMYFUNCTION("""COMPUTED_VALUE"""),77.27272727272727)</f>
        <v>77.27272727</v>
      </c>
      <c r="V59" s="26">
        <f>IFERROR(__xludf.DUMMYFUNCTION("""COMPUTED_VALUE"""),1.1)</f>
        <v>1.1</v>
      </c>
      <c r="W59" s="23">
        <f>IFERROR(__xludf.DUMMYFUNCTION("""COMPUTED_VALUE"""),-1.744969989733451)</f>
        <v>-1.74496999</v>
      </c>
      <c r="X59" s="23">
        <f>IFERROR(__xludf.DUMMYFUNCTION("""COMPUTED_VALUE"""),-0.31340889108068076)</f>
        <v>-0.3134088911</v>
      </c>
      <c r="Y59" s="23">
        <f>IFERROR(__xludf.DUMMYFUNCTION("""COMPUTED_VALUE"""),-0.07123221798001796)</f>
        <v>-0.07123221798</v>
      </c>
      <c r="Z59" s="23">
        <f>IFERROR(__xludf.DUMMYFUNCTION("""COMPUTED_VALUE"""),-1.313743431567314)</f>
        <v>-1.313743432</v>
      </c>
      <c r="AA59" s="23">
        <f>IFERROR(__xludf.DUMMYFUNCTION("""COMPUTED_VALUE"""),-1.6516611750382768)</f>
        <v>-1.651661175</v>
      </c>
      <c r="AB59" s="23">
        <f>IFERROR(__xludf.DUMMYFUNCTION("""COMPUTED_VALUE"""),0.0)</f>
        <v>0</v>
      </c>
      <c r="AC59" s="23">
        <f>IFERROR(__xludf.DUMMYFUNCTION("""COMPUTED_VALUE"""),0.0)</f>
        <v>0</v>
      </c>
      <c r="AD59" s="23">
        <f>IFERROR(__xludf.DUMMYFUNCTION("""COMPUTED_VALUE"""),-0.06442210044210782)</f>
        <v>-0.06442210044</v>
      </c>
      <c r="AE59" s="23">
        <f>IFERROR(__xludf.DUMMYFUNCTION("""COMPUTED_VALUE"""),0.0)</f>
        <v>0</v>
      </c>
    </row>
    <row r="60">
      <c r="A60" s="12" t="str">
        <f>IF(VLOOKUP(H60,'Paste #BBall'!$C$2:$Q$201,3,)="BRO","BKN",IF(VLOOKUP(H60,'Paste #BBall'!$C$2:$Q$201,3,)="OKL","OKC",VLOOKUP(H60,'Paste #BBall'!$C$2:$Q$201,3,)))</f>
        <v>SAS</v>
      </c>
      <c r="B60" s="12">
        <f>VLOOKUP(A60,'Paste #BBall'!$A$204:$D$233,4,)</f>
        <v>4</v>
      </c>
      <c r="C60" s="12">
        <f>VLOOKUP(A60,'Paste #BBall'!$A$204:$C$233,3,)</f>
        <v>2</v>
      </c>
      <c r="D60" s="12">
        <f>VLOOKUP(A60,'Paste #BBall'!$A$204:$B$233,2,)</f>
        <v>4</v>
      </c>
      <c r="E60" s="12">
        <f t="shared" si="1"/>
        <v>10</v>
      </c>
      <c r="F60" s="12">
        <v>55.0</v>
      </c>
      <c r="G60" s="25">
        <f>IFERROR(__xludf.DUMMYFUNCTION("""COMPUTED_VALUE"""),192.0)</f>
        <v>192</v>
      </c>
      <c r="H60" s="25" t="str">
        <f>IFERROR(__xludf.DUMMYFUNCTION("""COMPUTED_VALUE"""),"Josh Richardson")</f>
        <v>Josh Richardson</v>
      </c>
      <c r="I60" s="25">
        <f>IFERROR(__xludf.DUMMYFUNCTION("""COMPUTED_VALUE"""),73.0)</f>
        <v>73</v>
      </c>
      <c r="J60" s="23" t="str">
        <f>IFERROR(__xludf.DUMMYFUNCTION("""COMPUTED_VALUE"""),"SG/SF")</f>
        <v>SG/SF</v>
      </c>
      <c r="K60" s="23">
        <f>IFERROR(__xludf.DUMMYFUNCTION("""COMPUTED_VALUE"""),-4.990148132797363)</f>
        <v>-4.990148133</v>
      </c>
      <c r="L60" s="23">
        <f>IFERROR(__xludf.DUMMYFUNCTION("""COMPUTED_VALUE"""),-5.21765277894726)</f>
        <v>-5.217652779</v>
      </c>
      <c r="M60" s="26">
        <f>IFERROR(__xludf.DUMMYFUNCTION("""COMPUTED_VALUE"""),-0.22750464614989685)</f>
        <v>-0.2275046461</v>
      </c>
      <c r="N60" s="26">
        <f>IFERROR(__xludf.DUMMYFUNCTION("""COMPUTED_VALUE"""),9.7)</f>
        <v>9.7</v>
      </c>
      <c r="O60" s="26">
        <f>IFERROR(__xludf.DUMMYFUNCTION("""COMPUTED_VALUE"""),1.5)</f>
        <v>1.5</v>
      </c>
      <c r="P60" s="26">
        <f>IFERROR(__xludf.DUMMYFUNCTION("""COMPUTED_VALUE"""),2.6)</f>
        <v>2.6</v>
      </c>
      <c r="Q60" s="27">
        <f>IFERROR(__xludf.DUMMYFUNCTION("""COMPUTED_VALUE"""),1.7)</f>
        <v>1.7</v>
      </c>
      <c r="R60" s="26">
        <f>IFERROR(__xludf.DUMMYFUNCTION("""COMPUTED_VALUE"""),0.8)</f>
        <v>0.8</v>
      </c>
      <c r="S60" s="26">
        <f>IFERROR(__xludf.DUMMYFUNCTION("""COMPUTED_VALUE"""),0.4)</f>
        <v>0.4</v>
      </c>
      <c r="T60" s="26">
        <f>IFERROR(__xludf.DUMMYFUNCTION("""COMPUTED_VALUE"""),44.15584415584416)</f>
        <v>44.15584416</v>
      </c>
      <c r="U60" s="26">
        <f>IFERROR(__xludf.DUMMYFUNCTION("""COMPUTED_VALUE"""),87.49999999999999)</f>
        <v>87.5</v>
      </c>
      <c r="V60" s="26">
        <f>IFERROR(__xludf.DUMMYFUNCTION("""COMPUTED_VALUE"""),0.9)</f>
        <v>0.9</v>
      </c>
      <c r="W60" s="23">
        <f>IFERROR(__xludf.DUMMYFUNCTION("""COMPUTED_VALUE"""),-1.93136938540039)</f>
        <v>-1.931369385</v>
      </c>
      <c r="X60" s="23">
        <f>IFERROR(__xludf.DUMMYFUNCTION("""COMPUTED_VALUE"""),-0.1134177785709532)</f>
        <v>-0.1134177786</v>
      </c>
      <c r="Y60" s="23">
        <f>IFERROR(__xludf.DUMMYFUNCTION("""COMPUTED_VALUE"""),-1.41834304800984)</f>
        <v>-1.418343048</v>
      </c>
      <c r="Z60" s="23">
        <f>IFERROR(__xludf.DUMMYFUNCTION("""COMPUTED_VALUE"""),-1.1425354683280753)</f>
        <v>-1.142535468</v>
      </c>
      <c r="AA60" s="23">
        <f>IFERROR(__xludf.DUMMYFUNCTION("""COMPUTED_VALUE"""),-0.8340614571621854)</f>
        <v>-0.8340614572</v>
      </c>
      <c r="AB60" s="23">
        <f>IFERROR(__xludf.DUMMYFUNCTION("""COMPUTED_VALUE"""),0.0)</f>
        <v>0</v>
      </c>
      <c r="AC60" s="23">
        <f>IFERROR(__xludf.DUMMYFUNCTION("""COMPUTED_VALUE"""),0.0)</f>
        <v>0</v>
      </c>
      <c r="AD60" s="23">
        <f>IFERROR(__xludf.DUMMYFUNCTION("""COMPUTED_VALUE"""),0.22207435852418494)</f>
        <v>0.2220743585</v>
      </c>
      <c r="AE60" s="23">
        <f>IFERROR(__xludf.DUMMYFUNCTION("""COMPUTED_VALUE"""),0.0)</f>
        <v>0</v>
      </c>
    </row>
    <row r="61">
      <c r="A61" s="12" t="str">
        <f>IF(VLOOKUP(H61,'Paste #BBall'!$C$2:$Q$201,3,)="BRO","BKN",IF(VLOOKUP(H61,'Paste #BBall'!$C$2:$Q$201,3,)="OKL","OKC",VLOOKUP(H61,'Paste #BBall'!$C$2:$Q$201,3,)))</f>
        <v>ATL</v>
      </c>
      <c r="B61" s="12">
        <f>VLOOKUP(A61,'Paste #BBall'!$A$204:$D$233,4,)</f>
        <v>3</v>
      </c>
      <c r="C61" s="12">
        <f>VLOOKUP(A61,'Paste #BBall'!$A$204:$C$233,3,)</f>
        <v>4</v>
      </c>
      <c r="D61" s="12">
        <f>VLOOKUP(A61,'Paste #BBall'!$A$204:$B$233,2,)</f>
        <v>3</v>
      </c>
      <c r="E61" s="12">
        <f t="shared" si="1"/>
        <v>10</v>
      </c>
      <c r="F61" s="12">
        <v>56.0</v>
      </c>
      <c r="G61" s="25">
        <f>IFERROR(__xludf.DUMMYFUNCTION("""COMPUTED_VALUE"""),194.0)</f>
        <v>194</v>
      </c>
      <c r="H61" s="25" t="str">
        <f>IFERROR(__xludf.DUMMYFUNCTION("""COMPUTED_VALUE"""),"De'Andre Hunter")</f>
        <v>De'Andre Hunter</v>
      </c>
      <c r="I61" s="25">
        <f>IFERROR(__xludf.DUMMYFUNCTION("""COMPUTED_VALUE"""),70.0)</f>
        <v>70</v>
      </c>
      <c r="J61" s="23" t="str">
        <f>IFERROR(__xludf.DUMMYFUNCTION("""COMPUTED_VALUE"""),"SF/PF")</f>
        <v>SF/PF</v>
      </c>
      <c r="K61" s="23">
        <f>IFERROR(__xludf.DUMMYFUNCTION("""COMPUTED_VALUE"""),-5.090864323142862)</f>
        <v>-5.090864323</v>
      </c>
      <c r="L61" s="23">
        <f>IFERROR(__xludf.DUMMYFUNCTION("""COMPUTED_VALUE"""),-5.3003522505710245)</f>
        <v>-5.300352251</v>
      </c>
      <c r="M61" s="26">
        <f>IFERROR(__xludf.DUMMYFUNCTION("""COMPUTED_VALUE"""),-0.2094879274281629)</f>
        <v>-0.2094879274</v>
      </c>
      <c r="N61" s="26">
        <f>IFERROR(__xludf.DUMMYFUNCTION("""COMPUTED_VALUE"""),10.9)</f>
        <v>10.9</v>
      </c>
      <c r="O61" s="26">
        <f>IFERROR(__xludf.DUMMYFUNCTION("""COMPUTED_VALUE"""),1.5)</f>
        <v>1.5</v>
      </c>
      <c r="P61" s="26">
        <f>IFERROR(__xludf.DUMMYFUNCTION("""COMPUTED_VALUE"""),3.4)</f>
        <v>3.4</v>
      </c>
      <c r="Q61" s="27">
        <f>IFERROR(__xludf.DUMMYFUNCTION("""COMPUTED_VALUE"""),1.4)</f>
        <v>1.4</v>
      </c>
      <c r="R61" s="26">
        <f>IFERROR(__xludf.DUMMYFUNCTION("""COMPUTED_VALUE"""),0.7)</f>
        <v>0.7</v>
      </c>
      <c r="S61" s="26">
        <f>IFERROR(__xludf.DUMMYFUNCTION("""COMPUTED_VALUE"""),0.4)</f>
        <v>0.4</v>
      </c>
      <c r="T61" s="26">
        <f>IFERROR(__xludf.DUMMYFUNCTION("""COMPUTED_VALUE"""),45.67901234567901)</f>
        <v>45.67901235</v>
      </c>
      <c r="U61" s="26">
        <f>IFERROR(__xludf.DUMMYFUNCTION("""COMPUTED_VALUE"""),80.76923076923077)</f>
        <v>80.76923077</v>
      </c>
      <c r="V61" s="26">
        <f>IFERROR(__xludf.DUMMYFUNCTION("""COMPUTED_VALUE"""),1.4)</f>
        <v>1.4</v>
      </c>
      <c r="W61" s="23">
        <f>IFERROR(__xludf.DUMMYFUNCTION("""COMPUTED_VALUE"""),-1.6118275642570663)</f>
        <v>-1.611827564</v>
      </c>
      <c r="X61" s="23">
        <f>IFERROR(__xludf.DUMMYFUNCTION("""COMPUTED_VALUE"""),-0.1134177785709532)</f>
        <v>-0.1134177786</v>
      </c>
      <c r="Y61" s="23">
        <f>IFERROR(__xludf.DUMMYFUNCTION("""COMPUTED_VALUE"""),-1.0917707255783682)</f>
        <v>-1.091770726</v>
      </c>
      <c r="Z61" s="23">
        <f>IFERROR(__xludf.DUMMYFUNCTION("""COMPUTED_VALUE"""),-1.313743431567314)</f>
        <v>-1.313743432</v>
      </c>
      <c r="AA61" s="23">
        <f>IFERROR(__xludf.DUMMYFUNCTION("""COMPUTED_VALUE"""),-1.2428613161002313)</f>
        <v>-1.242861316</v>
      </c>
      <c r="AB61" s="23">
        <f>IFERROR(__xludf.DUMMYFUNCTION("""COMPUTED_VALUE"""),0.0)</f>
        <v>0</v>
      </c>
      <c r="AC61" s="23">
        <f>IFERROR(__xludf.DUMMYFUNCTION("""COMPUTED_VALUE"""),0.0)</f>
        <v>0</v>
      </c>
      <c r="AD61" s="23">
        <f>IFERROR(__xludf.DUMMYFUNCTION("""COMPUTED_VALUE"""),0.07326856550290839)</f>
        <v>0.0732685655</v>
      </c>
      <c r="AE61" s="23">
        <f>IFERROR(__xludf.DUMMYFUNCTION("""COMPUTED_VALUE"""),0.0)</f>
        <v>0</v>
      </c>
    </row>
    <row r="62">
      <c r="A62" s="12" t="str">
        <f>IF(VLOOKUP(H62,'Paste #BBall'!$C$2:$Q$201,3,)="BRO","BKN",IF(VLOOKUP(H62,'Paste #BBall'!$C$2:$Q$201,3,)="OKL","OKC",VLOOKUP(H62,'Paste #BBall'!$C$2:$Q$201,3,)))</f>
        <v>GSW</v>
      </c>
      <c r="B62" s="12">
        <f>VLOOKUP(A62,'Paste #BBall'!$A$204:$D$233,4,)</f>
        <v>4</v>
      </c>
      <c r="C62" s="12">
        <f>VLOOKUP(A62,'Paste #BBall'!$A$204:$C$233,3,)</f>
        <v>3</v>
      </c>
      <c r="D62" s="12">
        <f>VLOOKUP(A62,'Paste #BBall'!$A$204:$B$233,2,)</f>
        <v>4</v>
      </c>
      <c r="E62" s="12">
        <f t="shared" si="1"/>
        <v>11</v>
      </c>
      <c r="F62" s="12">
        <v>57.0</v>
      </c>
      <c r="G62" s="25">
        <f>IFERROR(__xludf.DUMMYFUNCTION("""COMPUTED_VALUE"""),193.0)</f>
        <v>193</v>
      </c>
      <c r="H62" s="25" t="str">
        <f>IFERROR(__xludf.DUMMYFUNCTION("""COMPUTED_VALUE"""),"Jonathan Kuminga")</f>
        <v>Jonathan Kuminga</v>
      </c>
      <c r="I62" s="25">
        <f>IFERROR(__xludf.DUMMYFUNCTION("""COMPUTED_VALUE"""),67.0)</f>
        <v>67</v>
      </c>
      <c r="J62" s="23" t="str">
        <f>IFERROR(__xludf.DUMMYFUNCTION("""COMPUTED_VALUE"""),"SF/PF")</f>
        <v>SF/PF</v>
      </c>
      <c r="K62" s="23">
        <f>IFERROR(__xludf.DUMMYFUNCTION("""COMPUTED_VALUE"""),-5.010005119403756)</f>
        <v>-5.010005119</v>
      </c>
      <c r="L62" s="23">
        <f>IFERROR(__xludf.DUMMYFUNCTION("""COMPUTED_VALUE"""),-5.327040185232659)</f>
        <v>-5.327040185</v>
      </c>
      <c r="M62" s="26">
        <f>IFERROR(__xludf.DUMMYFUNCTION("""COMPUTED_VALUE"""),-0.31703506582890295)</f>
        <v>-0.3170350658</v>
      </c>
      <c r="N62" s="26">
        <f>IFERROR(__xludf.DUMMYFUNCTION("""COMPUTED_VALUE"""),12.9)</f>
        <v>12.9</v>
      </c>
      <c r="O62" s="26">
        <f>IFERROR(__xludf.DUMMYFUNCTION("""COMPUTED_VALUE"""),1.1)</f>
        <v>1.1</v>
      </c>
      <c r="P62" s="26">
        <f>IFERROR(__xludf.DUMMYFUNCTION("""COMPUTED_VALUE"""),5.2)</f>
        <v>5.2</v>
      </c>
      <c r="Q62" s="27">
        <f>IFERROR(__xludf.DUMMYFUNCTION("""COMPUTED_VALUE"""),1.4)</f>
        <v>1.4</v>
      </c>
      <c r="R62" s="26">
        <f>IFERROR(__xludf.DUMMYFUNCTION("""COMPUTED_VALUE"""),0.6)</f>
        <v>0.6</v>
      </c>
      <c r="S62" s="26">
        <f>IFERROR(__xludf.DUMMYFUNCTION("""COMPUTED_VALUE"""),0.5)</f>
        <v>0.5</v>
      </c>
      <c r="T62" s="26">
        <f>IFERROR(__xludf.DUMMYFUNCTION("""COMPUTED_VALUE"""),50.526315789473685)</f>
        <v>50.52631579</v>
      </c>
      <c r="U62" s="26">
        <f>IFERROR(__xludf.DUMMYFUNCTION("""COMPUTED_VALUE"""),70.96774193548387)</f>
        <v>70.96774194</v>
      </c>
      <c r="V62" s="26">
        <f>IFERROR(__xludf.DUMMYFUNCTION("""COMPUTED_VALUE"""),1.7)</f>
        <v>1.7</v>
      </c>
      <c r="W62" s="23">
        <f>IFERROR(__xludf.DUMMYFUNCTION("""COMPUTED_VALUE"""),-1.0792578623515265)</f>
        <v>-1.079257862</v>
      </c>
      <c r="X62" s="23">
        <f>IFERROR(__xludf.DUMMYFUNCTION("""COMPUTED_VALUE"""),-0.5134000035904084)</f>
        <v>-0.5134000036</v>
      </c>
      <c r="Y62" s="23">
        <f>IFERROR(__xludf.DUMMYFUNCTION("""COMPUTED_VALUE"""),-0.35698300010755607)</f>
        <v>-0.3569830001</v>
      </c>
      <c r="Z62" s="23">
        <f>IFERROR(__xludf.DUMMYFUNCTION("""COMPUTED_VALUE"""),-1.313743431567314)</f>
        <v>-1.313743432</v>
      </c>
      <c r="AA62" s="23">
        <f>IFERROR(__xludf.DUMMYFUNCTION("""COMPUTED_VALUE"""),-1.6516611750382768)</f>
        <v>-1.651661175</v>
      </c>
      <c r="AB62" s="23">
        <f>IFERROR(__xludf.DUMMYFUNCTION("""COMPUTED_VALUE"""),0.0)</f>
        <v>0</v>
      </c>
      <c r="AC62" s="23">
        <f>IFERROR(__xludf.DUMMYFUNCTION("""COMPUTED_VALUE"""),0.0)</f>
        <v>0</v>
      </c>
      <c r="AD62" s="23">
        <f>IFERROR(__xludf.DUMMYFUNCTION("""COMPUTED_VALUE"""),-0.4119947125775767)</f>
        <v>-0.4119947126</v>
      </c>
      <c r="AE62" s="23">
        <f>IFERROR(__xludf.DUMMYFUNCTION("""COMPUTED_VALUE"""),0.0)</f>
        <v>0</v>
      </c>
    </row>
    <row r="63">
      <c r="A63" s="12" t="str">
        <f>IF(VLOOKUP(H63,'Paste #BBall'!$C$2:$Q$201,3,)="BRO","BKN",IF(VLOOKUP(H63,'Paste #BBall'!$C$2:$Q$201,3,)="OKL","OKC",VLOOKUP(H63,'Paste #BBall'!$C$2:$Q$201,3,)))</f>
        <v>CHA</v>
      </c>
      <c r="B63" s="12">
        <f>VLOOKUP(A63,'Paste #BBall'!$A$204:$D$233,4,)</f>
        <v>3</v>
      </c>
      <c r="C63" s="12">
        <f>VLOOKUP(A63,'Paste #BBall'!$A$204:$C$233,3,)</f>
        <v>4</v>
      </c>
      <c r="D63" s="12">
        <f>VLOOKUP(A63,'Paste #BBall'!$A$204:$B$233,2,)</f>
        <v>2</v>
      </c>
      <c r="E63" s="12">
        <f t="shared" si="1"/>
        <v>9</v>
      </c>
      <c r="F63" s="12">
        <v>58.0</v>
      </c>
      <c r="G63" s="25">
        <f>IFERROR(__xludf.DUMMYFUNCTION("""COMPUTED_VALUE"""),174.0)</f>
        <v>174</v>
      </c>
      <c r="H63" s="25" t="str">
        <f>IFERROR(__xludf.DUMMYFUNCTION("""COMPUTED_VALUE"""),"Mason Plumlee")</f>
        <v>Mason Plumlee</v>
      </c>
      <c r="I63" s="25">
        <f>IFERROR(__xludf.DUMMYFUNCTION("""COMPUTED_VALUE"""),76.0)</f>
        <v>76</v>
      </c>
      <c r="J63" s="23" t="str">
        <f>IFERROR(__xludf.DUMMYFUNCTION("""COMPUTED_VALUE"""),"C")</f>
        <v>C</v>
      </c>
      <c r="K63" s="23">
        <f>IFERROR(__xludf.DUMMYFUNCTION("""COMPUTED_VALUE"""),-4.128412651134322)</f>
        <v>-4.128412651</v>
      </c>
      <c r="L63" s="23">
        <f>IFERROR(__xludf.DUMMYFUNCTION("""COMPUTED_VALUE"""),-5.481866147679258)</f>
        <v>-5.481866148</v>
      </c>
      <c r="M63" s="26">
        <f>IFERROR(__xludf.DUMMYFUNCTION("""COMPUTED_VALUE"""),-1.3534534965449359)</f>
        <v>-1.353453497</v>
      </c>
      <c r="N63" s="26">
        <f>IFERROR(__xludf.DUMMYFUNCTION("""COMPUTED_VALUE"""),6.7)</f>
        <v>6.7</v>
      </c>
      <c r="O63" s="26">
        <f>IFERROR(__xludf.DUMMYFUNCTION("""COMPUTED_VALUE"""),0.0)</f>
        <v>0</v>
      </c>
      <c r="P63" s="26">
        <f>IFERROR(__xludf.DUMMYFUNCTION("""COMPUTED_VALUE"""),7.5)</f>
        <v>7.5</v>
      </c>
      <c r="Q63" s="27">
        <f>IFERROR(__xludf.DUMMYFUNCTION("""COMPUTED_VALUE"""),3.2)</f>
        <v>3.2</v>
      </c>
      <c r="R63" s="26">
        <f>IFERROR(__xludf.DUMMYFUNCTION("""COMPUTED_VALUE"""),0.8)</f>
        <v>0.8</v>
      </c>
      <c r="S63" s="26">
        <f>IFERROR(__xludf.DUMMYFUNCTION("""COMPUTED_VALUE"""),0.7)</f>
        <v>0.7</v>
      </c>
      <c r="T63" s="26">
        <f>IFERROR(__xludf.DUMMYFUNCTION("""COMPUTED_VALUE"""),64.44444444444444)</f>
        <v>64.44444444</v>
      </c>
      <c r="U63" s="26">
        <f>IFERROR(__xludf.DUMMYFUNCTION("""COMPUTED_VALUE"""),56.25)</f>
        <v>56.25</v>
      </c>
      <c r="V63" s="26">
        <f>IFERROR(__xludf.DUMMYFUNCTION("""COMPUTED_VALUE"""),1.4)</f>
        <v>1.4</v>
      </c>
      <c r="W63" s="23">
        <f>IFERROR(__xludf.DUMMYFUNCTION("""COMPUTED_VALUE"""),-2.7302239382586992)</f>
        <v>-2.730223938</v>
      </c>
      <c r="X63" s="23">
        <f>IFERROR(__xludf.DUMMYFUNCTION("""COMPUTED_VALUE"""),-1.6133511223939103)</f>
        <v>-1.613351122</v>
      </c>
      <c r="Y63" s="23">
        <f>IFERROR(__xludf.DUMMYFUNCTION("""COMPUTED_VALUE"""),0.5819124268829259)</f>
        <v>0.5819124269</v>
      </c>
      <c r="Z63" s="23">
        <f>IFERROR(__xludf.DUMMYFUNCTION("""COMPUTED_VALUE"""),-0.2864956521318806)</f>
        <v>-0.2864956521</v>
      </c>
      <c r="AA63" s="23">
        <f>IFERROR(__xludf.DUMMYFUNCTION("""COMPUTED_VALUE"""),-0.8340614571621854)</f>
        <v>-0.8340614572</v>
      </c>
      <c r="AB63" s="23">
        <f>IFERROR(__xludf.DUMMYFUNCTION("""COMPUTED_VALUE"""),0.0)</f>
        <v>0</v>
      </c>
      <c r="AC63" s="23">
        <f>IFERROR(__xludf.DUMMYFUNCTION("""COMPUTED_VALUE"""),0.0)</f>
        <v>0</v>
      </c>
      <c r="AD63" s="23">
        <f>IFERROR(__xludf.DUMMYFUNCTION("""COMPUTED_VALUE"""),-0.5996464046155081)</f>
        <v>-0.5996464046</v>
      </c>
      <c r="AE63" s="23">
        <f>IFERROR(__xludf.DUMMYFUNCTION("""COMPUTED_VALUE"""),0.0)</f>
        <v>0</v>
      </c>
    </row>
    <row r="64">
      <c r="A64" s="12" t="str">
        <f>IF(VLOOKUP(H64,'Paste #BBall'!$C$2:$Q$201,3,)="BRO","BKN",IF(VLOOKUP(H64,'Paste #BBall'!$C$2:$Q$201,3,)="OKL","OKC",VLOOKUP(H64,'Paste #BBall'!$C$2:$Q$201,3,)))</f>
        <v>ORL</v>
      </c>
      <c r="B64" s="12">
        <f>VLOOKUP(A64,'Paste #BBall'!$A$204:$D$233,4,)</f>
        <v>4</v>
      </c>
      <c r="C64" s="12">
        <f>VLOOKUP(A64,'Paste #BBall'!$A$204:$C$233,3,)</f>
        <v>3</v>
      </c>
      <c r="D64" s="12">
        <f>VLOOKUP(A64,'Paste #BBall'!$A$204:$B$233,2,)</f>
        <v>4</v>
      </c>
      <c r="E64" s="12">
        <f t="shared" si="1"/>
        <v>11</v>
      </c>
      <c r="F64" s="12">
        <v>59.0</v>
      </c>
      <c r="G64" s="25">
        <f>IFERROR(__xludf.DUMMYFUNCTION("""COMPUTED_VALUE"""),172.0)</f>
        <v>172</v>
      </c>
      <c r="H64" s="25" t="str">
        <f>IFERROR(__xludf.DUMMYFUNCTION("""COMPUTED_VALUE"""),"Jonathan Isaac")</f>
        <v>Jonathan Isaac</v>
      </c>
      <c r="I64" s="25">
        <f>IFERROR(__xludf.DUMMYFUNCTION("""COMPUTED_VALUE"""),70.0)</f>
        <v>70</v>
      </c>
      <c r="J64" s="23" t="str">
        <f>IFERROR(__xludf.DUMMYFUNCTION("""COMPUTED_VALUE"""),"SF/PF")</f>
        <v>SF/PF</v>
      </c>
      <c r="K64" s="23">
        <f>IFERROR(__xludf.DUMMYFUNCTION("""COMPUTED_VALUE"""),-4.049637275027518)</f>
        <v>-4.049637275</v>
      </c>
      <c r="L64" s="23">
        <f>IFERROR(__xludf.DUMMYFUNCTION("""COMPUTED_VALUE"""),-5.918110257582098)</f>
        <v>-5.918110258</v>
      </c>
      <c r="M64" s="26">
        <f>IFERROR(__xludf.DUMMYFUNCTION("""COMPUTED_VALUE"""),-1.8684729825545805)</f>
        <v>-1.868472983</v>
      </c>
      <c r="N64" s="26">
        <f>IFERROR(__xludf.DUMMYFUNCTION("""COMPUTED_VALUE"""),8.3)</f>
        <v>8.3</v>
      </c>
      <c r="O64" s="26">
        <f>IFERROR(__xludf.DUMMYFUNCTION("""COMPUTED_VALUE"""),0.6)</f>
        <v>0.6</v>
      </c>
      <c r="P64" s="26">
        <f>IFERROR(__xludf.DUMMYFUNCTION("""COMPUTED_VALUE"""),4.7)</f>
        <v>4.7</v>
      </c>
      <c r="Q64" s="27">
        <f>IFERROR(__xludf.DUMMYFUNCTION("""COMPUTED_VALUE"""),1.0)</f>
        <v>1</v>
      </c>
      <c r="R64" s="26">
        <f>IFERROR(__xludf.DUMMYFUNCTION("""COMPUTED_VALUE"""),0.9)</f>
        <v>0.9</v>
      </c>
      <c r="S64" s="26">
        <f>IFERROR(__xludf.DUMMYFUNCTION("""COMPUTED_VALUE"""),1.2)</f>
        <v>1.2</v>
      </c>
      <c r="T64" s="26">
        <f>IFERROR(__xludf.DUMMYFUNCTION("""COMPUTED_VALUE"""),45.714285714285715)</f>
        <v>45.71428571</v>
      </c>
      <c r="U64" s="26">
        <f>IFERROR(__xludf.DUMMYFUNCTION("""COMPUTED_VALUE"""),76.47058823529413)</f>
        <v>76.47058824</v>
      </c>
      <c r="V64" s="26">
        <f>IFERROR(__xludf.DUMMYFUNCTION("""COMPUTED_VALUE"""),1.0)</f>
        <v>1</v>
      </c>
      <c r="W64" s="23">
        <f>IFERROR(__xludf.DUMMYFUNCTION("""COMPUTED_VALUE"""),-2.3041681767342674)</f>
        <v>-2.304168177</v>
      </c>
      <c r="X64" s="23">
        <f>IFERROR(__xludf.DUMMYFUNCTION("""COMPUTED_VALUE"""),-1.0133777848647274)</f>
        <v>-1.013377785</v>
      </c>
      <c r="Y64" s="23">
        <f>IFERROR(__xludf.DUMMYFUNCTION("""COMPUTED_VALUE"""),-0.5610907016272261)</f>
        <v>-0.5610907016</v>
      </c>
      <c r="Z64" s="23">
        <f>IFERROR(__xludf.DUMMYFUNCTION("""COMPUTED_VALUE"""),-1.542020715886299)</f>
        <v>-1.542020716</v>
      </c>
      <c r="AA64" s="23">
        <f>IFERROR(__xludf.DUMMYFUNCTION("""COMPUTED_VALUE"""),-0.42526159822414)</f>
        <v>-0.4252615982</v>
      </c>
      <c r="AB64" s="23">
        <f>IFERROR(__xludf.DUMMYFUNCTION("""COMPUTED_VALUE"""),0.0)</f>
        <v>0</v>
      </c>
      <c r="AC64" s="23">
        <f>IFERROR(__xludf.DUMMYFUNCTION("""COMPUTED_VALUE"""),0.0)</f>
        <v>0</v>
      </c>
      <c r="AD64" s="23">
        <f>IFERROR(__xludf.DUMMYFUNCTION("""COMPUTED_VALUE"""),-0.07219128024543806)</f>
        <v>-0.07219128025</v>
      </c>
      <c r="AE64" s="23">
        <f>IFERROR(__xludf.DUMMYFUNCTION("""COMPUTED_VALUE"""),0.0)</f>
        <v>0</v>
      </c>
    </row>
    <row r="65">
      <c r="A65" s="12" t="str">
        <f>IF(VLOOKUP(H65,'Paste #BBall'!$C$2:$Q$201,3,)="BRO","BKN",IF(VLOOKUP(H65,'Paste #BBall'!$C$2:$Q$201,3,)="OKL","OKC",VLOOKUP(H65,'Paste #BBall'!$C$2:$Q$201,3,)))</f>
        <v>ORL</v>
      </c>
      <c r="B65" s="12">
        <f>VLOOKUP(A65,'Paste #BBall'!$A$204:$D$233,4,)</f>
        <v>4</v>
      </c>
      <c r="C65" s="12">
        <f>VLOOKUP(A65,'Paste #BBall'!$A$204:$C$233,3,)</f>
        <v>3</v>
      </c>
      <c r="D65" s="12">
        <f>VLOOKUP(A65,'Paste #BBall'!$A$204:$B$233,2,)</f>
        <v>4</v>
      </c>
      <c r="E65" s="12">
        <f t="shared" si="1"/>
        <v>11</v>
      </c>
      <c r="F65" s="12">
        <v>60.0</v>
      </c>
      <c r="G65" s="25">
        <f>IFERROR(__xludf.DUMMYFUNCTION("""COMPUTED_VALUE"""),157.0)</f>
        <v>157</v>
      </c>
      <c r="H65" s="25" t="str">
        <f>IFERROR(__xludf.DUMMYFUNCTION("""COMPUTED_VALUE"""),"Mo Bamba")</f>
        <v>Mo Bamba</v>
      </c>
      <c r="I65" s="25">
        <f>IFERROR(__xludf.DUMMYFUNCTION("""COMPUTED_VALUE"""),72.0)</f>
        <v>72</v>
      </c>
      <c r="J65" s="23" t="str">
        <f>IFERROR(__xludf.DUMMYFUNCTION("""COMPUTED_VALUE"""),"C")</f>
        <v>C</v>
      </c>
      <c r="K65" s="23">
        <f>IFERROR(__xludf.DUMMYFUNCTION("""COMPUTED_VALUE"""),-3.6982533563602717)</f>
        <v>-3.698253356</v>
      </c>
      <c r="L65" s="23">
        <f>IFERROR(__xludf.DUMMYFUNCTION("""COMPUTED_VALUE"""),-6.36423457447897)</f>
        <v>-6.364234574</v>
      </c>
      <c r="M65" s="26">
        <f>IFERROR(__xludf.DUMMYFUNCTION("""COMPUTED_VALUE"""),-2.665981218118698)</f>
        <v>-2.665981218</v>
      </c>
      <c r="N65" s="26">
        <f>IFERROR(__xludf.DUMMYFUNCTION("""COMPUTED_VALUE"""),8.6)</f>
        <v>8.6</v>
      </c>
      <c r="O65" s="26">
        <f>IFERROR(__xludf.DUMMYFUNCTION("""COMPUTED_VALUE"""),1.2)</f>
        <v>1.2</v>
      </c>
      <c r="P65" s="26">
        <f>IFERROR(__xludf.DUMMYFUNCTION("""COMPUTED_VALUE"""),6.5)</f>
        <v>6.5</v>
      </c>
      <c r="Q65" s="27">
        <f>IFERROR(__xludf.DUMMYFUNCTION("""COMPUTED_VALUE"""),1.0)</f>
        <v>1</v>
      </c>
      <c r="R65" s="26">
        <f>IFERROR(__xludf.DUMMYFUNCTION("""COMPUTED_VALUE"""),0.4)</f>
        <v>0.4</v>
      </c>
      <c r="S65" s="26">
        <f>IFERROR(__xludf.DUMMYFUNCTION("""COMPUTED_VALUE"""),1.2)</f>
        <v>1.2</v>
      </c>
      <c r="T65" s="26">
        <f>IFERROR(__xludf.DUMMYFUNCTION("""COMPUTED_VALUE"""),48.57142857142857)</f>
        <v>48.57142857</v>
      </c>
      <c r="U65" s="26">
        <f>IFERROR(__xludf.DUMMYFUNCTION("""COMPUTED_VALUE"""),87.49999999999999)</f>
        <v>87.5</v>
      </c>
      <c r="V65" s="26">
        <f>IFERROR(__xludf.DUMMYFUNCTION("""COMPUTED_VALUE"""),0.9)</f>
        <v>0.9</v>
      </c>
      <c r="W65" s="23">
        <f>IFERROR(__xludf.DUMMYFUNCTION("""COMPUTED_VALUE"""),-2.224282721448437)</f>
        <v>-2.224282721</v>
      </c>
      <c r="X65" s="23">
        <f>IFERROR(__xludf.DUMMYFUNCTION("""COMPUTED_VALUE"""),-0.41340444733554466)</f>
        <v>-0.4134044473</v>
      </c>
      <c r="Y65" s="23">
        <f>IFERROR(__xludf.DUMMYFUNCTION("""COMPUTED_VALUE"""),0.1736970238435859)</f>
        <v>0.1736970238</v>
      </c>
      <c r="Z65" s="23">
        <f>IFERROR(__xludf.DUMMYFUNCTION("""COMPUTED_VALUE"""),-1.542020715886299)</f>
        <v>-1.542020716</v>
      </c>
      <c r="AA65" s="23">
        <f>IFERROR(__xludf.DUMMYFUNCTION("""COMPUTED_VALUE"""),-2.4692608929143676)</f>
        <v>-2.469260893</v>
      </c>
      <c r="AB65" s="23">
        <f>IFERROR(__xludf.DUMMYFUNCTION("""COMPUTED_VALUE"""),0.0)</f>
        <v>0</v>
      </c>
      <c r="AC65" s="23">
        <f>IFERROR(__xludf.DUMMYFUNCTION("""COMPUTED_VALUE"""),0.0)</f>
        <v>0</v>
      </c>
      <c r="AD65" s="23">
        <f>IFERROR(__xludf.DUMMYFUNCTION("""COMPUTED_VALUE"""),0.11103717926209247)</f>
        <v>0.1110371793</v>
      </c>
      <c r="AE65" s="23">
        <f>IFERROR(__xludf.DUMMYFUNCTION("""COMPUTED_VALUE"""),0.0)</f>
        <v>0</v>
      </c>
    </row>
    <row r="66">
      <c r="A66" s="12" t="str">
        <f>IF(VLOOKUP(H66,'Paste #BBall'!$C$2:$Q$201,3,)="BRO","BKN",IF(VLOOKUP(H66,'Paste #BBall'!$C$2:$Q$201,3,)="OKL","OKC",VLOOKUP(H66,'Paste #BBall'!$C$2:$Q$201,3,)))</f>
        <v>BOS</v>
      </c>
      <c r="B66" s="12">
        <f>VLOOKUP(A66,'Paste #BBall'!$A$204:$D$233,4,)</f>
        <v>3</v>
      </c>
      <c r="C66" s="12">
        <f>VLOOKUP(A66,'Paste #BBall'!$A$204:$C$233,3,)</f>
        <v>3</v>
      </c>
      <c r="D66" s="12">
        <f>VLOOKUP(A66,'Paste #BBall'!$A$204:$B$233,2,)</f>
        <v>4</v>
      </c>
      <c r="E66" s="12">
        <f t="shared" si="1"/>
        <v>10</v>
      </c>
      <c r="F66" s="12">
        <v>61.0</v>
      </c>
      <c r="G66" s="25">
        <f>IFERROR(__xludf.DUMMYFUNCTION("""COMPUTED_VALUE"""),188.0)</f>
        <v>188</v>
      </c>
      <c r="H66" s="25" t="str">
        <f>IFERROR(__xludf.DUMMYFUNCTION("""COMPUTED_VALUE"""),"Grant Williams")</f>
        <v>Grant Williams</v>
      </c>
      <c r="I66" s="25">
        <f>IFERROR(__xludf.DUMMYFUNCTION("""COMPUTED_VALUE"""),70.0)</f>
        <v>70</v>
      </c>
      <c r="J66" s="23" t="str">
        <f>IFERROR(__xludf.DUMMYFUNCTION("""COMPUTED_VALUE"""),"PF")</f>
        <v>PF</v>
      </c>
      <c r="K66" s="23">
        <f>IFERROR(__xludf.DUMMYFUNCTION("""COMPUTED_VALUE"""),-4.6950780104385474)</f>
        <v>-4.69507801</v>
      </c>
      <c r="L66" s="23">
        <f>IFERROR(__xludf.DUMMYFUNCTION("""COMPUTED_VALUE"""),-6.555075466566812)</f>
        <v>-6.555075467</v>
      </c>
      <c r="M66" s="26">
        <f>IFERROR(__xludf.DUMMYFUNCTION("""COMPUTED_VALUE"""),-1.8599974561282648)</f>
        <v>-1.859997456</v>
      </c>
      <c r="N66" s="26">
        <f>IFERROR(__xludf.DUMMYFUNCTION("""COMPUTED_VALUE"""),8.5)</f>
        <v>8.5</v>
      </c>
      <c r="O66" s="26">
        <f>IFERROR(__xludf.DUMMYFUNCTION("""COMPUTED_VALUE"""),1.5)</f>
        <v>1.5</v>
      </c>
      <c r="P66" s="26">
        <f>IFERROR(__xludf.DUMMYFUNCTION("""COMPUTED_VALUE"""),3.8)</f>
        <v>3.8</v>
      </c>
      <c r="Q66" s="27">
        <f>IFERROR(__xludf.DUMMYFUNCTION("""COMPUTED_VALUE"""),1.1)</f>
        <v>1.1</v>
      </c>
      <c r="R66" s="26">
        <f>IFERROR(__xludf.DUMMYFUNCTION("""COMPUTED_VALUE"""),0.5)</f>
        <v>0.5</v>
      </c>
      <c r="S66" s="26">
        <f>IFERROR(__xludf.DUMMYFUNCTION("""COMPUTED_VALUE"""),0.8)</f>
        <v>0.8</v>
      </c>
      <c r="T66" s="26">
        <f>IFERROR(__xludf.DUMMYFUNCTION("""COMPUTED_VALUE"""),47.54098360655738)</f>
        <v>47.54098361</v>
      </c>
      <c r="U66" s="26">
        <f>IFERROR(__xludf.DUMMYFUNCTION("""COMPUTED_VALUE"""),92.3076923076923)</f>
        <v>92.30769231</v>
      </c>
      <c r="V66" s="26">
        <f>IFERROR(__xludf.DUMMYFUNCTION("""COMPUTED_VALUE"""),0.9)</f>
        <v>0.9</v>
      </c>
      <c r="W66" s="23">
        <f>IFERROR(__xludf.DUMMYFUNCTION("""COMPUTED_VALUE"""),-2.2509112065437136)</f>
        <v>-2.250911207</v>
      </c>
      <c r="X66" s="23">
        <f>IFERROR(__xludf.DUMMYFUNCTION("""COMPUTED_VALUE"""),-0.1134177785709532)</f>
        <v>-0.1134177786</v>
      </c>
      <c r="Y66" s="23">
        <f>IFERROR(__xludf.DUMMYFUNCTION("""COMPUTED_VALUE"""),-0.9284845643626322)</f>
        <v>-0.9284845644</v>
      </c>
      <c r="Z66" s="23">
        <f>IFERROR(__xludf.DUMMYFUNCTION("""COMPUTED_VALUE"""),-1.484951394806553)</f>
        <v>-1.484951395</v>
      </c>
      <c r="AA66" s="23">
        <f>IFERROR(__xludf.DUMMYFUNCTION("""COMPUTED_VALUE"""),-2.0604610339763223)</f>
        <v>-2.060461034</v>
      </c>
      <c r="AB66" s="23">
        <f>IFERROR(__xludf.DUMMYFUNCTION("""COMPUTED_VALUE"""),0.0)</f>
        <v>0</v>
      </c>
      <c r="AC66" s="23">
        <f>IFERROR(__xludf.DUMMYFUNCTION("""COMPUTED_VALUE"""),0.0)</f>
        <v>0</v>
      </c>
      <c r="AD66" s="23">
        <f>IFERROR(__xludf.DUMMYFUNCTION("""COMPUTED_VALUE"""),0.2831505116933621)</f>
        <v>0.2831505117</v>
      </c>
      <c r="AE66" s="23">
        <f>IFERROR(__xludf.DUMMYFUNCTION("""COMPUTED_VALUE"""),0.0)</f>
        <v>0</v>
      </c>
    </row>
    <row r="67">
      <c r="A67" s="12" t="str">
        <f>IF(VLOOKUP(H67,'Paste #BBall'!$C$2:$Q$201,3,)="BRO","BKN",IF(VLOOKUP(H67,'Paste #BBall'!$C$2:$Q$201,3,)="OKL","OKC",VLOOKUP(H67,'Paste #BBall'!$C$2:$Q$201,3,)))</f>
        <v>POR</v>
      </c>
      <c r="B67" s="12">
        <f>VLOOKUP(A67,'Paste #BBall'!$A$204:$D$233,4,)</f>
        <v>4</v>
      </c>
      <c r="C67" s="12">
        <f>VLOOKUP(A67,'Paste #BBall'!$A$204:$C$233,3,)</f>
        <v>4</v>
      </c>
      <c r="D67" s="12">
        <f>VLOOKUP(A67,'Paste #BBall'!$A$204:$B$233,2,)</f>
        <v>3</v>
      </c>
      <c r="E67" s="12">
        <f t="shared" si="1"/>
        <v>11</v>
      </c>
      <c r="F67" s="12">
        <v>62.0</v>
      </c>
      <c r="G67" s="25">
        <f>IFERROR(__xludf.DUMMYFUNCTION("""COMPUTED_VALUE"""),197.0)</f>
        <v>197</v>
      </c>
      <c r="H67" s="25" t="str">
        <f>IFERROR(__xludf.DUMMYFUNCTION("""COMPUTED_VALUE"""),"Trendon Watford")</f>
        <v>Trendon Watford</v>
      </c>
      <c r="I67" s="25">
        <f>IFERROR(__xludf.DUMMYFUNCTION("""COMPUTED_VALUE"""),69.0)</f>
        <v>69</v>
      </c>
      <c r="J67" s="23" t="str">
        <f>IFERROR(__xludf.DUMMYFUNCTION("""COMPUTED_VALUE"""),"PF")</f>
        <v>PF</v>
      </c>
      <c r="K67" s="23">
        <f>IFERROR(__xludf.DUMMYFUNCTION("""COMPUTED_VALUE"""),-5.260331128174739)</f>
        <v>-5.260331128</v>
      </c>
      <c r="L67" s="23">
        <f>IFERROR(__xludf.DUMMYFUNCTION("""COMPUTED_VALUE"""),-6.745842023067917)</f>
        <v>-6.745842023</v>
      </c>
      <c r="M67" s="26">
        <f>IFERROR(__xludf.DUMMYFUNCTION("""COMPUTED_VALUE"""),-1.485510894893178)</f>
        <v>-1.485510895</v>
      </c>
      <c r="N67" s="26">
        <f>IFERROR(__xludf.DUMMYFUNCTION("""COMPUTED_VALUE"""),8.7)</f>
        <v>8.7</v>
      </c>
      <c r="O67" s="26">
        <f>IFERROR(__xludf.DUMMYFUNCTION("""COMPUTED_VALUE"""),0.2)</f>
        <v>0.2</v>
      </c>
      <c r="P67" s="26">
        <f>IFERROR(__xludf.DUMMYFUNCTION("""COMPUTED_VALUE"""),4.8)</f>
        <v>4.8</v>
      </c>
      <c r="Q67" s="27">
        <f>IFERROR(__xludf.DUMMYFUNCTION("""COMPUTED_VALUE"""),1.9)</f>
        <v>1.9</v>
      </c>
      <c r="R67" s="26">
        <f>IFERROR(__xludf.DUMMYFUNCTION("""COMPUTED_VALUE"""),0.6)</f>
        <v>0.6</v>
      </c>
      <c r="S67" s="26">
        <f>IFERROR(__xludf.DUMMYFUNCTION("""COMPUTED_VALUE"""),0.7)</f>
        <v>0.7</v>
      </c>
      <c r="T67" s="26">
        <f>IFERROR(__xludf.DUMMYFUNCTION("""COMPUTED_VALUE"""),50.74626865671642)</f>
        <v>50.74626866</v>
      </c>
      <c r="U67" s="26">
        <f>IFERROR(__xludf.DUMMYFUNCTION("""COMPUTED_VALUE"""),80.95238095238095)</f>
        <v>80.95238095</v>
      </c>
      <c r="V67" s="26">
        <f>IFERROR(__xludf.DUMMYFUNCTION("""COMPUTED_VALUE"""),1.0)</f>
        <v>1</v>
      </c>
      <c r="W67" s="23">
        <f>IFERROR(__xludf.DUMMYFUNCTION("""COMPUTED_VALUE"""),-2.19765423635316)</f>
        <v>-2.197654236</v>
      </c>
      <c r="X67" s="23">
        <f>IFERROR(__xludf.DUMMYFUNCTION("""COMPUTED_VALUE"""),-1.4133600098841828)</f>
        <v>-1.41336001</v>
      </c>
      <c r="Y67" s="23">
        <f>IFERROR(__xludf.DUMMYFUNCTION("""COMPUTED_VALUE"""),-0.5202691613232922)</f>
        <v>-0.5202691613</v>
      </c>
      <c r="Z67" s="23">
        <f>IFERROR(__xludf.DUMMYFUNCTION("""COMPUTED_VALUE"""),-1.0283968261685825)</f>
        <v>-1.028396826</v>
      </c>
      <c r="AA67" s="23">
        <f>IFERROR(__xludf.DUMMYFUNCTION("""COMPUTED_VALUE"""),-1.6516611750382768)</f>
        <v>-1.651661175</v>
      </c>
      <c r="AB67" s="23">
        <f>IFERROR(__xludf.DUMMYFUNCTION("""COMPUTED_VALUE"""),0.0)</f>
        <v>0</v>
      </c>
      <c r="AC67" s="23">
        <f>IFERROR(__xludf.DUMMYFUNCTION("""COMPUTED_VALUE"""),0.0)</f>
        <v>0</v>
      </c>
      <c r="AD67" s="23">
        <f>IFERROR(__xludf.DUMMYFUNCTION("""COMPUTED_VALUE"""),0.0654993856995771)</f>
        <v>0.0654993857</v>
      </c>
      <c r="AE67" s="23">
        <f>IFERROR(__xludf.DUMMYFUNCTION("""COMPUTED_VALUE"""),0.0)</f>
        <v>0</v>
      </c>
    </row>
    <row r="68">
      <c r="A68" s="12" t="str">
        <f>IF(VLOOKUP(H68,'Paste #BBall'!$C$2:$Q$201,3,)="BRO","BKN",IF(VLOOKUP(H68,'Paste #BBall'!$C$2:$Q$201,3,)="OKL","OKC",VLOOKUP(H68,'Paste #BBall'!$C$2:$Q$201,3,)))</f>
        <v>NYK</v>
      </c>
      <c r="B68" s="12">
        <f>VLOOKUP(A68,'Paste #BBall'!$A$204:$D$233,4,)</f>
        <v>3</v>
      </c>
      <c r="C68" s="12">
        <f>VLOOKUP(A68,'Paste #BBall'!$A$204:$C$233,3,)</f>
        <v>4</v>
      </c>
      <c r="D68" s="12">
        <f>VLOOKUP(A68,'Paste #BBall'!$A$204:$B$233,2,)</f>
        <v>2</v>
      </c>
      <c r="E68" s="12">
        <f t="shared" si="1"/>
        <v>9</v>
      </c>
      <c r="F68" s="12">
        <v>63.0</v>
      </c>
      <c r="G68" s="25">
        <f>IFERROR(__xludf.DUMMYFUNCTION("""COMPUTED_VALUE"""),199.0)</f>
        <v>199</v>
      </c>
      <c r="H68" s="25" t="str">
        <f>IFERROR(__xludf.DUMMYFUNCTION("""COMPUTED_VALUE"""),"Obi Toppin")</f>
        <v>Obi Toppin</v>
      </c>
      <c r="I68" s="25">
        <f>IFERROR(__xludf.DUMMYFUNCTION("""COMPUTED_VALUE"""),72.0)</f>
        <v>72</v>
      </c>
      <c r="J68" s="23" t="str">
        <f>IFERROR(__xludf.DUMMYFUNCTION("""COMPUTED_VALUE"""),"PF")</f>
        <v>PF</v>
      </c>
      <c r="K68" s="23">
        <f>IFERROR(__xludf.DUMMYFUNCTION("""COMPUTED_VALUE"""),-5.623007218152929)</f>
        <v>-5.623007218</v>
      </c>
      <c r="L68" s="23">
        <f>IFERROR(__xludf.DUMMYFUNCTION("""COMPUTED_VALUE"""),-6.9660448910330155)</f>
        <v>-6.966044891</v>
      </c>
      <c r="M68" s="26">
        <f>IFERROR(__xludf.DUMMYFUNCTION("""COMPUTED_VALUE"""),-1.3430376728800866)</f>
        <v>-1.343037673</v>
      </c>
      <c r="N68" s="26">
        <f>IFERROR(__xludf.DUMMYFUNCTION("""COMPUTED_VALUE"""),10.9)</f>
        <v>10.9</v>
      </c>
      <c r="O68" s="26">
        <f>IFERROR(__xludf.DUMMYFUNCTION("""COMPUTED_VALUE"""),0.8)</f>
        <v>0.8</v>
      </c>
      <c r="P68" s="26">
        <f>IFERROR(__xludf.DUMMYFUNCTION("""COMPUTED_VALUE"""),4.6)</f>
        <v>4.6</v>
      </c>
      <c r="Q68" s="27">
        <f>IFERROR(__xludf.DUMMYFUNCTION("""COMPUTED_VALUE"""),1.3)</f>
        <v>1.3</v>
      </c>
      <c r="R68" s="26">
        <f>IFERROR(__xludf.DUMMYFUNCTION("""COMPUTED_VALUE"""),0.4)</f>
        <v>0.4</v>
      </c>
      <c r="S68" s="26">
        <f>IFERROR(__xludf.DUMMYFUNCTION("""COMPUTED_VALUE"""),0.6)</f>
        <v>0.6</v>
      </c>
      <c r="T68" s="26">
        <f>IFERROR(__xludf.DUMMYFUNCTION("""COMPUTED_VALUE"""),52.5)</f>
        <v>52.5</v>
      </c>
      <c r="U68" s="26">
        <f>IFERROR(__xludf.DUMMYFUNCTION("""COMPUTED_VALUE"""),76.19047619047619)</f>
        <v>76.19047619</v>
      </c>
      <c r="V68" s="26">
        <f>IFERROR(__xludf.DUMMYFUNCTION("""COMPUTED_VALUE"""),1.0)</f>
        <v>1</v>
      </c>
      <c r="W68" s="23">
        <f>IFERROR(__xludf.DUMMYFUNCTION("""COMPUTED_VALUE"""),-1.6118275642570663)</f>
        <v>-1.611827564</v>
      </c>
      <c r="X68" s="23">
        <f>IFERROR(__xludf.DUMMYFUNCTION("""COMPUTED_VALUE"""),-0.8133866723549998)</f>
        <v>-0.8133866724</v>
      </c>
      <c r="Y68" s="23">
        <f>IFERROR(__xludf.DUMMYFUNCTION("""COMPUTED_VALUE"""),-0.6019122419311602)</f>
        <v>-0.6019122419</v>
      </c>
      <c r="Z68" s="23">
        <f>IFERROR(__xludf.DUMMYFUNCTION("""COMPUTED_VALUE"""),-1.3708127526470602)</f>
        <v>-1.370812753</v>
      </c>
      <c r="AA68" s="23">
        <f>IFERROR(__xludf.DUMMYFUNCTION("""COMPUTED_VALUE"""),-2.4692608929143676)</f>
        <v>-2.469260893</v>
      </c>
      <c r="AB68" s="23">
        <f>IFERROR(__xludf.DUMMYFUNCTION("""COMPUTED_VALUE"""),0.0)</f>
        <v>0</v>
      </c>
      <c r="AC68" s="23">
        <f>IFERROR(__xludf.DUMMYFUNCTION("""COMPUTED_VALUE"""),0.0)</f>
        <v>0</v>
      </c>
      <c r="AD68" s="23">
        <f>IFERROR(__xludf.DUMMYFUNCTION("""COMPUTED_VALUE"""),-0.0988447669283614)</f>
        <v>-0.09884476693</v>
      </c>
      <c r="AE68" s="23">
        <f>IFERROR(__xludf.DUMMYFUNCTION("""COMPUTED_VALUE"""),0.0)</f>
        <v>0</v>
      </c>
    </row>
    <row r="69">
      <c r="A69" s="12" t="str">
        <f>IF(VLOOKUP(H69,'Paste #BBall'!$C$2:$Q$201,3,)="BRO","BKN",IF(VLOOKUP(H69,'Paste #BBall'!$C$2:$Q$201,3,)="OKL","OKC",VLOOKUP(H69,'Paste #BBall'!$C$2:$Q$201,3,)))</f>
        <v>SAC</v>
      </c>
      <c r="B69" s="12">
        <f>VLOOKUP(A69,'Paste #BBall'!$A$204:$D$233,4,)</f>
        <v>3</v>
      </c>
      <c r="C69" s="12">
        <f>VLOOKUP(A69,'Paste #BBall'!$A$204:$C$233,3,)</f>
        <v>3</v>
      </c>
      <c r="D69" s="12">
        <f>VLOOKUP(A69,'Paste #BBall'!$A$204:$B$233,2,)</f>
        <v>4</v>
      </c>
      <c r="E69" s="12">
        <f t="shared" si="1"/>
        <v>10</v>
      </c>
      <c r="F69" s="12">
        <v>64.0</v>
      </c>
      <c r="G69" s="25">
        <f>IFERROR(__xludf.DUMMYFUNCTION("""COMPUTED_VALUE"""),171.0)</f>
        <v>171</v>
      </c>
      <c r="H69" s="25" t="str">
        <f>IFERROR(__xludf.DUMMYFUNCTION("""COMPUTED_VALUE"""),"Richaun Holmes")</f>
        <v>Richaun Holmes</v>
      </c>
      <c r="I69" s="25">
        <f>IFERROR(__xludf.DUMMYFUNCTION("""COMPUTED_VALUE"""),64.0)</f>
        <v>64</v>
      </c>
      <c r="J69" s="23" t="str">
        <f>IFERROR(__xludf.DUMMYFUNCTION("""COMPUTED_VALUE"""),"PF/C")</f>
        <v>PF/C</v>
      </c>
      <c r="K69" s="23">
        <f>IFERROR(__xludf.DUMMYFUNCTION("""COMPUTED_VALUE"""),-4.041045474905978)</f>
        <v>-4.041045475</v>
      </c>
      <c r="L69" s="23">
        <f>IFERROR(__xludf.DUMMYFUNCTION("""COMPUTED_VALUE"""),-7.167053183050866)</f>
        <v>-7.167053183</v>
      </c>
      <c r="M69" s="26">
        <f>IFERROR(__xludf.DUMMYFUNCTION("""COMPUTED_VALUE"""),-3.126007708144888)</f>
        <v>-3.126007708</v>
      </c>
      <c r="N69" s="26">
        <f>IFERROR(__xludf.DUMMYFUNCTION("""COMPUTED_VALUE"""),10.0)</f>
        <v>10</v>
      </c>
      <c r="O69" s="26">
        <f>IFERROR(__xludf.DUMMYFUNCTION("""COMPUTED_VALUE"""),0.0)</f>
        <v>0</v>
      </c>
      <c r="P69" s="26">
        <f>IFERROR(__xludf.DUMMYFUNCTION("""COMPUTED_VALUE"""),6.7)</f>
        <v>6.7</v>
      </c>
      <c r="Q69" s="27">
        <f>IFERROR(__xludf.DUMMYFUNCTION("""COMPUTED_VALUE"""),1.1)</f>
        <v>1.1</v>
      </c>
      <c r="R69" s="26">
        <f>IFERROR(__xludf.DUMMYFUNCTION("""COMPUTED_VALUE"""),0.4)</f>
        <v>0.4</v>
      </c>
      <c r="S69" s="26">
        <f>IFERROR(__xludf.DUMMYFUNCTION("""COMPUTED_VALUE"""),0.9)</f>
        <v>0.9</v>
      </c>
      <c r="T69" s="26">
        <f>IFERROR(__xludf.DUMMYFUNCTION("""COMPUTED_VALUE"""),66.15384615384615)</f>
        <v>66.15384615</v>
      </c>
      <c r="U69" s="26">
        <f>IFERROR(__xludf.DUMMYFUNCTION("""COMPUTED_VALUE"""),78.94736842105263)</f>
        <v>78.94736842</v>
      </c>
      <c r="V69" s="26">
        <f>IFERROR(__xludf.DUMMYFUNCTION("""COMPUTED_VALUE"""),1.2)</f>
        <v>1.2</v>
      </c>
      <c r="W69" s="23">
        <f>IFERROR(__xludf.DUMMYFUNCTION("""COMPUTED_VALUE"""),-1.851483930114559)</f>
        <v>-1.85148393</v>
      </c>
      <c r="X69" s="23">
        <f>IFERROR(__xludf.DUMMYFUNCTION("""COMPUTED_VALUE"""),-1.6133511223939103)</f>
        <v>-1.613351122</v>
      </c>
      <c r="Y69" s="23">
        <f>IFERROR(__xludf.DUMMYFUNCTION("""COMPUTED_VALUE"""),0.255340104451454)</f>
        <v>0.2553401045</v>
      </c>
      <c r="Z69" s="23">
        <f>IFERROR(__xludf.DUMMYFUNCTION("""COMPUTED_VALUE"""),-1.484951394806553)</f>
        <v>-1.484951395</v>
      </c>
      <c r="AA69" s="23">
        <f>IFERROR(__xludf.DUMMYFUNCTION("""COMPUTED_VALUE"""),-2.4692608929143676)</f>
        <v>-2.469260893</v>
      </c>
      <c r="AB69" s="23">
        <f>IFERROR(__xludf.DUMMYFUNCTION("""COMPUTED_VALUE"""),0.0)</f>
        <v>0</v>
      </c>
      <c r="AC69" s="23">
        <f>IFERROR(__xludf.DUMMYFUNCTION("""COMPUTED_VALUE"""),0.0)</f>
        <v>0</v>
      </c>
      <c r="AD69" s="23">
        <f>IFERROR(__xludf.DUMMYFUNCTION("""COMPUTED_VALUE"""),-0.0033459472729303564)</f>
        <v>-0.003345947273</v>
      </c>
      <c r="AE69" s="23">
        <f>IFERROR(__xludf.DUMMYFUNCTION("""COMPUTED_VALUE"""),0.0)</f>
        <v>0</v>
      </c>
    </row>
    <row r="70">
      <c r="A70" s="12" t="str">
        <f>IF(VLOOKUP(H70,'Paste #BBall'!$C$2:$Q$201,3,)="BRO","BKN",IF(VLOOKUP(H70,'Paste #BBall'!$C$2:$Q$201,3,)="OKL","OKC",VLOOKUP(H70,'Paste #BBall'!$C$2:$Q$201,3,)))</f>
        <v>LAL</v>
      </c>
      <c r="B70" s="12">
        <f>VLOOKUP(A70,'Paste #BBall'!$A$204:$D$233,4,)</f>
        <v>4</v>
      </c>
      <c r="C70" s="12">
        <f>VLOOKUP(A70,'Paste #BBall'!$A$204:$C$233,3,)</f>
        <v>3</v>
      </c>
      <c r="D70" s="12">
        <f>VLOOKUP(A70,'Paste #BBall'!$A$204:$B$233,2,)</f>
        <v>4</v>
      </c>
      <c r="E70" s="12">
        <f t="shared" si="1"/>
        <v>11</v>
      </c>
      <c r="F70" s="12">
        <v>65.0</v>
      </c>
      <c r="G70" s="25">
        <f>IFERROR(__xludf.DUMMYFUNCTION("""COMPUTED_VALUE"""),190.0)</f>
        <v>190</v>
      </c>
      <c r="H70" s="25" t="str">
        <f>IFERROR(__xludf.DUMMYFUNCTION("""COMPUTED_VALUE"""),"Damian Jones")</f>
        <v>Damian Jones</v>
      </c>
      <c r="I70" s="25">
        <f>IFERROR(__xludf.DUMMYFUNCTION("""COMPUTED_VALUE"""),65.0)</f>
        <v>65</v>
      </c>
      <c r="J70" s="23" t="str">
        <f>IFERROR(__xludf.DUMMYFUNCTION("""COMPUTED_VALUE"""),"C")</f>
        <v>C</v>
      </c>
      <c r="K70" s="23">
        <f>IFERROR(__xludf.DUMMYFUNCTION("""COMPUTED_VALUE"""),-4.7989353332678935)</f>
        <v>-4.798935333</v>
      </c>
      <c r="L70" s="23">
        <f>IFERROR(__xludf.DUMMYFUNCTION("""COMPUTED_VALUE"""),-7.261841594313899)</f>
        <v>-7.261841594</v>
      </c>
      <c r="M70" s="26">
        <f>IFERROR(__xludf.DUMMYFUNCTION("""COMPUTED_VALUE"""),-2.4629062610460055)</f>
        <v>-2.462906261</v>
      </c>
      <c r="N70" s="26">
        <f>IFERROR(__xludf.DUMMYFUNCTION("""COMPUTED_VALUE"""),9.1)</f>
        <v>9.1</v>
      </c>
      <c r="O70" s="26">
        <f>IFERROR(__xludf.DUMMYFUNCTION("""COMPUTED_VALUE"""),0.2)</f>
        <v>0.2</v>
      </c>
      <c r="P70" s="26">
        <f>IFERROR(__xludf.DUMMYFUNCTION("""COMPUTED_VALUE"""),4.9)</f>
        <v>4.9</v>
      </c>
      <c r="Q70" s="27">
        <f>IFERROR(__xludf.DUMMYFUNCTION("""COMPUTED_VALUE"""),1.3)</f>
        <v>1.3</v>
      </c>
      <c r="R70" s="26">
        <f>IFERROR(__xludf.DUMMYFUNCTION("""COMPUTED_VALUE"""),0.6)</f>
        <v>0.6</v>
      </c>
      <c r="S70" s="26">
        <f>IFERROR(__xludf.DUMMYFUNCTION("""COMPUTED_VALUE"""),0.9)</f>
        <v>0.9</v>
      </c>
      <c r="T70" s="26">
        <f>IFERROR(__xludf.DUMMYFUNCTION("""COMPUTED_VALUE"""),64.81481481481481)</f>
        <v>64.81481481</v>
      </c>
      <c r="U70" s="26">
        <f>IFERROR(__xludf.DUMMYFUNCTION("""COMPUTED_VALUE"""),73.07692307692307)</f>
        <v>73.07692308</v>
      </c>
      <c r="V70" s="26">
        <f>IFERROR(__xludf.DUMMYFUNCTION("""COMPUTED_VALUE"""),1.2)</f>
        <v>1.2</v>
      </c>
      <c r="W70" s="23">
        <f>IFERROR(__xludf.DUMMYFUNCTION("""COMPUTED_VALUE"""),-2.091140295972052)</f>
        <v>-2.091140296</v>
      </c>
      <c r="X70" s="23">
        <f>IFERROR(__xludf.DUMMYFUNCTION("""COMPUTED_VALUE"""),-1.4133600098841828)</f>
        <v>-1.41336001</v>
      </c>
      <c r="Y70" s="23">
        <f>IFERROR(__xludf.DUMMYFUNCTION("""COMPUTED_VALUE"""),-0.47944762101935795)</f>
        <v>-0.479447621</v>
      </c>
      <c r="Z70" s="23">
        <f>IFERROR(__xludf.DUMMYFUNCTION("""COMPUTED_VALUE"""),-1.3708127526470602)</f>
        <v>-1.370812753</v>
      </c>
      <c r="AA70" s="23">
        <f>IFERROR(__xludf.DUMMYFUNCTION("""COMPUTED_VALUE"""),-1.6516611750382768)</f>
        <v>-1.651661175</v>
      </c>
      <c r="AB70" s="23">
        <f>IFERROR(__xludf.DUMMYFUNCTION("""COMPUTED_VALUE"""),0.0)</f>
        <v>0</v>
      </c>
      <c r="AC70" s="23">
        <f>IFERROR(__xludf.DUMMYFUNCTION("""COMPUTED_VALUE"""),0.0)</f>
        <v>0</v>
      </c>
      <c r="AD70" s="23">
        <f>IFERROR(__xludf.DUMMYFUNCTION("""COMPUTED_VALUE"""),-0.2554197397529692)</f>
        <v>-0.2554197398</v>
      </c>
      <c r="AE70" s="23">
        <f>IFERROR(__xludf.DUMMYFUNCTION("""COMPUTED_VALUE"""),0.0)</f>
        <v>0</v>
      </c>
    </row>
    <row r="71">
      <c r="A71" s="12" t="str">
        <f>IF(VLOOKUP(H71,'Paste #BBall'!$C$2:$Q$201,3,)="BRO","BKN",IF(VLOOKUP(H71,'Paste #BBall'!$C$2:$Q$201,3,)="OKL","OKC",VLOOKUP(H71,'Paste #BBall'!$C$2:$Q$201,3,)))</f>
        <v>WAS</v>
      </c>
      <c r="B71" s="12">
        <f>VLOOKUP(A71,'Paste #BBall'!$A$204:$D$233,4,)</f>
        <v>3</v>
      </c>
      <c r="C71" s="12">
        <f>VLOOKUP(A71,'Paste #BBall'!$A$204:$C$233,3,)</f>
        <v>4</v>
      </c>
      <c r="D71" s="12">
        <f>VLOOKUP(A71,'Paste #BBall'!$A$204:$B$233,2,)</f>
        <v>3</v>
      </c>
      <c r="E71" s="12">
        <f t="shared" si="1"/>
        <v>10</v>
      </c>
      <c r="F71" s="12">
        <v>66.0</v>
      </c>
      <c r="G71" s="25">
        <f>IFERROR(__xludf.DUMMYFUNCTION("""COMPUTED_VALUE"""),160.0)</f>
        <v>160</v>
      </c>
      <c r="H71" s="25" t="str">
        <f>IFERROR(__xludf.DUMMYFUNCTION("""COMPUTED_VALUE"""),"Daniel Gafford")</f>
        <v>Daniel Gafford</v>
      </c>
      <c r="I71" s="25">
        <f>IFERROR(__xludf.DUMMYFUNCTION("""COMPUTED_VALUE"""),69.0)</f>
        <v>69</v>
      </c>
      <c r="J71" s="23" t="str">
        <f>IFERROR(__xludf.DUMMYFUNCTION("""COMPUTED_VALUE"""),"PF/C")</f>
        <v>PF/C</v>
      </c>
      <c r="K71" s="23">
        <f>IFERROR(__xludf.DUMMYFUNCTION("""COMPUTED_VALUE"""),-3.781995402157282)</f>
        <v>-3.781995402</v>
      </c>
      <c r="L71" s="23">
        <f>IFERROR(__xludf.DUMMYFUNCTION("""COMPUTED_VALUE"""),-7.338591846842746)</f>
        <v>-7.338591847</v>
      </c>
      <c r="M71" s="26">
        <f>IFERROR(__xludf.DUMMYFUNCTION("""COMPUTED_VALUE"""),-3.5565964446854643)</f>
        <v>-3.556596445</v>
      </c>
      <c r="N71" s="26">
        <f>IFERROR(__xludf.DUMMYFUNCTION("""COMPUTED_VALUE"""),9.7)</f>
        <v>9.7</v>
      </c>
      <c r="O71" s="26">
        <f>IFERROR(__xludf.DUMMYFUNCTION("""COMPUTED_VALUE"""),0.0)</f>
        <v>0</v>
      </c>
      <c r="P71" s="26">
        <f>IFERROR(__xludf.DUMMYFUNCTION("""COMPUTED_VALUE"""),6.4)</f>
        <v>6.4</v>
      </c>
      <c r="Q71" s="27">
        <f>IFERROR(__xludf.DUMMYFUNCTION("""COMPUTED_VALUE"""),1.0)</f>
        <v>1</v>
      </c>
      <c r="R71" s="26">
        <f>IFERROR(__xludf.DUMMYFUNCTION("""COMPUTED_VALUE"""),0.5)</f>
        <v>0.5</v>
      </c>
      <c r="S71" s="26">
        <f>IFERROR(__xludf.DUMMYFUNCTION("""COMPUTED_VALUE"""),1.4)</f>
        <v>1.4</v>
      </c>
      <c r="T71" s="26">
        <f>IFERROR(__xludf.DUMMYFUNCTION("""COMPUTED_VALUE"""),63.49206349206349)</f>
        <v>63.49206349</v>
      </c>
      <c r="U71" s="26">
        <f>IFERROR(__xludf.DUMMYFUNCTION("""COMPUTED_VALUE"""),70.83333333333334)</f>
        <v>70.83333333</v>
      </c>
      <c r="V71" s="26">
        <f>IFERROR(__xludf.DUMMYFUNCTION("""COMPUTED_VALUE"""),1.0)</f>
        <v>1</v>
      </c>
      <c r="W71" s="23">
        <f>IFERROR(__xludf.DUMMYFUNCTION("""COMPUTED_VALUE"""),-1.93136938540039)</f>
        <v>-1.931369385</v>
      </c>
      <c r="X71" s="23">
        <f>IFERROR(__xludf.DUMMYFUNCTION("""COMPUTED_VALUE"""),-1.6133511223939103)</f>
        <v>-1.613351122</v>
      </c>
      <c r="Y71" s="23">
        <f>IFERROR(__xludf.DUMMYFUNCTION("""COMPUTED_VALUE"""),0.13287548353965203)</f>
        <v>0.1328754835</v>
      </c>
      <c r="Z71" s="23">
        <f>IFERROR(__xludf.DUMMYFUNCTION("""COMPUTED_VALUE"""),-1.542020715886299)</f>
        <v>-1.542020716</v>
      </c>
      <c r="AA71" s="23">
        <f>IFERROR(__xludf.DUMMYFUNCTION("""COMPUTED_VALUE"""),-2.0604610339763223)</f>
        <v>-2.060461034</v>
      </c>
      <c r="AB71" s="23">
        <f>IFERROR(__xludf.DUMMYFUNCTION("""COMPUTED_VALUE"""),0.0)</f>
        <v>0</v>
      </c>
      <c r="AC71" s="23">
        <f>IFERROR(__xludf.DUMMYFUNCTION("""COMPUTED_VALUE"""),0.0)</f>
        <v>0</v>
      </c>
      <c r="AD71" s="23">
        <f>IFERROR(__xludf.DUMMYFUNCTION("""COMPUTED_VALUE"""),-0.3242650727254767)</f>
        <v>-0.3242650727</v>
      </c>
      <c r="AE71" s="23">
        <f>IFERROR(__xludf.DUMMYFUNCTION("""COMPUTED_VALUE"""),0.0)</f>
        <v>0</v>
      </c>
    </row>
    <row r="72">
      <c r="A72" s="12" t="str">
        <f>IF(VLOOKUP(H72,'Paste #BBall'!$C$2:$Q$201,3,)="BRO","BKN",IF(VLOOKUP(H72,'Paste #BBall'!$C$2:$Q$201,3,)="OKL","OKC",VLOOKUP(H72,'Paste #BBall'!$C$2:$Q$201,3,)))</f>
        <v>LAL</v>
      </c>
      <c r="B72" s="12">
        <f>VLOOKUP(A72,'Paste #BBall'!$A$204:$D$233,4,)</f>
        <v>4</v>
      </c>
      <c r="C72" s="12">
        <f>VLOOKUP(A72,'Paste #BBall'!$A$204:$C$233,3,)</f>
        <v>3</v>
      </c>
      <c r="D72" s="12">
        <f>VLOOKUP(A72,'Paste #BBall'!$A$204:$B$233,2,)</f>
        <v>4</v>
      </c>
      <c r="E72" s="12">
        <f t="shared" si="1"/>
        <v>11</v>
      </c>
      <c r="F72" s="12">
        <v>67.0</v>
      </c>
      <c r="G72" s="25">
        <f>IFERROR(__xludf.DUMMYFUNCTION("""COMPUTED_VALUE"""),195.0)</f>
        <v>195</v>
      </c>
      <c r="H72" s="25" t="str">
        <f>IFERROR(__xludf.DUMMYFUNCTION("""COMPUTED_VALUE"""),"Thomas Bryant")</f>
        <v>Thomas Bryant</v>
      </c>
      <c r="I72" s="25">
        <f>IFERROR(__xludf.DUMMYFUNCTION("""COMPUTED_VALUE"""),72.0)</f>
        <v>72</v>
      </c>
      <c r="J72" s="23" t="str">
        <f>IFERROR(__xludf.DUMMYFUNCTION("""COMPUTED_VALUE"""),"C")</f>
        <v>C</v>
      </c>
      <c r="K72" s="23">
        <f>IFERROR(__xludf.DUMMYFUNCTION("""COMPUTED_VALUE"""),-5.1221026364218885)</f>
        <v>-5.122102636</v>
      </c>
      <c r="L72" s="23">
        <f>IFERROR(__xludf.DUMMYFUNCTION("""COMPUTED_VALUE"""),-7.548032402961378)</f>
        <v>-7.548032403</v>
      </c>
      <c r="M72" s="26">
        <f>IFERROR(__xludf.DUMMYFUNCTION("""COMPUTED_VALUE"""),-2.4259297665394897)</f>
        <v>-2.425929767</v>
      </c>
      <c r="N72" s="26">
        <f>IFERROR(__xludf.DUMMYFUNCTION("""COMPUTED_VALUE"""),10.4)</f>
        <v>10.4</v>
      </c>
      <c r="O72" s="26">
        <f>IFERROR(__xludf.DUMMYFUNCTION("""COMPUTED_VALUE"""),0.4)</f>
        <v>0.4</v>
      </c>
      <c r="P72" s="26">
        <f>IFERROR(__xludf.DUMMYFUNCTION("""COMPUTED_VALUE"""),5.8)</f>
        <v>5.8</v>
      </c>
      <c r="Q72" s="27">
        <f>IFERROR(__xludf.DUMMYFUNCTION("""COMPUTED_VALUE"""),1.3)</f>
        <v>1.3</v>
      </c>
      <c r="R72" s="26">
        <f>IFERROR(__xludf.DUMMYFUNCTION("""COMPUTED_VALUE"""),0.3)</f>
        <v>0.3</v>
      </c>
      <c r="S72" s="26">
        <f>IFERROR(__xludf.DUMMYFUNCTION("""COMPUTED_VALUE"""),1.1)</f>
        <v>1.1</v>
      </c>
      <c r="T72" s="26">
        <f>IFERROR(__xludf.DUMMYFUNCTION("""COMPUTED_VALUE"""),53.16455696202531)</f>
        <v>53.16455696</v>
      </c>
      <c r="U72" s="26">
        <f>IFERROR(__xludf.DUMMYFUNCTION("""COMPUTED_VALUE"""),72.72727272727273)</f>
        <v>72.72727273</v>
      </c>
      <c r="V72" s="26">
        <f>IFERROR(__xludf.DUMMYFUNCTION("""COMPUTED_VALUE"""),1.0)</f>
        <v>1</v>
      </c>
      <c r="W72" s="23">
        <f>IFERROR(__xludf.DUMMYFUNCTION("""COMPUTED_VALUE"""),-1.744969989733451)</f>
        <v>-1.74496999</v>
      </c>
      <c r="X72" s="23">
        <f>IFERROR(__xludf.DUMMYFUNCTION("""COMPUTED_VALUE"""),-1.2133688973744552)</f>
        <v>-1.213368897</v>
      </c>
      <c r="Y72" s="23">
        <f>IFERROR(__xludf.DUMMYFUNCTION("""COMPUTED_VALUE"""),-0.11205375828395218)</f>
        <v>-0.1120537583</v>
      </c>
      <c r="Z72" s="23">
        <f>IFERROR(__xludf.DUMMYFUNCTION("""COMPUTED_VALUE"""),-1.3708127526470602)</f>
        <v>-1.370812753</v>
      </c>
      <c r="AA72" s="23">
        <f>IFERROR(__xludf.DUMMYFUNCTION("""COMPUTED_VALUE"""),-2.8780607518524133)</f>
        <v>-2.878060752</v>
      </c>
      <c r="AB72" s="23">
        <f>IFERROR(__xludf.DUMMYFUNCTION("""COMPUTED_VALUE"""),0.0)</f>
        <v>0</v>
      </c>
      <c r="AC72" s="23">
        <f>IFERROR(__xludf.DUMMYFUNCTION("""COMPUTED_VALUE"""),0.0)</f>
        <v>0</v>
      </c>
      <c r="AD72" s="23">
        <f>IFERROR(__xludf.DUMMYFUNCTION("""COMPUTED_VALUE"""),-0.22876625307004594)</f>
        <v>-0.2287662531</v>
      </c>
      <c r="AE72" s="23">
        <f>IFERROR(__xludf.DUMMYFUNCTION("""COMPUTED_VALUE"""),0.0)</f>
        <v>0</v>
      </c>
    </row>
    <row r="73">
      <c r="A73" s="12" t="str">
        <f>IF(VLOOKUP(H73,'Paste #BBall'!$C$2:$Q$201,3,)="BRO","BKN",IF(VLOOKUP(H73,'Paste #BBall'!$C$2:$Q$201,3,)="OKL","OKC",VLOOKUP(H73,'Paste #BBall'!$C$2:$Q$201,3,)))</f>
        <v>NOP</v>
      </c>
      <c r="B73" s="12">
        <f>VLOOKUP(A73,'Paste #BBall'!$A$204:$D$233,4,)</f>
        <v>2</v>
      </c>
      <c r="C73" s="12">
        <f>VLOOKUP(A73,'Paste #BBall'!$A$204:$C$233,3,)</f>
        <v>4</v>
      </c>
      <c r="D73" s="12">
        <f>VLOOKUP(A73,'Paste #BBall'!$A$204:$B$233,2,)</f>
        <v>3</v>
      </c>
      <c r="E73" s="12">
        <f t="shared" si="1"/>
        <v>9</v>
      </c>
      <c r="F73" s="12">
        <v>68.0</v>
      </c>
      <c r="G73" s="25">
        <f>IFERROR(__xludf.DUMMYFUNCTION("""COMPUTED_VALUE"""),198.0)</f>
        <v>198</v>
      </c>
      <c r="H73" s="25" t="str">
        <f>IFERROR(__xludf.DUMMYFUNCTION("""COMPUTED_VALUE"""),"Jaxson Hayes")</f>
        <v>Jaxson Hayes</v>
      </c>
      <c r="I73" s="25">
        <f>IFERROR(__xludf.DUMMYFUNCTION("""COMPUTED_VALUE"""),67.0)</f>
        <v>67</v>
      </c>
      <c r="J73" s="23" t="str">
        <f>IFERROR(__xludf.DUMMYFUNCTION("""COMPUTED_VALUE"""),"PF/C")</f>
        <v>PF/C</v>
      </c>
      <c r="K73" s="23">
        <f>IFERROR(__xludf.DUMMYFUNCTION("""COMPUTED_VALUE"""),-5.569815878824355)</f>
        <v>-5.569815879</v>
      </c>
      <c r="L73" s="23">
        <f>IFERROR(__xludf.DUMMYFUNCTION("""COMPUTED_VALUE"""),-8.002075510468412)</f>
        <v>-8.00207551</v>
      </c>
      <c r="M73" s="26">
        <f>IFERROR(__xludf.DUMMYFUNCTION("""COMPUTED_VALUE"""),-2.4322596316440572)</f>
        <v>-2.432259632</v>
      </c>
      <c r="N73" s="26">
        <f>IFERROR(__xludf.DUMMYFUNCTION("""COMPUTED_VALUE"""),8.9)</f>
        <v>8.9</v>
      </c>
      <c r="O73" s="26">
        <f>IFERROR(__xludf.DUMMYFUNCTION("""COMPUTED_VALUE"""),0.3)</f>
        <v>0.3</v>
      </c>
      <c r="P73" s="26">
        <f>IFERROR(__xludf.DUMMYFUNCTION("""COMPUTED_VALUE"""),4.4)</f>
        <v>4.4</v>
      </c>
      <c r="Q73" s="27">
        <f>IFERROR(__xludf.DUMMYFUNCTION("""COMPUTED_VALUE"""),0.6)</f>
        <v>0.6</v>
      </c>
      <c r="R73" s="26">
        <f>IFERROR(__xludf.DUMMYFUNCTION("""COMPUTED_VALUE"""),0.5)</f>
        <v>0.5</v>
      </c>
      <c r="S73" s="26">
        <f>IFERROR(__xludf.DUMMYFUNCTION("""COMPUTED_VALUE"""),0.8)</f>
        <v>0.8</v>
      </c>
      <c r="T73" s="26">
        <f>IFERROR(__xludf.DUMMYFUNCTION("""COMPUTED_VALUE"""),60.71428571428572)</f>
        <v>60.71428571</v>
      </c>
      <c r="U73" s="26">
        <f>IFERROR(__xludf.DUMMYFUNCTION("""COMPUTED_VALUE"""),78.26086956521739)</f>
        <v>78.26086957</v>
      </c>
      <c r="V73" s="26">
        <f>IFERROR(__xludf.DUMMYFUNCTION("""COMPUTED_VALUE"""),0.8)</f>
        <v>0.8</v>
      </c>
      <c r="W73" s="23">
        <f>IFERROR(__xludf.DUMMYFUNCTION("""COMPUTED_VALUE"""),-2.144397266162606)</f>
        <v>-2.144397266</v>
      </c>
      <c r="X73" s="23">
        <f>IFERROR(__xludf.DUMMYFUNCTION("""COMPUTED_VALUE"""),-1.313364453629319)</f>
        <v>-1.313364454</v>
      </c>
      <c r="Y73" s="23">
        <f>IFERROR(__xludf.DUMMYFUNCTION("""COMPUTED_VALUE"""),-0.683555322539028)</f>
        <v>-0.6835553225</v>
      </c>
      <c r="Z73" s="23">
        <f>IFERROR(__xludf.DUMMYFUNCTION("""COMPUTED_VALUE"""),-1.7702980002052842)</f>
        <v>-1.770298</v>
      </c>
      <c r="AA73" s="23">
        <f>IFERROR(__xludf.DUMMYFUNCTION("""COMPUTED_VALUE"""),-2.0604610339763223)</f>
        <v>-2.060461034</v>
      </c>
      <c r="AB73" s="23">
        <f>IFERROR(__xludf.DUMMYFUNCTION("""COMPUTED_VALUE"""),0.0)</f>
        <v>0</v>
      </c>
      <c r="AC73" s="23">
        <f>IFERROR(__xludf.DUMMYFUNCTION("""COMPUTED_VALUE"""),0.0)</f>
        <v>0</v>
      </c>
      <c r="AD73" s="23">
        <f>IFERROR(__xludf.DUMMYFUNCTION("""COMPUTED_VALUE"""),-0.029999433955853298)</f>
        <v>-0.02999943396</v>
      </c>
      <c r="AE73" s="23">
        <f>IFERROR(__xludf.DUMMYFUNCTION("""COMPUTED_VALUE"""),0.0)</f>
        <v>0</v>
      </c>
    </row>
    <row r="74">
      <c r="A74" s="12" t="str">
        <f>IF(VLOOKUP(H74,'Paste #BBall'!$C$2:$Q$201,3,)="BRO","BKN",IF(VLOOKUP(H74,'Paste #BBall'!$C$2:$Q$201,3,)="OKL","OKC",VLOOKUP(H74,'Paste #BBall'!$C$2:$Q$201,3,)))</f>
        <v>PHI</v>
      </c>
      <c r="B74" s="12">
        <f>VLOOKUP(A74,'Paste #BBall'!$A$204:$D$233,4,)</f>
        <v>3</v>
      </c>
      <c r="C74" s="12">
        <f>VLOOKUP(A74,'Paste #BBall'!$A$204:$C$233,3,)</f>
        <v>4</v>
      </c>
      <c r="D74" s="12">
        <f>VLOOKUP(A74,'Paste #BBall'!$A$204:$B$233,2,)</f>
        <v>3</v>
      </c>
      <c r="E74" s="12">
        <f t="shared" si="1"/>
        <v>10</v>
      </c>
      <c r="F74" s="12">
        <v>69.0</v>
      </c>
      <c r="G74" s="25">
        <f>IFERROR(__xludf.DUMMYFUNCTION("""COMPUTED_VALUE"""),200.0)</f>
        <v>200</v>
      </c>
      <c r="H74" s="25" t="str">
        <f>IFERROR(__xludf.DUMMYFUNCTION("""COMPUTED_VALUE"""),"Montrezl Harrell")</f>
        <v>Montrezl Harrell</v>
      </c>
      <c r="I74" s="25">
        <f>IFERROR(__xludf.DUMMYFUNCTION("""COMPUTED_VALUE"""),73.0)</f>
        <v>73</v>
      </c>
      <c r="J74" s="23" t="str">
        <f>IFERROR(__xludf.DUMMYFUNCTION("""COMPUTED_VALUE"""),"PF/C")</f>
        <v>PF/C</v>
      </c>
      <c r="K74" s="23">
        <f>IFERROR(__xludf.DUMMYFUNCTION("""COMPUTED_VALUE"""),-6.043416030323476)</f>
        <v>-6.04341603</v>
      </c>
      <c r="L74" s="23">
        <f>IFERROR(__xludf.DUMMYFUNCTION("""COMPUTED_VALUE"""),-8.022486895995648)</f>
        <v>-8.022486896</v>
      </c>
      <c r="M74" s="26">
        <f>IFERROR(__xludf.DUMMYFUNCTION("""COMPUTED_VALUE"""),-1.9790708656721723)</f>
        <v>-1.979070866</v>
      </c>
      <c r="N74" s="26">
        <f>IFERROR(__xludf.DUMMYFUNCTION("""COMPUTED_VALUE"""),11.8)</f>
        <v>11.8</v>
      </c>
      <c r="O74" s="26">
        <f>IFERROR(__xludf.DUMMYFUNCTION("""COMPUTED_VALUE"""),0.0)</f>
        <v>0</v>
      </c>
      <c r="P74" s="26">
        <f>IFERROR(__xludf.DUMMYFUNCTION("""COMPUTED_VALUE"""),4.6)</f>
        <v>4.6</v>
      </c>
      <c r="Q74" s="27">
        <f>IFERROR(__xludf.DUMMYFUNCTION("""COMPUTED_VALUE"""),1.1)</f>
        <v>1.1</v>
      </c>
      <c r="R74" s="26">
        <f>IFERROR(__xludf.DUMMYFUNCTION("""COMPUTED_VALUE"""),0.4)</f>
        <v>0.4</v>
      </c>
      <c r="S74" s="26">
        <f>IFERROR(__xludf.DUMMYFUNCTION("""COMPUTED_VALUE"""),0.7)</f>
        <v>0.7</v>
      </c>
      <c r="T74" s="26">
        <f>IFERROR(__xludf.DUMMYFUNCTION("""COMPUTED_VALUE"""),62.0253164556962)</f>
        <v>62.02531646</v>
      </c>
      <c r="U74" s="26">
        <f>IFERROR(__xludf.DUMMYFUNCTION("""COMPUTED_VALUE"""),68.96551724137932)</f>
        <v>68.96551724</v>
      </c>
      <c r="V74" s="26">
        <f>IFERROR(__xludf.DUMMYFUNCTION("""COMPUTED_VALUE"""),1.1)</f>
        <v>1.1</v>
      </c>
      <c r="W74" s="23">
        <f>IFERROR(__xludf.DUMMYFUNCTION("""COMPUTED_VALUE"""),-1.3721711983995732)</f>
        <v>-1.372171198</v>
      </c>
      <c r="X74" s="23">
        <f>IFERROR(__xludf.DUMMYFUNCTION("""COMPUTED_VALUE"""),-1.6133511223939103)</f>
        <v>-1.613351122</v>
      </c>
      <c r="Y74" s="23">
        <f>IFERROR(__xludf.DUMMYFUNCTION("""COMPUTED_VALUE"""),-0.6019122419311602)</f>
        <v>-0.6019122419</v>
      </c>
      <c r="Z74" s="23">
        <f>IFERROR(__xludf.DUMMYFUNCTION("""COMPUTED_VALUE"""),-1.484951394806553)</f>
        <v>-1.484951395</v>
      </c>
      <c r="AA74" s="23">
        <f>IFERROR(__xludf.DUMMYFUNCTION("""COMPUTED_VALUE"""),-2.4692608929143676)</f>
        <v>-2.469260893</v>
      </c>
      <c r="AB74" s="23">
        <f>IFERROR(__xludf.DUMMYFUNCTION("""COMPUTED_VALUE"""),0.0)</f>
        <v>0</v>
      </c>
      <c r="AC74" s="23">
        <f>IFERROR(__xludf.DUMMYFUNCTION("""COMPUTED_VALUE"""),0.0)</f>
        <v>0</v>
      </c>
      <c r="AD74" s="23">
        <f>IFERROR(__xludf.DUMMYFUNCTION("""COMPUTED_VALUE"""),-0.4808400455500844)</f>
        <v>-0.4808400456</v>
      </c>
      <c r="AE74" s="23">
        <f>IFERROR(__xludf.DUMMYFUNCTION("""COMPUTED_VALUE"""),0.0)</f>
        <v>0</v>
      </c>
    </row>
    <row r="75">
      <c r="A75" s="12" t="str">
        <f>IF(VLOOKUP(H75,'Paste #BBall'!$C$2:$Q$201,3,)="BRO","BKN",IF(VLOOKUP(H75,'Paste #BBall'!$C$2:$Q$201,3,)="OKL","OKC",VLOOKUP(H75,'Paste #BBall'!$C$2:$Q$201,3,)))</f>
        <v>#N/A</v>
      </c>
      <c r="B75" s="12" t="str">
        <f>VLOOKUP(A75,'Paste #BBall'!$A$204:$D$233,4,)</f>
        <v>#N/A</v>
      </c>
      <c r="C75" s="12" t="str">
        <f>VLOOKUP(A75,'Paste #BBall'!$A$204:$C$233,3,)</f>
        <v>#N/A</v>
      </c>
      <c r="D75" s="12" t="str">
        <f>VLOOKUP(A75,'Paste #BBall'!$A$204:$B$233,2,)</f>
        <v>#N/A</v>
      </c>
      <c r="E75" s="12" t="str">
        <f t="shared" si="1"/>
        <v>#N/A</v>
      </c>
      <c r="F75" s="12">
        <v>70.0</v>
      </c>
      <c r="G75" s="25"/>
      <c r="H75" s="25"/>
      <c r="I75" s="25"/>
      <c r="J75" s="23"/>
      <c r="K75" s="23"/>
      <c r="L75" s="23"/>
      <c r="M75" s="26"/>
      <c r="N75" s="26"/>
      <c r="O75" s="26"/>
      <c r="P75" s="26"/>
      <c r="Q75" s="27"/>
      <c r="R75" s="26"/>
      <c r="S75" s="26"/>
      <c r="T75" s="26"/>
      <c r="U75" s="26"/>
      <c r="V75" s="26"/>
      <c r="W75" s="25"/>
      <c r="X75" s="25"/>
      <c r="Y75" s="25"/>
      <c r="Z75" s="25"/>
      <c r="AA75" s="25"/>
      <c r="AB75" s="25"/>
      <c r="AC75" s="25"/>
      <c r="AD75" s="25"/>
      <c r="AE75" s="25"/>
    </row>
    <row r="76">
      <c r="A76" s="12" t="str">
        <f>IF(VLOOKUP(H76,'Paste #BBall'!$C$2:$Q$201,3,)="BRO","BKN",IF(VLOOKUP(H76,'Paste #BBall'!$C$2:$Q$201,3,)="OKL","OKC",VLOOKUP(H76,'Paste #BBall'!$C$2:$Q$201,3,)))</f>
        <v>#N/A</v>
      </c>
      <c r="B76" s="12" t="str">
        <f>VLOOKUP(A76,'Paste #BBall'!$A$204:$D$233,4,)</f>
        <v>#N/A</v>
      </c>
      <c r="C76" s="12" t="str">
        <f>VLOOKUP(A76,'Paste #BBall'!$A$204:$C$233,3,)</f>
        <v>#N/A</v>
      </c>
      <c r="D76" s="12" t="str">
        <f>VLOOKUP(A76,'Paste #BBall'!$A$204:$B$233,2,)</f>
        <v>#N/A</v>
      </c>
      <c r="E76" s="12" t="str">
        <f t="shared" si="1"/>
        <v>#N/A</v>
      </c>
      <c r="F76" s="12">
        <v>71.0</v>
      </c>
      <c r="G76" s="25"/>
      <c r="H76" s="25"/>
      <c r="I76" s="25"/>
      <c r="J76" s="23"/>
      <c r="K76" s="23"/>
      <c r="L76" s="23"/>
      <c r="M76" s="26"/>
      <c r="N76" s="26"/>
      <c r="O76" s="26"/>
      <c r="P76" s="26"/>
      <c r="Q76" s="27"/>
      <c r="R76" s="26"/>
      <c r="S76" s="26"/>
      <c r="T76" s="26"/>
      <c r="U76" s="26"/>
      <c r="V76" s="26"/>
      <c r="W76" s="25"/>
      <c r="X76" s="25"/>
      <c r="Y76" s="25"/>
      <c r="Z76" s="25"/>
      <c r="AA76" s="25"/>
      <c r="AB76" s="25"/>
      <c r="AC76" s="25"/>
      <c r="AD76" s="25"/>
      <c r="AE76" s="25"/>
    </row>
    <row r="77">
      <c r="A77" s="12" t="str">
        <f>IF(VLOOKUP(H77,'Paste #BBall'!$C$2:$Q$201,3,)="BRO","BKN",IF(VLOOKUP(H77,'Paste #BBall'!$C$2:$Q$201,3,)="OKL","OKC",VLOOKUP(H77,'Paste #BBall'!$C$2:$Q$201,3,)))</f>
        <v>#N/A</v>
      </c>
      <c r="B77" s="12" t="str">
        <f>VLOOKUP(A77,'Paste #BBall'!$A$204:$D$233,4,)</f>
        <v>#N/A</v>
      </c>
      <c r="C77" s="12" t="str">
        <f>VLOOKUP(A77,'Paste #BBall'!$A$204:$C$233,3,)</f>
        <v>#N/A</v>
      </c>
      <c r="D77" s="12" t="str">
        <f>VLOOKUP(A77,'Paste #BBall'!$A$204:$B$233,2,)</f>
        <v>#N/A</v>
      </c>
      <c r="E77" s="12" t="str">
        <f t="shared" si="1"/>
        <v>#N/A</v>
      </c>
      <c r="F77" s="12">
        <v>72.0</v>
      </c>
      <c r="G77" s="25"/>
      <c r="H77" s="25"/>
      <c r="I77" s="25"/>
      <c r="J77" s="23"/>
      <c r="K77" s="23"/>
      <c r="L77" s="23"/>
      <c r="M77" s="26"/>
      <c r="N77" s="26"/>
      <c r="O77" s="26"/>
      <c r="P77" s="26"/>
      <c r="Q77" s="27"/>
      <c r="R77" s="26"/>
      <c r="S77" s="26"/>
      <c r="T77" s="26"/>
      <c r="U77" s="26"/>
      <c r="V77" s="26"/>
      <c r="W77" s="25"/>
      <c r="X77" s="25"/>
      <c r="Y77" s="25"/>
      <c r="Z77" s="25"/>
      <c r="AA77" s="25"/>
      <c r="AB77" s="25"/>
      <c r="AC77" s="25"/>
      <c r="AD77" s="25"/>
      <c r="AE77" s="25"/>
    </row>
    <row r="78">
      <c r="A78" s="12" t="str">
        <f>IF(VLOOKUP(H78,'Paste #BBall'!$C$2:$Q$201,3,)="BRO","BKN",IF(VLOOKUP(H78,'Paste #BBall'!$C$2:$Q$201,3,)="OKL","OKC",VLOOKUP(H78,'Paste #BBall'!$C$2:$Q$201,3,)))</f>
        <v>#N/A</v>
      </c>
      <c r="B78" s="12" t="str">
        <f>VLOOKUP(A78,'Paste #BBall'!$A$204:$D$233,4,)</f>
        <v>#N/A</v>
      </c>
      <c r="C78" s="12" t="str">
        <f>VLOOKUP(A78,'Paste #BBall'!$A$204:$C$233,3,)</f>
        <v>#N/A</v>
      </c>
      <c r="D78" s="12" t="str">
        <f>VLOOKUP(A78,'Paste #BBall'!$A$204:$B$233,2,)</f>
        <v>#N/A</v>
      </c>
      <c r="E78" s="12" t="str">
        <f t="shared" si="1"/>
        <v>#N/A</v>
      </c>
      <c r="F78" s="12">
        <v>73.0</v>
      </c>
      <c r="G78" s="25"/>
      <c r="H78" s="25"/>
      <c r="I78" s="25"/>
      <c r="J78" s="23"/>
      <c r="K78" s="23"/>
      <c r="L78" s="23"/>
      <c r="M78" s="26"/>
      <c r="N78" s="26"/>
      <c r="O78" s="26"/>
      <c r="P78" s="26"/>
      <c r="Q78" s="27"/>
      <c r="R78" s="26"/>
      <c r="S78" s="26"/>
      <c r="T78" s="26"/>
      <c r="U78" s="26"/>
      <c r="V78" s="26"/>
      <c r="W78" s="25"/>
      <c r="X78" s="25"/>
      <c r="Y78" s="25"/>
      <c r="Z78" s="25"/>
      <c r="AA78" s="25"/>
      <c r="AB78" s="25"/>
      <c r="AC78" s="25"/>
      <c r="AD78" s="25"/>
      <c r="AE78" s="25"/>
    </row>
    <row r="79">
      <c r="A79" s="12" t="str">
        <f>IF(VLOOKUP(H79,'Paste #BBall'!$C$2:$Q$201,3,)="BRO","BKN",IF(VLOOKUP(H79,'Paste #BBall'!$C$2:$Q$201,3,)="OKL","OKC",VLOOKUP(H79,'Paste #BBall'!$C$2:$Q$201,3,)))</f>
        <v>#N/A</v>
      </c>
      <c r="B79" s="12" t="str">
        <f>VLOOKUP(A79,'Paste #BBall'!$A$204:$D$233,4,)</f>
        <v>#N/A</v>
      </c>
      <c r="C79" s="12" t="str">
        <f>VLOOKUP(A79,'Paste #BBall'!$A$204:$C$233,3,)</f>
        <v>#N/A</v>
      </c>
      <c r="D79" s="12" t="str">
        <f>VLOOKUP(A79,'Paste #BBall'!$A$204:$B$233,2,)</f>
        <v>#N/A</v>
      </c>
      <c r="E79" s="12" t="str">
        <f t="shared" si="1"/>
        <v>#N/A</v>
      </c>
      <c r="F79" s="12">
        <v>74.0</v>
      </c>
      <c r="G79" s="25"/>
      <c r="H79" s="25"/>
      <c r="I79" s="25"/>
      <c r="J79" s="23"/>
      <c r="K79" s="23"/>
      <c r="L79" s="23"/>
      <c r="M79" s="26"/>
      <c r="N79" s="26"/>
      <c r="O79" s="26"/>
      <c r="P79" s="26"/>
      <c r="Q79" s="27"/>
      <c r="R79" s="26"/>
      <c r="S79" s="26"/>
      <c r="T79" s="26"/>
      <c r="U79" s="26"/>
      <c r="V79" s="26"/>
      <c r="W79" s="25"/>
      <c r="X79" s="25"/>
      <c r="Y79" s="25"/>
      <c r="Z79" s="25"/>
      <c r="AA79" s="25"/>
      <c r="AB79" s="25"/>
      <c r="AC79" s="25"/>
      <c r="AD79" s="25"/>
      <c r="AE79" s="25"/>
    </row>
    <row r="80">
      <c r="A80" s="12" t="str">
        <f>IF(VLOOKUP(H80,'Paste #BBall'!$C$2:$Q$201,3,)="BRO","BKN",IF(VLOOKUP(H80,'Paste #BBall'!$C$2:$Q$201,3,)="OKL","OKC",VLOOKUP(H80,'Paste #BBall'!$C$2:$Q$201,3,)))</f>
        <v>#N/A</v>
      </c>
      <c r="B80" s="12" t="str">
        <f>VLOOKUP(A80,'Paste #BBall'!$A$204:$D$233,4,)</f>
        <v>#N/A</v>
      </c>
      <c r="C80" s="12" t="str">
        <f>VLOOKUP(A80,'Paste #BBall'!$A$204:$C$233,3,)</f>
        <v>#N/A</v>
      </c>
      <c r="D80" s="12" t="str">
        <f>VLOOKUP(A80,'Paste #BBall'!$A$204:$B$233,2,)</f>
        <v>#N/A</v>
      </c>
      <c r="E80" s="12" t="str">
        <f t="shared" si="1"/>
        <v>#N/A</v>
      </c>
      <c r="F80" s="12">
        <v>75.0</v>
      </c>
      <c r="G80" s="25"/>
      <c r="H80" s="25"/>
      <c r="I80" s="25"/>
      <c r="J80" s="23"/>
      <c r="K80" s="23"/>
      <c r="L80" s="23"/>
      <c r="M80" s="26"/>
      <c r="N80" s="26"/>
      <c r="O80" s="26"/>
      <c r="P80" s="26"/>
      <c r="Q80" s="27"/>
      <c r="R80" s="26"/>
      <c r="S80" s="26"/>
      <c r="T80" s="26"/>
      <c r="U80" s="26"/>
      <c r="V80" s="26"/>
      <c r="W80" s="25"/>
      <c r="X80" s="25"/>
      <c r="Y80" s="25"/>
      <c r="Z80" s="25"/>
      <c r="AA80" s="25"/>
      <c r="AB80" s="25"/>
      <c r="AC80" s="25"/>
      <c r="AD80" s="25"/>
      <c r="AE80" s="25"/>
    </row>
    <row r="81">
      <c r="A81" s="12" t="str">
        <f>IF(VLOOKUP(H81,'Paste #BBall'!$C$2:$Q$201,3,)="BRO","BKN",IF(VLOOKUP(H81,'Paste #BBall'!$C$2:$Q$201,3,)="OKL","OKC",VLOOKUP(H81,'Paste #BBall'!$C$2:$Q$201,3,)))</f>
        <v>#N/A</v>
      </c>
      <c r="B81" s="12" t="str">
        <f>VLOOKUP(A81,'Paste #BBall'!$A$204:$D$233,4,)</f>
        <v>#N/A</v>
      </c>
      <c r="C81" s="12" t="str">
        <f>VLOOKUP(A81,'Paste #BBall'!$A$204:$C$233,3,)</f>
        <v>#N/A</v>
      </c>
      <c r="D81" s="12" t="str">
        <f>VLOOKUP(A81,'Paste #BBall'!$A$204:$B$233,2,)</f>
        <v>#N/A</v>
      </c>
      <c r="E81" s="12" t="str">
        <f t="shared" si="1"/>
        <v>#N/A</v>
      </c>
      <c r="F81" s="12">
        <v>76.0</v>
      </c>
      <c r="G81" s="25"/>
      <c r="H81" s="25"/>
      <c r="I81" s="25"/>
      <c r="J81" s="23"/>
      <c r="K81" s="23"/>
      <c r="L81" s="23"/>
      <c r="M81" s="26"/>
      <c r="N81" s="26"/>
      <c r="O81" s="26"/>
      <c r="P81" s="26"/>
      <c r="Q81" s="27"/>
      <c r="R81" s="26"/>
      <c r="S81" s="26"/>
      <c r="T81" s="26"/>
      <c r="U81" s="26"/>
      <c r="V81" s="26"/>
      <c r="W81" s="25"/>
      <c r="X81" s="25"/>
      <c r="Y81" s="25"/>
      <c r="Z81" s="25"/>
      <c r="AA81" s="25"/>
      <c r="AB81" s="25"/>
      <c r="AC81" s="25"/>
      <c r="AD81" s="25"/>
      <c r="AE81" s="25"/>
    </row>
    <row r="82">
      <c r="A82" s="12" t="str">
        <f>IF(VLOOKUP(H82,'Paste #BBall'!$C$2:$Q$201,3,)="BRO","BKN",IF(VLOOKUP(H82,'Paste #BBall'!$C$2:$Q$201,3,)="OKL","OKC",VLOOKUP(H82,'Paste #BBall'!$C$2:$Q$201,3,)))</f>
        <v>#N/A</v>
      </c>
      <c r="B82" s="12" t="str">
        <f>VLOOKUP(A82,'Paste #BBall'!$A$204:$D$233,4,)</f>
        <v>#N/A</v>
      </c>
      <c r="C82" s="12" t="str">
        <f>VLOOKUP(A82,'Paste #BBall'!$A$204:$C$233,3,)</f>
        <v>#N/A</v>
      </c>
      <c r="D82" s="12" t="str">
        <f>VLOOKUP(A82,'Paste #BBall'!$A$204:$B$233,2,)</f>
        <v>#N/A</v>
      </c>
      <c r="E82" s="12" t="str">
        <f t="shared" si="1"/>
        <v>#N/A</v>
      </c>
      <c r="F82" s="12">
        <v>77.0</v>
      </c>
      <c r="G82" s="25"/>
      <c r="H82" s="25"/>
      <c r="I82" s="25"/>
      <c r="J82" s="23"/>
      <c r="K82" s="23"/>
      <c r="L82" s="23"/>
      <c r="M82" s="26"/>
      <c r="N82" s="26"/>
      <c r="O82" s="26"/>
      <c r="P82" s="26"/>
      <c r="Q82" s="27"/>
      <c r="R82" s="26"/>
      <c r="S82" s="26"/>
      <c r="T82" s="26"/>
      <c r="U82" s="26"/>
      <c r="V82" s="26"/>
      <c r="W82" s="25"/>
      <c r="X82" s="25"/>
      <c r="Y82" s="25"/>
      <c r="Z82" s="25"/>
      <c r="AA82" s="25"/>
      <c r="AB82" s="25"/>
      <c r="AC82" s="25"/>
      <c r="AD82" s="25"/>
      <c r="AE82" s="25"/>
    </row>
    <row r="83">
      <c r="A83" s="12" t="str">
        <f>IF(VLOOKUP(H83,'Paste #BBall'!$C$2:$Q$201,3,)="BRO","BKN",IF(VLOOKUP(H83,'Paste #BBall'!$C$2:$Q$201,3,)="OKL","OKC",VLOOKUP(H83,'Paste #BBall'!$C$2:$Q$201,3,)))</f>
        <v>#N/A</v>
      </c>
      <c r="B83" s="12" t="str">
        <f>VLOOKUP(A83,'Paste #BBall'!$A$204:$D$233,4,)</f>
        <v>#N/A</v>
      </c>
      <c r="C83" s="12" t="str">
        <f>VLOOKUP(A83,'Paste #BBall'!$A$204:$C$233,3,)</f>
        <v>#N/A</v>
      </c>
      <c r="D83" s="12" t="str">
        <f>VLOOKUP(A83,'Paste #BBall'!$A$204:$B$233,2,)</f>
        <v>#N/A</v>
      </c>
      <c r="E83" s="12" t="str">
        <f t="shared" si="1"/>
        <v>#N/A</v>
      </c>
      <c r="F83" s="12">
        <v>78.0</v>
      </c>
      <c r="G83" s="25"/>
      <c r="H83" s="25"/>
      <c r="I83" s="25"/>
      <c r="J83" s="23"/>
      <c r="K83" s="23"/>
      <c r="L83" s="23"/>
      <c r="M83" s="26"/>
      <c r="N83" s="26"/>
      <c r="O83" s="26"/>
      <c r="P83" s="26"/>
      <c r="Q83" s="27"/>
      <c r="R83" s="26"/>
      <c r="S83" s="26"/>
      <c r="T83" s="26"/>
      <c r="U83" s="26"/>
      <c r="V83" s="26"/>
      <c r="W83" s="25"/>
      <c r="X83" s="25"/>
      <c r="Y83" s="25"/>
      <c r="Z83" s="25"/>
      <c r="AA83" s="25"/>
      <c r="AB83" s="25"/>
      <c r="AC83" s="25"/>
      <c r="AD83" s="25"/>
      <c r="AE83" s="25"/>
    </row>
    <row r="84">
      <c r="A84" s="12" t="str">
        <f>IF(VLOOKUP(H84,'Paste #BBall'!$C$2:$Q$201,3,)="BRO","BKN",IF(VLOOKUP(H84,'Paste #BBall'!$C$2:$Q$201,3,)="OKL","OKC",VLOOKUP(H84,'Paste #BBall'!$C$2:$Q$201,3,)))</f>
        <v>#N/A</v>
      </c>
      <c r="B84" s="12" t="str">
        <f>VLOOKUP(A84,'Paste #BBall'!$A$204:$D$233,4,)</f>
        <v>#N/A</v>
      </c>
      <c r="C84" s="12" t="str">
        <f>VLOOKUP(A84,'Paste #BBall'!$A$204:$C$233,3,)</f>
        <v>#N/A</v>
      </c>
      <c r="D84" s="12" t="str">
        <f>VLOOKUP(A84,'Paste #BBall'!$A$204:$B$233,2,)</f>
        <v>#N/A</v>
      </c>
      <c r="E84" s="12" t="str">
        <f t="shared" si="1"/>
        <v>#N/A</v>
      </c>
      <c r="F84" s="12">
        <v>79.0</v>
      </c>
      <c r="G84" s="25"/>
      <c r="H84" s="25"/>
      <c r="I84" s="25"/>
      <c r="J84" s="23"/>
      <c r="K84" s="23"/>
      <c r="L84" s="23"/>
      <c r="M84" s="26"/>
      <c r="N84" s="26"/>
      <c r="O84" s="26"/>
      <c r="P84" s="26"/>
      <c r="Q84" s="27"/>
      <c r="R84" s="26"/>
      <c r="S84" s="26"/>
      <c r="T84" s="26"/>
      <c r="U84" s="26"/>
      <c r="V84" s="26"/>
      <c r="W84" s="25"/>
      <c r="X84" s="25"/>
      <c r="Y84" s="25"/>
      <c r="Z84" s="25"/>
      <c r="AA84" s="25"/>
      <c r="AB84" s="25"/>
      <c r="AC84" s="25"/>
      <c r="AD84" s="25"/>
      <c r="AE84" s="25"/>
    </row>
    <row r="85">
      <c r="A85" s="12" t="str">
        <f>IF(VLOOKUP(H85,'Paste #BBall'!$C$2:$Q$201,3,)="BRO","BKN",IF(VLOOKUP(H85,'Paste #BBall'!$C$2:$Q$201,3,)="OKL","OKC",VLOOKUP(H85,'Paste #BBall'!$C$2:$Q$201,3,)))</f>
        <v>#N/A</v>
      </c>
      <c r="B85" s="12" t="str">
        <f>VLOOKUP(A85,'Paste #BBall'!$A$204:$D$233,4,)</f>
        <v>#N/A</v>
      </c>
      <c r="C85" s="12" t="str">
        <f>VLOOKUP(A85,'Paste #BBall'!$A$204:$C$233,3,)</f>
        <v>#N/A</v>
      </c>
      <c r="D85" s="12" t="str">
        <f>VLOOKUP(A85,'Paste #BBall'!$A$204:$B$233,2,)</f>
        <v>#N/A</v>
      </c>
      <c r="E85" s="12" t="str">
        <f t="shared" si="1"/>
        <v>#N/A</v>
      </c>
      <c r="F85" s="12">
        <v>80.0</v>
      </c>
      <c r="G85" s="25"/>
      <c r="H85" s="25"/>
      <c r="I85" s="25"/>
      <c r="J85" s="23"/>
      <c r="K85" s="23"/>
      <c r="L85" s="23"/>
      <c r="M85" s="26"/>
      <c r="N85" s="26"/>
      <c r="O85" s="26"/>
      <c r="P85" s="26"/>
      <c r="Q85" s="27"/>
      <c r="R85" s="26"/>
      <c r="S85" s="26"/>
      <c r="T85" s="26"/>
      <c r="U85" s="26"/>
      <c r="V85" s="26"/>
      <c r="W85" s="25"/>
      <c r="X85" s="25"/>
      <c r="Y85" s="25"/>
      <c r="Z85" s="25"/>
      <c r="AA85" s="25"/>
      <c r="AB85" s="25"/>
      <c r="AC85" s="25"/>
      <c r="AD85" s="25"/>
      <c r="AE85" s="25"/>
    </row>
    <row r="86">
      <c r="A86" s="12" t="str">
        <f>IF(VLOOKUP(H86,'Paste #BBall'!$C$2:$Q$201,3,)="BRO","BKN",IF(VLOOKUP(H86,'Paste #BBall'!$C$2:$Q$201,3,)="OKL","OKC",VLOOKUP(H86,'Paste #BBall'!$C$2:$Q$201,3,)))</f>
        <v>#N/A</v>
      </c>
      <c r="B86" s="12" t="str">
        <f>VLOOKUP(A86,'Paste #BBall'!$A$204:$D$233,4,)</f>
        <v>#N/A</v>
      </c>
      <c r="C86" s="12" t="str">
        <f>VLOOKUP(A86,'Paste #BBall'!$A$204:$C$233,3,)</f>
        <v>#N/A</v>
      </c>
      <c r="D86" s="12" t="str">
        <f>VLOOKUP(A86,'Paste #BBall'!$A$204:$B$233,2,)</f>
        <v>#N/A</v>
      </c>
      <c r="E86" s="12" t="str">
        <f t="shared" si="1"/>
        <v>#N/A</v>
      </c>
      <c r="F86" s="12">
        <v>81.0</v>
      </c>
      <c r="G86" s="25"/>
      <c r="H86" s="25"/>
      <c r="I86" s="25"/>
      <c r="J86" s="23"/>
      <c r="K86" s="23"/>
      <c r="L86" s="23"/>
      <c r="M86" s="26"/>
      <c r="N86" s="26"/>
      <c r="O86" s="26"/>
      <c r="P86" s="26"/>
      <c r="Q86" s="27"/>
      <c r="R86" s="26"/>
      <c r="S86" s="26"/>
      <c r="T86" s="26"/>
      <c r="U86" s="26"/>
      <c r="V86" s="26"/>
      <c r="W86" s="25"/>
      <c r="X86" s="25"/>
      <c r="Y86" s="25"/>
      <c r="Z86" s="25"/>
      <c r="AA86" s="25"/>
      <c r="AB86" s="25"/>
      <c r="AC86" s="25"/>
      <c r="AD86" s="25"/>
      <c r="AE86" s="25"/>
    </row>
    <row r="87">
      <c r="A87" s="12" t="str">
        <f>IF(VLOOKUP(H87,'Paste #BBall'!$C$2:$Q$201,3,)="BRO","BKN",IF(VLOOKUP(H87,'Paste #BBall'!$C$2:$Q$201,3,)="OKL","OKC",VLOOKUP(H87,'Paste #BBall'!$C$2:$Q$201,3,)))</f>
        <v>#N/A</v>
      </c>
      <c r="B87" s="12" t="str">
        <f>VLOOKUP(A87,'Paste #BBall'!$A$204:$D$233,4,)</f>
        <v>#N/A</v>
      </c>
      <c r="C87" s="12" t="str">
        <f>VLOOKUP(A87,'Paste #BBall'!$A$204:$C$233,3,)</f>
        <v>#N/A</v>
      </c>
      <c r="D87" s="12" t="str">
        <f>VLOOKUP(A87,'Paste #BBall'!$A$204:$B$233,2,)</f>
        <v>#N/A</v>
      </c>
      <c r="E87" s="12" t="str">
        <f t="shared" si="1"/>
        <v>#N/A</v>
      </c>
      <c r="F87" s="12">
        <v>82.0</v>
      </c>
      <c r="G87" s="25"/>
      <c r="H87" s="25"/>
      <c r="I87" s="25"/>
      <c r="J87" s="23"/>
      <c r="K87" s="23"/>
      <c r="L87" s="23"/>
      <c r="M87" s="26"/>
      <c r="N87" s="26"/>
      <c r="O87" s="26"/>
      <c r="P87" s="26"/>
      <c r="Q87" s="27"/>
      <c r="R87" s="26"/>
      <c r="S87" s="26"/>
      <c r="T87" s="26"/>
      <c r="U87" s="26"/>
      <c r="V87" s="26"/>
      <c r="W87" s="25"/>
      <c r="X87" s="25"/>
      <c r="Y87" s="25"/>
      <c r="Z87" s="25"/>
      <c r="AA87" s="25"/>
      <c r="AB87" s="25"/>
      <c r="AC87" s="25"/>
      <c r="AD87" s="25"/>
      <c r="AE87" s="25"/>
    </row>
    <row r="88">
      <c r="A88" s="12" t="str">
        <f>IF(VLOOKUP(H88,'Paste #BBall'!$C$2:$Q$201,3,)="BRO","BKN",IF(VLOOKUP(H88,'Paste #BBall'!$C$2:$Q$201,3,)="OKL","OKC",VLOOKUP(H88,'Paste #BBall'!$C$2:$Q$201,3,)))</f>
        <v>#N/A</v>
      </c>
      <c r="B88" s="12" t="str">
        <f>VLOOKUP(A88,'Paste #BBall'!$A$204:$D$233,4,)</f>
        <v>#N/A</v>
      </c>
      <c r="C88" s="12" t="str">
        <f>VLOOKUP(A88,'Paste #BBall'!$A$204:$C$233,3,)</f>
        <v>#N/A</v>
      </c>
      <c r="D88" s="12" t="str">
        <f>VLOOKUP(A88,'Paste #BBall'!$A$204:$B$233,2,)</f>
        <v>#N/A</v>
      </c>
      <c r="E88" s="12" t="str">
        <f t="shared" si="1"/>
        <v>#N/A</v>
      </c>
      <c r="F88" s="12">
        <v>83.0</v>
      </c>
      <c r="G88" s="25"/>
      <c r="H88" s="25"/>
      <c r="I88" s="25"/>
      <c r="J88" s="23"/>
      <c r="K88" s="23"/>
      <c r="L88" s="23"/>
      <c r="M88" s="26"/>
      <c r="N88" s="26"/>
      <c r="O88" s="26"/>
      <c r="P88" s="26"/>
      <c r="Q88" s="27"/>
      <c r="R88" s="26"/>
      <c r="S88" s="26"/>
      <c r="T88" s="26"/>
      <c r="U88" s="26"/>
      <c r="V88" s="26"/>
      <c r="W88" s="25"/>
      <c r="X88" s="25"/>
      <c r="Y88" s="25"/>
      <c r="Z88" s="25"/>
      <c r="AA88" s="25"/>
      <c r="AB88" s="25"/>
      <c r="AC88" s="25"/>
      <c r="AD88" s="25"/>
      <c r="AE88" s="25"/>
    </row>
    <row r="89">
      <c r="A89" s="12" t="str">
        <f>IF(VLOOKUP(H89,'Paste #BBall'!$C$2:$Q$201,3,)="BRO","BKN",IF(VLOOKUP(H89,'Paste #BBall'!$C$2:$Q$201,3,)="OKL","OKC",VLOOKUP(H89,'Paste #BBall'!$C$2:$Q$201,3,)))</f>
        <v>#N/A</v>
      </c>
      <c r="B89" s="12" t="str">
        <f>VLOOKUP(A89,'Paste #BBall'!$A$204:$D$233,4,)</f>
        <v>#N/A</v>
      </c>
      <c r="C89" s="12" t="str">
        <f>VLOOKUP(A89,'Paste #BBall'!$A$204:$C$233,3,)</f>
        <v>#N/A</v>
      </c>
      <c r="D89" s="12" t="str">
        <f>VLOOKUP(A89,'Paste #BBall'!$A$204:$B$233,2,)</f>
        <v>#N/A</v>
      </c>
      <c r="E89" s="12" t="str">
        <f t="shared" si="1"/>
        <v>#N/A</v>
      </c>
      <c r="F89" s="12">
        <v>84.0</v>
      </c>
      <c r="G89" s="25"/>
      <c r="H89" s="25"/>
      <c r="I89" s="25"/>
      <c r="J89" s="23"/>
      <c r="K89" s="23"/>
      <c r="L89" s="23"/>
      <c r="M89" s="26"/>
      <c r="N89" s="26"/>
      <c r="O89" s="26"/>
      <c r="P89" s="26"/>
      <c r="Q89" s="27"/>
      <c r="R89" s="26"/>
      <c r="S89" s="26"/>
      <c r="T89" s="26"/>
      <c r="U89" s="26"/>
      <c r="V89" s="26"/>
      <c r="W89" s="25"/>
      <c r="X89" s="25"/>
      <c r="Y89" s="25"/>
      <c r="Z89" s="25"/>
      <c r="AA89" s="25"/>
      <c r="AB89" s="25"/>
      <c r="AC89" s="25"/>
      <c r="AD89" s="25"/>
      <c r="AE89" s="25"/>
    </row>
    <row r="90">
      <c r="A90" s="12" t="str">
        <f>IF(VLOOKUP(H90,'Paste #BBall'!$C$2:$Q$201,3,)="BRO","BKN",IF(VLOOKUP(H90,'Paste #BBall'!$C$2:$Q$201,3,)="OKL","OKC",VLOOKUP(H90,'Paste #BBall'!$C$2:$Q$201,3,)))</f>
        <v>#N/A</v>
      </c>
      <c r="B90" s="12" t="str">
        <f>VLOOKUP(A90,'Paste #BBall'!$A$204:$D$233,4,)</f>
        <v>#N/A</v>
      </c>
      <c r="C90" s="12" t="str">
        <f>VLOOKUP(A90,'Paste #BBall'!$A$204:$C$233,3,)</f>
        <v>#N/A</v>
      </c>
      <c r="D90" s="12" t="str">
        <f>VLOOKUP(A90,'Paste #BBall'!$A$204:$B$233,2,)</f>
        <v>#N/A</v>
      </c>
      <c r="E90" s="12" t="str">
        <f t="shared" si="1"/>
        <v>#N/A</v>
      </c>
      <c r="F90" s="12">
        <v>85.0</v>
      </c>
      <c r="G90" s="25"/>
      <c r="H90" s="25"/>
      <c r="I90" s="25"/>
      <c r="J90" s="23"/>
      <c r="K90" s="23"/>
      <c r="L90" s="23"/>
      <c r="M90" s="26"/>
      <c r="N90" s="26"/>
      <c r="O90" s="26"/>
      <c r="P90" s="26"/>
      <c r="Q90" s="27"/>
      <c r="R90" s="26"/>
      <c r="S90" s="26"/>
      <c r="T90" s="26"/>
      <c r="U90" s="26"/>
      <c r="V90" s="26"/>
      <c r="W90" s="25"/>
      <c r="X90" s="25"/>
      <c r="Y90" s="25"/>
      <c r="Z90" s="25"/>
      <c r="AA90" s="25"/>
      <c r="AB90" s="25"/>
      <c r="AC90" s="25"/>
      <c r="AD90" s="25"/>
      <c r="AE90" s="25"/>
    </row>
    <row r="91">
      <c r="A91" s="12" t="str">
        <f>IF(VLOOKUP(H91,'Paste #BBall'!$C$2:$Q$201,3,)="BRO","BKN",IF(VLOOKUP(H91,'Paste #BBall'!$C$2:$Q$201,3,)="OKL","OKC",VLOOKUP(H91,'Paste #BBall'!$C$2:$Q$201,3,)))</f>
        <v>#N/A</v>
      </c>
      <c r="B91" s="12" t="str">
        <f>VLOOKUP(A91,'Paste #BBall'!$A$204:$D$233,4,)</f>
        <v>#N/A</v>
      </c>
      <c r="C91" s="12" t="str">
        <f>VLOOKUP(A91,'Paste #BBall'!$A$204:$C$233,3,)</f>
        <v>#N/A</v>
      </c>
      <c r="D91" s="12" t="str">
        <f>VLOOKUP(A91,'Paste #BBall'!$A$204:$B$233,2,)</f>
        <v>#N/A</v>
      </c>
      <c r="E91" s="12" t="str">
        <f t="shared" si="1"/>
        <v>#N/A</v>
      </c>
      <c r="F91" s="12">
        <v>86.0</v>
      </c>
      <c r="G91" s="25"/>
      <c r="H91" s="25"/>
      <c r="I91" s="25"/>
      <c r="J91" s="23"/>
      <c r="K91" s="23"/>
      <c r="L91" s="23"/>
      <c r="M91" s="26"/>
      <c r="N91" s="26"/>
      <c r="O91" s="26"/>
      <c r="P91" s="26"/>
      <c r="Q91" s="27"/>
      <c r="R91" s="26"/>
      <c r="S91" s="26"/>
      <c r="T91" s="26"/>
      <c r="U91" s="26"/>
      <c r="V91" s="26"/>
      <c r="W91" s="25"/>
      <c r="X91" s="25"/>
      <c r="Y91" s="25"/>
      <c r="Z91" s="25"/>
      <c r="AA91" s="25"/>
      <c r="AB91" s="25"/>
      <c r="AC91" s="25"/>
      <c r="AD91" s="25"/>
      <c r="AE91" s="25"/>
    </row>
    <row r="92">
      <c r="A92" s="12" t="str">
        <f>IF(VLOOKUP(H92,'Paste #BBall'!$C$2:$Q$201,3,)="BRO","BKN",IF(VLOOKUP(H92,'Paste #BBall'!$C$2:$Q$201,3,)="OKL","OKC",VLOOKUP(H92,'Paste #BBall'!$C$2:$Q$201,3,)))</f>
        <v>#N/A</v>
      </c>
      <c r="B92" s="12" t="str">
        <f>VLOOKUP(A92,'Paste #BBall'!$A$204:$D$233,4,)</f>
        <v>#N/A</v>
      </c>
      <c r="C92" s="12" t="str">
        <f>VLOOKUP(A92,'Paste #BBall'!$A$204:$C$233,3,)</f>
        <v>#N/A</v>
      </c>
      <c r="D92" s="12" t="str">
        <f>VLOOKUP(A92,'Paste #BBall'!$A$204:$B$233,2,)</f>
        <v>#N/A</v>
      </c>
      <c r="E92" s="12" t="str">
        <f t="shared" si="1"/>
        <v>#N/A</v>
      </c>
      <c r="F92" s="12">
        <v>87.0</v>
      </c>
      <c r="G92" s="25"/>
      <c r="H92" s="12"/>
      <c r="I92" s="25"/>
      <c r="J92" s="23"/>
      <c r="K92" s="23"/>
      <c r="L92" s="23"/>
      <c r="M92" s="26"/>
      <c r="N92" s="72"/>
      <c r="O92" s="72"/>
      <c r="P92" s="72"/>
      <c r="Q92" s="73"/>
      <c r="R92" s="72"/>
      <c r="S92" s="72"/>
      <c r="T92" s="72"/>
      <c r="U92" s="72"/>
      <c r="V92" s="26"/>
      <c r="W92" s="25"/>
      <c r="X92" s="25"/>
      <c r="Y92" s="25"/>
      <c r="Z92" s="25"/>
      <c r="AA92" s="25"/>
      <c r="AB92" s="25"/>
      <c r="AC92" s="25"/>
      <c r="AD92" s="25"/>
      <c r="AE92" s="25"/>
    </row>
    <row r="93">
      <c r="A93" s="12" t="str">
        <f>IF(VLOOKUP(H93,'Paste #BBall'!$C$2:$Q$201,3,)="BRO","BKN",IF(VLOOKUP(H93,'Paste #BBall'!$C$2:$Q$201,3,)="OKL","OKC",VLOOKUP(H93,'Paste #BBall'!$C$2:$Q$201,3,)))</f>
        <v>#N/A</v>
      </c>
      <c r="B93" s="12" t="str">
        <f>VLOOKUP(A93,'Paste #BBall'!$A$204:$D$233,4,)</f>
        <v>#N/A</v>
      </c>
      <c r="C93" s="12" t="str">
        <f>VLOOKUP(A93,'Paste #BBall'!$A$204:$C$233,3,)</f>
        <v>#N/A</v>
      </c>
      <c r="D93" s="12" t="str">
        <f>VLOOKUP(A93,'Paste #BBall'!$A$204:$B$233,2,)</f>
        <v>#N/A</v>
      </c>
      <c r="E93" s="12" t="str">
        <f t="shared" si="1"/>
        <v>#N/A</v>
      </c>
      <c r="F93" s="12">
        <v>88.0</v>
      </c>
      <c r="G93" s="25"/>
      <c r="H93" s="25"/>
      <c r="I93" s="25"/>
      <c r="J93" s="23"/>
      <c r="K93" s="23"/>
      <c r="L93" s="23"/>
      <c r="M93" s="26"/>
      <c r="N93" s="26"/>
      <c r="O93" s="26"/>
      <c r="P93" s="26"/>
      <c r="Q93" s="27"/>
      <c r="R93" s="26"/>
      <c r="S93" s="26"/>
      <c r="T93" s="26"/>
      <c r="U93" s="26"/>
      <c r="V93" s="26"/>
      <c r="W93" s="25"/>
      <c r="X93" s="25"/>
      <c r="Y93" s="25"/>
      <c r="Z93" s="25"/>
      <c r="AA93" s="25"/>
      <c r="AB93" s="25"/>
      <c r="AC93" s="25"/>
      <c r="AD93" s="25"/>
      <c r="AE93" s="25"/>
    </row>
    <row r="94">
      <c r="A94" s="12" t="str">
        <f>IF(VLOOKUP(H94,'Paste #BBall'!$C$2:$Q$201,3,)="BRO","BKN",IF(VLOOKUP(H94,'Paste #BBall'!$C$2:$Q$201,3,)="OKL","OKC",VLOOKUP(H94,'Paste #BBall'!$C$2:$Q$201,3,)))</f>
        <v>#N/A</v>
      </c>
      <c r="B94" s="12" t="str">
        <f>VLOOKUP(A94,'Paste #BBall'!$A$204:$D$233,4,)</f>
        <v>#N/A</v>
      </c>
      <c r="C94" s="12" t="str">
        <f>VLOOKUP(A94,'Paste #BBall'!$A$204:$C$233,3,)</f>
        <v>#N/A</v>
      </c>
      <c r="D94" s="12" t="str">
        <f>VLOOKUP(A94,'Paste #BBall'!$A$204:$B$233,2,)</f>
        <v>#N/A</v>
      </c>
      <c r="E94" s="12" t="str">
        <f t="shared" si="1"/>
        <v>#N/A</v>
      </c>
      <c r="F94" s="12">
        <v>89.0</v>
      </c>
      <c r="G94" s="25"/>
      <c r="H94" s="25"/>
      <c r="I94" s="25"/>
      <c r="J94" s="23"/>
      <c r="K94" s="23"/>
      <c r="L94" s="23"/>
      <c r="M94" s="26"/>
      <c r="N94" s="26"/>
      <c r="O94" s="26"/>
      <c r="P94" s="26"/>
      <c r="Q94" s="27"/>
      <c r="R94" s="26"/>
      <c r="S94" s="26"/>
      <c r="T94" s="26"/>
      <c r="U94" s="26"/>
      <c r="V94" s="26"/>
      <c r="W94" s="25"/>
      <c r="X94" s="25"/>
      <c r="Y94" s="25"/>
      <c r="Z94" s="25"/>
      <c r="AA94" s="25"/>
      <c r="AB94" s="25"/>
      <c r="AC94" s="25"/>
      <c r="AD94" s="25"/>
      <c r="AE94" s="25"/>
    </row>
    <row r="95">
      <c r="A95" s="12" t="str">
        <f>IF(VLOOKUP(H95,'Paste #BBall'!$C$2:$Q$201,3,)="BRO","BKN",IF(VLOOKUP(H95,'Paste #BBall'!$C$2:$Q$201,3,)="OKL","OKC",VLOOKUP(H95,'Paste #BBall'!$C$2:$Q$201,3,)))</f>
        <v>#N/A</v>
      </c>
      <c r="B95" s="12" t="str">
        <f>VLOOKUP(A95,'Paste #BBall'!$A$204:$D$233,4,)</f>
        <v>#N/A</v>
      </c>
      <c r="C95" s="12" t="str">
        <f>VLOOKUP(A95,'Paste #BBall'!$A$204:$C$233,3,)</f>
        <v>#N/A</v>
      </c>
      <c r="D95" s="12" t="str">
        <f>VLOOKUP(A95,'Paste #BBall'!$A$204:$B$233,2,)</f>
        <v>#N/A</v>
      </c>
      <c r="E95" s="12" t="str">
        <f t="shared" si="1"/>
        <v>#N/A</v>
      </c>
      <c r="F95" s="12">
        <v>90.0</v>
      </c>
      <c r="G95" s="25"/>
      <c r="H95" s="25"/>
      <c r="I95" s="25"/>
      <c r="J95" s="23"/>
      <c r="K95" s="23"/>
      <c r="L95" s="23"/>
      <c r="M95" s="26"/>
      <c r="N95" s="26"/>
      <c r="O95" s="26"/>
      <c r="P95" s="26"/>
      <c r="Q95" s="27"/>
      <c r="R95" s="26"/>
      <c r="S95" s="26"/>
      <c r="T95" s="26"/>
      <c r="U95" s="26"/>
      <c r="V95" s="26"/>
      <c r="W95" s="25"/>
      <c r="X95" s="25"/>
      <c r="Y95" s="25"/>
      <c r="Z95" s="25"/>
      <c r="AA95" s="25"/>
      <c r="AB95" s="25"/>
      <c r="AC95" s="25"/>
      <c r="AD95" s="25"/>
      <c r="AE95" s="25"/>
    </row>
    <row r="96">
      <c r="A96" s="12" t="str">
        <f>IF(VLOOKUP(H96,'Paste #BBall'!$C$2:$Q$201,3,)="BRO","BKN",IF(VLOOKUP(H96,'Paste #BBall'!$C$2:$Q$201,3,)="OKL","OKC",VLOOKUP(H96,'Paste #BBall'!$C$2:$Q$201,3,)))</f>
        <v>#N/A</v>
      </c>
      <c r="B96" s="12" t="str">
        <f>VLOOKUP(A96,'Paste #BBall'!$A$204:$D$233,4,)</f>
        <v>#N/A</v>
      </c>
      <c r="C96" s="12" t="str">
        <f>VLOOKUP(A96,'Paste #BBall'!$A$204:$C$233,3,)</f>
        <v>#N/A</v>
      </c>
      <c r="D96" s="12" t="str">
        <f>VLOOKUP(A96,'Paste #BBall'!$A$204:$B$233,2,)</f>
        <v>#N/A</v>
      </c>
      <c r="E96" s="12" t="str">
        <f t="shared" si="1"/>
        <v>#N/A</v>
      </c>
      <c r="F96" s="12">
        <v>91.0</v>
      </c>
      <c r="G96" s="25"/>
      <c r="H96" s="25"/>
      <c r="I96" s="25"/>
      <c r="J96" s="23"/>
      <c r="K96" s="23"/>
      <c r="L96" s="23"/>
      <c r="M96" s="26"/>
      <c r="N96" s="26"/>
      <c r="O96" s="26"/>
      <c r="P96" s="26"/>
      <c r="Q96" s="27"/>
      <c r="R96" s="26"/>
      <c r="S96" s="26"/>
      <c r="T96" s="26"/>
      <c r="U96" s="26"/>
      <c r="V96" s="26"/>
      <c r="W96" s="25"/>
      <c r="X96" s="25"/>
      <c r="Y96" s="25"/>
      <c r="Z96" s="25"/>
      <c r="AA96" s="25"/>
      <c r="AB96" s="25"/>
      <c r="AC96" s="25"/>
      <c r="AD96" s="25"/>
      <c r="AE96" s="25"/>
    </row>
    <row r="97">
      <c r="A97" s="12" t="str">
        <f>IF(VLOOKUP(H97,'Paste #BBall'!$C$2:$Q$201,3,)="BRO","BKN",IF(VLOOKUP(H97,'Paste #BBall'!$C$2:$Q$201,3,)="OKL","OKC",VLOOKUP(H97,'Paste #BBall'!$C$2:$Q$201,3,)))</f>
        <v>#N/A</v>
      </c>
      <c r="B97" s="12" t="str">
        <f>VLOOKUP(A97,'Paste #BBall'!$A$204:$D$233,4,)</f>
        <v>#N/A</v>
      </c>
      <c r="C97" s="12" t="str">
        <f>VLOOKUP(A97,'Paste #BBall'!$A$204:$C$233,3,)</f>
        <v>#N/A</v>
      </c>
      <c r="D97" s="12" t="str">
        <f>VLOOKUP(A97,'Paste #BBall'!$A$204:$B$233,2,)</f>
        <v>#N/A</v>
      </c>
      <c r="E97" s="12" t="str">
        <f t="shared" si="1"/>
        <v>#N/A</v>
      </c>
      <c r="F97" s="12">
        <v>92.0</v>
      </c>
      <c r="G97" s="25"/>
      <c r="H97" s="25"/>
      <c r="I97" s="25"/>
      <c r="J97" s="23"/>
      <c r="K97" s="23"/>
      <c r="L97" s="23"/>
      <c r="M97" s="26"/>
      <c r="N97" s="26"/>
      <c r="O97" s="26"/>
      <c r="P97" s="26"/>
      <c r="Q97" s="27"/>
      <c r="R97" s="26"/>
      <c r="S97" s="26"/>
      <c r="T97" s="26"/>
      <c r="U97" s="26"/>
      <c r="V97" s="26"/>
      <c r="W97" s="25"/>
      <c r="X97" s="25"/>
      <c r="Y97" s="25"/>
      <c r="Z97" s="25"/>
      <c r="AA97" s="25"/>
      <c r="AB97" s="25"/>
      <c r="AC97" s="25"/>
      <c r="AD97" s="25"/>
      <c r="AE97" s="25"/>
    </row>
    <row r="98">
      <c r="A98" s="12" t="str">
        <f>IF(VLOOKUP(H98,'Paste #BBall'!$C$2:$Q$201,3,)="BRO","BKN",IF(VLOOKUP(H98,'Paste #BBall'!$C$2:$Q$201,3,)="OKL","OKC",VLOOKUP(H98,'Paste #BBall'!$C$2:$Q$201,3,)))</f>
        <v>#N/A</v>
      </c>
      <c r="B98" s="12" t="str">
        <f>VLOOKUP(A98,'Paste #BBall'!$A$204:$D$233,4,)</f>
        <v>#N/A</v>
      </c>
      <c r="C98" s="12" t="str">
        <f>VLOOKUP(A98,'Paste #BBall'!$A$204:$C$233,3,)</f>
        <v>#N/A</v>
      </c>
      <c r="D98" s="12" t="str">
        <f>VLOOKUP(A98,'Paste #BBall'!$A$204:$B$233,2,)</f>
        <v>#N/A</v>
      </c>
      <c r="E98" s="12" t="str">
        <f t="shared" si="1"/>
        <v>#N/A</v>
      </c>
      <c r="F98" s="12">
        <v>93.0</v>
      </c>
      <c r="G98" s="25"/>
      <c r="H98" s="25"/>
      <c r="I98" s="25"/>
      <c r="J98" s="23"/>
      <c r="K98" s="23"/>
      <c r="L98" s="23"/>
      <c r="M98" s="26"/>
      <c r="N98" s="26"/>
      <c r="O98" s="26"/>
      <c r="P98" s="26"/>
      <c r="Q98" s="27"/>
      <c r="R98" s="26"/>
      <c r="S98" s="26"/>
      <c r="T98" s="26"/>
      <c r="U98" s="26"/>
      <c r="V98" s="26"/>
      <c r="W98" s="25"/>
      <c r="X98" s="25"/>
      <c r="Y98" s="25"/>
      <c r="Z98" s="25"/>
      <c r="AA98" s="25"/>
      <c r="AB98" s="25"/>
      <c r="AC98" s="25"/>
      <c r="AD98" s="25"/>
      <c r="AE98" s="25"/>
    </row>
    <row r="99">
      <c r="A99" s="12" t="str">
        <f>IF(VLOOKUP(H99,'Paste #BBall'!$C$2:$Q$201,3,)="BRO","BKN",IF(VLOOKUP(H99,'Paste #BBall'!$C$2:$Q$201,3,)="OKL","OKC",VLOOKUP(H99,'Paste #BBall'!$C$2:$Q$201,3,)))</f>
        <v>#N/A</v>
      </c>
      <c r="B99" s="12" t="str">
        <f>VLOOKUP(A99,'Paste #BBall'!$A$204:$D$233,4,)</f>
        <v>#N/A</v>
      </c>
      <c r="C99" s="12" t="str">
        <f>VLOOKUP(A99,'Paste #BBall'!$A$204:$C$233,3,)</f>
        <v>#N/A</v>
      </c>
      <c r="D99" s="12" t="str">
        <f>VLOOKUP(A99,'Paste #BBall'!$A$204:$B$233,2,)</f>
        <v>#N/A</v>
      </c>
      <c r="E99" s="12" t="str">
        <f t="shared" si="1"/>
        <v>#N/A</v>
      </c>
      <c r="F99" s="12">
        <v>94.0</v>
      </c>
      <c r="G99" s="25"/>
      <c r="H99" s="25"/>
      <c r="I99" s="25"/>
      <c r="J99" s="23"/>
      <c r="K99" s="23"/>
      <c r="L99" s="23"/>
      <c r="M99" s="26"/>
      <c r="N99" s="26"/>
      <c r="O99" s="26"/>
      <c r="P99" s="26"/>
      <c r="Q99" s="27"/>
      <c r="R99" s="26"/>
      <c r="S99" s="26"/>
      <c r="T99" s="26"/>
      <c r="U99" s="26"/>
      <c r="V99" s="26"/>
      <c r="W99" s="25"/>
      <c r="X99" s="25"/>
      <c r="Y99" s="25"/>
      <c r="Z99" s="25"/>
      <c r="AA99" s="25"/>
      <c r="AB99" s="25"/>
      <c r="AC99" s="25"/>
      <c r="AD99" s="25"/>
      <c r="AE99" s="25"/>
    </row>
    <row r="100">
      <c r="A100" s="12" t="str">
        <f>IF(VLOOKUP(H100,'Paste #BBall'!$C$2:$Q$201,3,)="BRO","BKN",IF(VLOOKUP(H100,'Paste #BBall'!$C$2:$Q$201,3,)="OKL","OKC",VLOOKUP(H100,'Paste #BBall'!$C$2:$Q$201,3,)))</f>
        <v>#N/A</v>
      </c>
      <c r="B100" s="12" t="str">
        <f>VLOOKUP(A100,'Paste #BBall'!$A$204:$D$233,4,)</f>
        <v>#N/A</v>
      </c>
      <c r="C100" s="12" t="str">
        <f>VLOOKUP(A100,'Paste #BBall'!$A$204:$C$233,3,)</f>
        <v>#N/A</v>
      </c>
      <c r="D100" s="12" t="str">
        <f>VLOOKUP(A100,'Paste #BBall'!$A$204:$B$233,2,)</f>
        <v>#N/A</v>
      </c>
      <c r="E100" s="12" t="str">
        <f t="shared" si="1"/>
        <v>#N/A</v>
      </c>
      <c r="F100" s="12">
        <v>95.0</v>
      </c>
      <c r="G100" s="25"/>
      <c r="H100" s="25"/>
      <c r="I100" s="25"/>
      <c r="J100" s="23"/>
      <c r="K100" s="23"/>
      <c r="L100" s="23"/>
      <c r="M100" s="26"/>
      <c r="N100" s="26"/>
      <c r="O100" s="26"/>
      <c r="P100" s="26"/>
      <c r="Q100" s="27"/>
      <c r="R100" s="26"/>
      <c r="S100" s="26"/>
      <c r="T100" s="26"/>
      <c r="U100" s="26"/>
      <c r="V100" s="26"/>
      <c r="W100" s="25"/>
      <c r="X100" s="25"/>
      <c r="Y100" s="25"/>
      <c r="Z100" s="25"/>
      <c r="AA100" s="25"/>
      <c r="AB100" s="25"/>
      <c r="AC100" s="25"/>
      <c r="AD100" s="25"/>
      <c r="AE100" s="25"/>
    </row>
    <row r="101">
      <c r="A101" s="12" t="str">
        <f>IF(VLOOKUP(H101,'Paste #BBall'!$C$2:$Q$201,3,)="BRO","BKN",IF(VLOOKUP(H101,'Paste #BBall'!$C$2:$Q$201,3,)="OKL","OKC",VLOOKUP(H101,'Paste #BBall'!$C$2:$Q$201,3,)))</f>
        <v>#N/A</v>
      </c>
      <c r="B101" s="12" t="str">
        <f>VLOOKUP(A101,'Paste #BBall'!$A$204:$D$233,4,)</f>
        <v>#N/A</v>
      </c>
      <c r="C101" s="12" t="str">
        <f>VLOOKUP(A101,'Paste #BBall'!$A$204:$C$233,3,)</f>
        <v>#N/A</v>
      </c>
      <c r="D101" s="12" t="str">
        <f>VLOOKUP(A101,'Paste #BBall'!$A$204:$B$233,2,)</f>
        <v>#N/A</v>
      </c>
      <c r="E101" s="12" t="str">
        <f t="shared" si="1"/>
        <v>#N/A</v>
      </c>
      <c r="F101" s="12">
        <v>96.0</v>
      </c>
      <c r="G101" s="25"/>
      <c r="H101" s="25"/>
      <c r="I101" s="25"/>
      <c r="J101" s="23"/>
      <c r="K101" s="23"/>
      <c r="L101" s="23"/>
      <c r="M101" s="26"/>
      <c r="N101" s="26"/>
      <c r="O101" s="26"/>
      <c r="P101" s="26"/>
      <c r="Q101" s="27"/>
      <c r="R101" s="26"/>
      <c r="S101" s="26"/>
      <c r="T101" s="26"/>
      <c r="U101" s="26"/>
      <c r="V101" s="26"/>
      <c r="W101" s="25"/>
      <c r="X101" s="25"/>
      <c r="Y101" s="25"/>
      <c r="Z101" s="25"/>
      <c r="AA101" s="25"/>
      <c r="AB101" s="25"/>
      <c r="AC101" s="25"/>
      <c r="AD101" s="25"/>
      <c r="AE101" s="25"/>
    </row>
    <row r="102">
      <c r="A102" s="12" t="str">
        <f>IF(VLOOKUP(H102,'Paste #BBall'!$C$2:$Q$201,3,)="BRO","BKN",IF(VLOOKUP(H102,'Paste #BBall'!$C$2:$Q$201,3,)="OKL","OKC",VLOOKUP(H102,'Paste #BBall'!$C$2:$Q$201,3,)))</f>
        <v>#N/A</v>
      </c>
      <c r="B102" s="12" t="str">
        <f>VLOOKUP(A102,'Paste #BBall'!$A$204:$D$233,4,)</f>
        <v>#N/A</v>
      </c>
      <c r="C102" s="12" t="str">
        <f>VLOOKUP(A102,'Paste #BBall'!$A$204:$C$233,3,)</f>
        <v>#N/A</v>
      </c>
      <c r="D102" s="12" t="str">
        <f>VLOOKUP(A102,'Paste #BBall'!$A$204:$B$233,2,)</f>
        <v>#N/A</v>
      </c>
      <c r="E102" s="12" t="str">
        <f t="shared" si="1"/>
        <v>#N/A</v>
      </c>
      <c r="F102" s="12">
        <v>97.0</v>
      </c>
      <c r="G102" s="25"/>
      <c r="H102" s="25"/>
      <c r="I102" s="25"/>
      <c r="J102" s="23"/>
      <c r="K102" s="23"/>
      <c r="L102" s="23"/>
      <c r="M102" s="26"/>
      <c r="N102" s="26"/>
      <c r="O102" s="26"/>
      <c r="P102" s="26"/>
      <c r="Q102" s="27"/>
      <c r="R102" s="26"/>
      <c r="S102" s="26"/>
      <c r="T102" s="26"/>
      <c r="U102" s="26"/>
      <c r="V102" s="26"/>
      <c r="W102" s="25"/>
      <c r="X102" s="25"/>
      <c r="Y102" s="25"/>
      <c r="Z102" s="25"/>
      <c r="AA102" s="25"/>
      <c r="AB102" s="25"/>
      <c r="AC102" s="25"/>
      <c r="AD102" s="25"/>
      <c r="AE102" s="25"/>
    </row>
    <row r="103">
      <c r="A103" s="12" t="str">
        <f>IF(VLOOKUP(H103,'Paste #BBall'!$C$2:$Q$201,3,)="BRO","BKN",IF(VLOOKUP(H103,'Paste #BBall'!$C$2:$Q$201,3,)="OKL","OKC",VLOOKUP(H103,'Paste #BBall'!$C$2:$Q$201,3,)))</f>
        <v>#N/A</v>
      </c>
      <c r="B103" s="12" t="str">
        <f>VLOOKUP(A103,'Paste #BBall'!$A$204:$D$233,4,)</f>
        <v>#N/A</v>
      </c>
      <c r="C103" s="12" t="str">
        <f>VLOOKUP(A103,'Paste #BBall'!$A$204:$C$233,3,)</f>
        <v>#N/A</v>
      </c>
      <c r="D103" s="12" t="str">
        <f>VLOOKUP(A103,'Paste #BBall'!$A$204:$B$233,2,)</f>
        <v>#N/A</v>
      </c>
      <c r="E103" s="12" t="str">
        <f t="shared" si="1"/>
        <v>#N/A</v>
      </c>
      <c r="F103" s="12">
        <v>98.0</v>
      </c>
      <c r="G103" s="25"/>
      <c r="H103" s="25"/>
      <c r="I103" s="25"/>
      <c r="J103" s="23"/>
      <c r="K103" s="23"/>
      <c r="L103" s="23"/>
      <c r="M103" s="26"/>
      <c r="N103" s="26"/>
      <c r="O103" s="26"/>
      <c r="P103" s="26"/>
      <c r="Q103" s="27"/>
      <c r="R103" s="26"/>
      <c r="S103" s="26"/>
      <c r="T103" s="26"/>
      <c r="U103" s="26"/>
      <c r="V103" s="26"/>
      <c r="W103" s="25"/>
      <c r="X103" s="25"/>
      <c r="Y103" s="25"/>
      <c r="Z103" s="25"/>
      <c r="AA103" s="25"/>
      <c r="AB103" s="25"/>
      <c r="AC103" s="25"/>
      <c r="AD103" s="25"/>
      <c r="AE103" s="25"/>
    </row>
    <row r="104">
      <c r="A104" s="12" t="str">
        <f>IF(VLOOKUP(H104,'Paste #BBall'!$C$2:$Q$201,3,)="BRO","BKN",IF(VLOOKUP(H104,'Paste #BBall'!$C$2:$Q$201,3,)="OKL","OKC",VLOOKUP(H104,'Paste #BBall'!$C$2:$Q$201,3,)))</f>
        <v>#N/A</v>
      </c>
      <c r="B104" s="12" t="str">
        <f>VLOOKUP(A104,'Paste #BBall'!$A$204:$D$233,4,)</f>
        <v>#N/A</v>
      </c>
      <c r="C104" s="12" t="str">
        <f>VLOOKUP(A104,'Paste #BBall'!$A$204:$C$233,3,)</f>
        <v>#N/A</v>
      </c>
      <c r="D104" s="12" t="str">
        <f>VLOOKUP(A104,'Paste #BBall'!$A$204:$B$233,2,)</f>
        <v>#N/A</v>
      </c>
      <c r="E104" s="12" t="str">
        <f t="shared" si="1"/>
        <v>#N/A</v>
      </c>
      <c r="F104" s="12">
        <v>99.0</v>
      </c>
      <c r="G104" s="25"/>
      <c r="H104" s="25"/>
      <c r="I104" s="25"/>
      <c r="J104" s="23"/>
      <c r="K104" s="23"/>
      <c r="L104" s="23"/>
      <c r="M104" s="26"/>
      <c r="N104" s="26"/>
      <c r="O104" s="26"/>
      <c r="P104" s="26"/>
      <c r="Q104" s="27"/>
      <c r="R104" s="26"/>
      <c r="S104" s="26"/>
      <c r="T104" s="26"/>
      <c r="U104" s="26"/>
      <c r="V104" s="26"/>
      <c r="W104" s="25"/>
      <c r="X104" s="25"/>
      <c r="Y104" s="25"/>
      <c r="Z104" s="25"/>
      <c r="AA104" s="25"/>
      <c r="AB104" s="25"/>
      <c r="AC104" s="25"/>
      <c r="AD104" s="25"/>
      <c r="AE104" s="25"/>
    </row>
    <row r="105">
      <c r="A105" s="12" t="str">
        <f>IF(VLOOKUP(H105,'Paste #BBall'!$C$2:$Q$201,3,)="BRO","BKN",IF(VLOOKUP(H105,'Paste #BBall'!$C$2:$Q$201,3,)="OKL","OKC",VLOOKUP(H105,'Paste #BBall'!$C$2:$Q$201,3,)))</f>
        <v>#N/A</v>
      </c>
      <c r="B105" s="12" t="str">
        <f>VLOOKUP(A105,'Paste #BBall'!$A$204:$D$233,4,)</f>
        <v>#N/A</v>
      </c>
      <c r="C105" s="12" t="str">
        <f>VLOOKUP(A105,'Paste #BBall'!$A$204:$C$233,3,)</f>
        <v>#N/A</v>
      </c>
      <c r="D105" s="12" t="str">
        <f>VLOOKUP(A105,'Paste #BBall'!$A$204:$B$233,2,)</f>
        <v>#N/A</v>
      </c>
      <c r="E105" s="12" t="str">
        <f t="shared" si="1"/>
        <v>#N/A</v>
      </c>
      <c r="F105" s="12">
        <v>100.0</v>
      </c>
      <c r="G105" s="25"/>
      <c r="H105" s="25"/>
      <c r="I105" s="25"/>
      <c r="J105" s="23"/>
      <c r="K105" s="23"/>
      <c r="L105" s="23"/>
      <c r="M105" s="26"/>
      <c r="N105" s="26"/>
      <c r="O105" s="26"/>
      <c r="P105" s="26"/>
      <c r="Q105" s="27"/>
      <c r="R105" s="26"/>
      <c r="S105" s="26"/>
      <c r="T105" s="26"/>
      <c r="U105" s="26"/>
      <c r="V105" s="26"/>
      <c r="W105" s="25"/>
      <c r="X105" s="25"/>
      <c r="Y105" s="25"/>
      <c r="Z105" s="25"/>
      <c r="AA105" s="25"/>
      <c r="AB105" s="25"/>
      <c r="AC105" s="25"/>
      <c r="AD105" s="25"/>
      <c r="AE105" s="25"/>
    </row>
    <row r="106">
      <c r="A106" s="12" t="str">
        <f>IF(VLOOKUP(H106,'Paste #BBall'!$C$2:$Q$201,3,)="BRO","BKN",IF(VLOOKUP(H106,'Paste #BBall'!$C$2:$Q$201,3,)="OKL","OKC",VLOOKUP(H106,'Paste #BBall'!$C$2:$Q$201,3,)))</f>
        <v>#N/A</v>
      </c>
      <c r="B106" s="12" t="str">
        <f>VLOOKUP(A106,'Paste #BBall'!$A$204:$D$233,4,)</f>
        <v>#N/A</v>
      </c>
      <c r="C106" s="12" t="str">
        <f>VLOOKUP(A106,'Paste #BBall'!$A$204:$C$233,3,)</f>
        <v>#N/A</v>
      </c>
      <c r="D106" s="12" t="str">
        <f>VLOOKUP(A106,'Paste #BBall'!$A$204:$B$233,2,)</f>
        <v>#N/A</v>
      </c>
      <c r="E106" s="12" t="str">
        <f t="shared" si="1"/>
        <v>#N/A</v>
      </c>
      <c r="F106" s="12">
        <v>101.0</v>
      </c>
      <c r="G106" s="25"/>
      <c r="H106" s="25"/>
      <c r="I106" s="25"/>
      <c r="J106" s="23"/>
      <c r="K106" s="23"/>
      <c r="L106" s="23"/>
      <c r="M106" s="26"/>
      <c r="N106" s="26"/>
      <c r="O106" s="26"/>
      <c r="P106" s="26"/>
      <c r="Q106" s="27"/>
      <c r="R106" s="26"/>
      <c r="S106" s="26"/>
      <c r="T106" s="26"/>
      <c r="U106" s="26"/>
      <c r="V106" s="26"/>
      <c r="W106" s="25"/>
      <c r="X106" s="25"/>
      <c r="Y106" s="25"/>
      <c r="Z106" s="25"/>
      <c r="AA106" s="25"/>
      <c r="AB106" s="25"/>
      <c r="AC106" s="25"/>
      <c r="AD106" s="25"/>
      <c r="AE106" s="25"/>
    </row>
    <row r="107">
      <c r="A107" s="12" t="str">
        <f>IF(VLOOKUP(H107,'Paste #BBall'!$C$2:$Q$201,3,)="BRO","BKN",IF(VLOOKUP(H107,'Paste #BBall'!$C$2:$Q$201,3,)="OKL","OKC",VLOOKUP(H107,'Paste #BBall'!$C$2:$Q$201,3,)))</f>
        <v>#N/A</v>
      </c>
      <c r="B107" s="12" t="str">
        <f>VLOOKUP(A107,'Paste #BBall'!$A$204:$D$233,4,)</f>
        <v>#N/A</v>
      </c>
      <c r="C107" s="12" t="str">
        <f>VLOOKUP(A107,'Paste #BBall'!$A$204:$C$233,3,)</f>
        <v>#N/A</v>
      </c>
      <c r="D107" s="12" t="str">
        <f>VLOOKUP(A107,'Paste #BBall'!$A$204:$B$233,2,)</f>
        <v>#N/A</v>
      </c>
      <c r="E107" s="12" t="str">
        <f t="shared" si="1"/>
        <v>#N/A</v>
      </c>
      <c r="F107" s="12">
        <v>102.0</v>
      </c>
      <c r="G107" s="25"/>
      <c r="H107" s="25"/>
      <c r="I107" s="25"/>
      <c r="J107" s="23"/>
      <c r="K107" s="23"/>
      <c r="L107" s="23"/>
      <c r="M107" s="26"/>
      <c r="N107" s="26"/>
      <c r="O107" s="26"/>
      <c r="P107" s="26"/>
      <c r="Q107" s="27"/>
      <c r="R107" s="26"/>
      <c r="S107" s="26"/>
      <c r="T107" s="26"/>
      <c r="U107" s="26"/>
      <c r="V107" s="26"/>
      <c r="W107" s="25"/>
      <c r="X107" s="25"/>
      <c r="Y107" s="25"/>
      <c r="Z107" s="25"/>
      <c r="AA107" s="25"/>
      <c r="AB107" s="25"/>
      <c r="AC107" s="25"/>
      <c r="AD107" s="25"/>
      <c r="AE107" s="25"/>
    </row>
    <row r="108">
      <c r="A108" s="12" t="str">
        <f>IF(VLOOKUP(H108,'Paste #BBall'!$C$2:$Q$201,3,)="BRO","BKN",IF(VLOOKUP(H108,'Paste #BBall'!$C$2:$Q$201,3,)="OKL","OKC",VLOOKUP(H108,'Paste #BBall'!$C$2:$Q$201,3,)))</f>
        <v>#N/A</v>
      </c>
      <c r="B108" s="12" t="str">
        <f>VLOOKUP(A108,'Paste #BBall'!$A$204:$D$233,4,)</f>
        <v>#N/A</v>
      </c>
      <c r="C108" s="12" t="str">
        <f>VLOOKUP(A108,'Paste #BBall'!$A$204:$C$233,3,)</f>
        <v>#N/A</v>
      </c>
      <c r="D108" s="12" t="str">
        <f>VLOOKUP(A108,'Paste #BBall'!$A$204:$B$233,2,)</f>
        <v>#N/A</v>
      </c>
      <c r="E108" s="12" t="str">
        <f t="shared" si="1"/>
        <v>#N/A</v>
      </c>
      <c r="F108" s="12">
        <v>103.0</v>
      </c>
      <c r="G108" s="25"/>
      <c r="H108" s="25"/>
      <c r="I108" s="25"/>
      <c r="J108" s="23"/>
      <c r="K108" s="23"/>
      <c r="L108" s="23"/>
      <c r="M108" s="26"/>
      <c r="N108" s="26"/>
      <c r="O108" s="26"/>
      <c r="P108" s="26"/>
      <c r="Q108" s="27"/>
      <c r="R108" s="26"/>
      <c r="S108" s="26"/>
      <c r="T108" s="26"/>
      <c r="U108" s="26"/>
      <c r="V108" s="26"/>
      <c r="W108" s="25"/>
      <c r="X108" s="25"/>
      <c r="Y108" s="25"/>
      <c r="Z108" s="25"/>
      <c r="AA108" s="25"/>
      <c r="AB108" s="25"/>
      <c r="AC108" s="25"/>
      <c r="AD108" s="25"/>
      <c r="AE108" s="25"/>
    </row>
    <row r="109">
      <c r="A109" s="12" t="str">
        <f>IF(VLOOKUP(H109,'Paste #BBall'!$C$2:$Q$201,3,)="BRO","BKN",IF(VLOOKUP(H109,'Paste #BBall'!$C$2:$Q$201,3,)="OKL","OKC",VLOOKUP(H109,'Paste #BBall'!$C$2:$Q$201,3,)))</f>
        <v>#N/A</v>
      </c>
      <c r="B109" s="12" t="str">
        <f>VLOOKUP(A109,'Paste #BBall'!$A$204:$D$233,4,)</f>
        <v>#N/A</v>
      </c>
      <c r="C109" s="12" t="str">
        <f>VLOOKUP(A109,'Paste #BBall'!$A$204:$C$233,3,)</f>
        <v>#N/A</v>
      </c>
      <c r="D109" s="12" t="str">
        <f>VLOOKUP(A109,'Paste #BBall'!$A$204:$B$233,2,)</f>
        <v>#N/A</v>
      </c>
      <c r="E109" s="12" t="str">
        <f t="shared" si="1"/>
        <v>#N/A</v>
      </c>
      <c r="F109" s="12">
        <v>104.0</v>
      </c>
      <c r="G109" s="25"/>
      <c r="H109" s="25"/>
      <c r="I109" s="25"/>
      <c r="J109" s="23"/>
      <c r="K109" s="23"/>
      <c r="L109" s="23"/>
      <c r="M109" s="26"/>
      <c r="N109" s="26"/>
      <c r="O109" s="26"/>
      <c r="P109" s="26"/>
      <c r="Q109" s="27"/>
      <c r="R109" s="26"/>
      <c r="S109" s="26"/>
      <c r="T109" s="26"/>
      <c r="U109" s="26"/>
      <c r="V109" s="26"/>
      <c r="W109" s="25"/>
      <c r="X109" s="25"/>
      <c r="Y109" s="25"/>
      <c r="Z109" s="25"/>
      <c r="AA109" s="25"/>
      <c r="AB109" s="25"/>
      <c r="AC109" s="25"/>
      <c r="AD109" s="25"/>
      <c r="AE109" s="25"/>
    </row>
    <row r="110">
      <c r="A110" s="12" t="str">
        <f>IF(VLOOKUP(H110,'Paste #BBall'!$C$2:$Q$201,3,)="BRO","BKN",IF(VLOOKUP(H110,'Paste #BBall'!$C$2:$Q$201,3,)="OKL","OKC",VLOOKUP(H110,'Paste #BBall'!$C$2:$Q$201,3,)))</f>
        <v>#N/A</v>
      </c>
      <c r="B110" s="12" t="str">
        <f>VLOOKUP(A110,'Paste #BBall'!$A$204:$D$233,4,)</f>
        <v>#N/A</v>
      </c>
      <c r="C110" s="12" t="str">
        <f>VLOOKUP(A110,'Paste #BBall'!$A$204:$C$233,3,)</f>
        <v>#N/A</v>
      </c>
      <c r="D110" s="12" t="str">
        <f>VLOOKUP(A110,'Paste #BBall'!$A$204:$B$233,2,)</f>
        <v>#N/A</v>
      </c>
      <c r="E110" s="12" t="str">
        <f t="shared" si="1"/>
        <v>#N/A</v>
      </c>
      <c r="F110" s="12">
        <v>105.0</v>
      </c>
      <c r="G110" s="25"/>
      <c r="H110" s="25"/>
      <c r="I110" s="25"/>
      <c r="J110" s="23"/>
      <c r="K110" s="23"/>
      <c r="L110" s="23"/>
      <c r="M110" s="26"/>
      <c r="N110" s="26"/>
      <c r="O110" s="26"/>
      <c r="P110" s="26"/>
      <c r="Q110" s="27"/>
      <c r="R110" s="26"/>
      <c r="S110" s="26"/>
      <c r="T110" s="26"/>
      <c r="U110" s="26"/>
      <c r="V110" s="26"/>
      <c r="W110" s="25"/>
      <c r="X110" s="25"/>
      <c r="Y110" s="25"/>
      <c r="Z110" s="25"/>
      <c r="AA110" s="25"/>
      <c r="AB110" s="25"/>
      <c r="AC110" s="25"/>
      <c r="AD110" s="25"/>
      <c r="AE110" s="25"/>
    </row>
    <row r="111">
      <c r="A111" s="12" t="str">
        <f>IF(VLOOKUP(H111,'Paste #BBall'!$C$2:$Q$201,3,)="BRO","BKN",IF(VLOOKUP(H111,'Paste #BBall'!$C$2:$Q$201,3,)="OKL","OKC",VLOOKUP(H111,'Paste #BBall'!$C$2:$Q$201,3,)))</f>
        <v>#N/A</v>
      </c>
      <c r="B111" s="12" t="str">
        <f>VLOOKUP(A111,'Paste #BBall'!$A$204:$D$233,4,)</f>
        <v>#N/A</v>
      </c>
      <c r="C111" s="12" t="str">
        <f>VLOOKUP(A111,'Paste #BBall'!$A$204:$C$233,3,)</f>
        <v>#N/A</v>
      </c>
      <c r="D111" s="12" t="str">
        <f>VLOOKUP(A111,'Paste #BBall'!$A$204:$B$233,2,)</f>
        <v>#N/A</v>
      </c>
      <c r="E111" s="12" t="str">
        <f t="shared" si="1"/>
        <v>#N/A</v>
      </c>
      <c r="F111" s="12">
        <v>106.0</v>
      </c>
      <c r="G111" s="25"/>
      <c r="H111" s="25"/>
      <c r="I111" s="25"/>
      <c r="J111" s="23"/>
      <c r="K111" s="23"/>
      <c r="L111" s="23"/>
      <c r="M111" s="26"/>
      <c r="N111" s="26"/>
      <c r="O111" s="26"/>
      <c r="P111" s="26"/>
      <c r="Q111" s="27"/>
      <c r="R111" s="26"/>
      <c r="S111" s="26"/>
      <c r="T111" s="26"/>
      <c r="U111" s="26"/>
      <c r="V111" s="26"/>
      <c r="W111" s="25"/>
      <c r="X111" s="25"/>
      <c r="Y111" s="25"/>
      <c r="Z111" s="25"/>
      <c r="AA111" s="25"/>
      <c r="AB111" s="25"/>
      <c r="AC111" s="25"/>
      <c r="AD111" s="25"/>
      <c r="AE111" s="25"/>
    </row>
    <row r="112">
      <c r="A112" s="12" t="str">
        <f>IF(VLOOKUP(H112,'Paste #BBall'!$C$2:$Q$201,3,)="BRO","BKN",IF(VLOOKUP(H112,'Paste #BBall'!$C$2:$Q$201,3,)="OKL","OKC",VLOOKUP(H112,'Paste #BBall'!$C$2:$Q$201,3,)))</f>
        <v>#N/A</v>
      </c>
      <c r="B112" s="12" t="str">
        <f>VLOOKUP(A112,'Paste #BBall'!$A$204:$D$233,4,)</f>
        <v>#N/A</v>
      </c>
      <c r="C112" s="12" t="str">
        <f>VLOOKUP(A112,'Paste #BBall'!$A$204:$C$233,3,)</f>
        <v>#N/A</v>
      </c>
      <c r="D112" s="12" t="str">
        <f>VLOOKUP(A112,'Paste #BBall'!$A$204:$B$233,2,)</f>
        <v>#N/A</v>
      </c>
      <c r="E112" s="12" t="str">
        <f t="shared" si="1"/>
        <v>#N/A</v>
      </c>
      <c r="F112" s="12">
        <v>107.0</v>
      </c>
      <c r="G112" s="25"/>
      <c r="H112" s="25"/>
      <c r="I112" s="25"/>
      <c r="J112" s="23"/>
      <c r="K112" s="23"/>
      <c r="L112" s="23"/>
      <c r="M112" s="26"/>
      <c r="N112" s="26"/>
      <c r="O112" s="26"/>
      <c r="P112" s="26"/>
      <c r="Q112" s="27"/>
      <c r="R112" s="26"/>
      <c r="S112" s="26"/>
      <c r="T112" s="26"/>
      <c r="U112" s="26"/>
      <c r="V112" s="26"/>
      <c r="W112" s="25"/>
      <c r="X112" s="25"/>
      <c r="Y112" s="25"/>
      <c r="Z112" s="25"/>
      <c r="AA112" s="25"/>
      <c r="AB112" s="25"/>
      <c r="AC112" s="25"/>
      <c r="AD112" s="25"/>
      <c r="AE112" s="25"/>
    </row>
    <row r="113">
      <c r="A113" s="12" t="str">
        <f>IF(VLOOKUP(H113,'Paste #BBall'!$C$2:$Q$201,3,)="BRO","BKN",IF(VLOOKUP(H113,'Paste #BBall'!$C$2:$Q$201,3,)="OKL","OKC",VLOOKUP(H113,'Paste #BBall'!$C$2:$Q$201,3,)))</f>
        <v>#N/A</v>
      </c>
      <c r="B113" s="12" t="str">
        <f>VLOOKUP(A113,'Paste #BBall'!$A$204:$D$233,4,)</f>
        <v>#N/A</v>
      </c>
      <c r="C113" s="12" t="str">
        <f>VLOOKUP(A113,'Paste #BBall'!$A$204:$C$233,3,)</f>
        <v>#N/A</v>
      </c>
      <c r="D113" s="12" t="str">
        <f>VLOOKUP(A113,'Paste #BBall'!$A$204:$B$233,2,)</f>
        <v>#N/A</v>
      </c>
      <c r="E113" s="12" t="str">
        <f t="shared" si="1"/>
        <v>#N/A</v>
      </c>
      <c r="F113" s="12">
        <v>108.0</v>
      </c>
      <c r="G113" s="25"/>
      <c r="H113" s="25"/>
      <c r="I113" s="25"/>
      <c r="J113" s="23"/>
      <c r="K113" s="23"/>
      <c r="L113" s="23"/>
      <c r="M113" s="26"/>
      <c r="N113" s="26"/>
      <c r="O113" s="26"/>
      <c r="P113" s="26"/>
      <c r="Q113" s="27"/>
      <c r="R113" s="26"/>
      <c r="S113" s="26"/>
      <c r="T113" s="26"/>
      <c r="U113" s="26"/>
      <c r="V113" s="26"/>
      <c r="W113" s="25"/>
      <c r="X113" s="25"/>
      <c r="Y113" s="25"/>
      <c r="Z113" s="25"/>
      <c r="AA113" s="25"/>
      <c r="AB113" s="25"/>
      <c r="AC113" s="25"/>
      <c r="AD113" s="25"/>
      <c r="AE113" s="25"/>
    </row>
    <row r="114">
      <c r="A114" s="12" t="str">
        <f>IF(VLOOKUP(H114,'Paste #BBall'!$C$2:$Q$201,3,)="BRO","BKN",IF(VLOOKUP(H114,'Paste #BBall'!$C$2:$Q$201,3,)="OKL","OKC",VLOOKUP(H114,'Paste #BBall'!$C$2:$Q$201,3,)))</f>
        <v>#N/A</v>
      </c>
      <c r="B114" s="12" t="str">
        <f>VLOOKUP(A114,'Paste #BBall'!$A$204:$D$233,4,)</f>
        <v>#N/A</v>
      </c>
      <c r="C114" s="12" t="str">
        <f>VLOOKUP(A114,'Paste #BBall'!$A$204:$C$233,3,)</f>
        <v>#N/A</v>
      </c>
      <c r="D114" s="12" t="str">
        <f>VLOOKUP(A114,'Paste #BBall'!$A$204:$B$233,2,)</f>
        <v>#N/A</v>
      </c>
      <c r="E114" s="12" t="str">
        <f t="shared" si="1"/>
        <v>#N/A</v>
      </c>
      <c r="F114" s="12">
        <v>109.0</v>
      </c>
      <c r="G114" s="25"/>
      <c r="H114" s="25"/>
      <c r="I114" s="25"/>
      <c r="J114" s="23"/>
      <c r="K114" s="23"/>
      <c r="L114" s="23"/>
      <c r="M114" s="26"/>
      <c r="N114" s="26"/>
      <c r="O114" s="26"/>
      <c r="P114" s="26"/>
      <c r="Q114" s="27"/>
      <c r="R114" s="26"/>
      <c r="S114" s="26"/>
      <c r="T114" s="26"/>
      <c r="U114" s="26"/>
      <c r="V114" s="26"/>
      <c r="W114" s="25"/>
      <c r="X114" s="25"/>
      <c r="Y114" s="25"/>
      <c r="Z114" s="25"/>
      <c r="AA114" s="25"/>
      <c r="AB114" s="25"/>
      <c r="AC114" s="25"/>
      <c r="AD114" s="25"/>
      <c r="AE114" s="25"/>
    </row>
    <row r="115">
      <c r="A115" s="12" t="str">
        <f>IF(VLOOKUP(H115,'Paste #BBall'!$C$2:$Q$201,3,)="BRO","BKN",IF(VLOOKUP(H115,'Paste #BBall'!$C$2:$Q$201,3,)="OKL","OKC",VLOOKUP(H115,'Paste #BBall'!$C$2:$Q$201,3,)))</f>
        <v>#N/A</v>
      </c>
      <c r="B115" s="12" t="str">
        <f>VLOOKUP(A115,'Paste #BBall'!$A$204:$D$233,4,)</f>
        <v>#N/A</v>
      </c>
      <c r="C115" s="12" t="str">
        <f>VLOOKUP(A115,'Paste #BBall'!$A$204:$C$233,3,)</f>
        <v>#N/A</v>
      </c>
      <c r="D115" s="12" t="str">
        <f>VLOOKUP(A115,'Paste #BBall'!$A$204:$B$233,2,)</f>
        <v>#N/A</v>
      </c>
      <c r="E115" s="12" t="str">
        <f t="shared" si="1"/>
        <v>#N/A</v>
      </c>
      <c r="F115" s="12">
        <v>110.0</v>
      </c>
      <c r="G115" s="25"/>
      <c r="H115" s="25"/>
      <c r="I115" s="25"/>
      <c r="J115" s="23"/>
      <c r="K115" s="23"/>
      <c r="L115" s="23"/>
      <c r="M115" s="26"/>
      <c r="N115" s="26"/>
      <c r="O115" s="26"/>
      <c r="P115" s="26"/>
      <c r="Q115" s="27"/>
      <c r="R115" s="26"/>
      <c r="S115" s="26"/>
      <c r="T115" s="26"/>
      <c r="U115" s="26"/>
      <c r="V115" s="26"/>
      <c r="W115" s="25"/>
      <c r="X115" s="25"/>
      <c r="Y115" s="25"/>
      <c r="Z115" s="25"/>
      <c r="AA115" s="25"/>
      <c r="AB115" s="25"/>
      <c r="AC115" s="25"/>
      <c r="AD115" s="25"/>
      <c r="AE115" s="25"/>
    </row>
    <row r="116">
      <c r="A116" s="12" t="str">
        <f>IF(VLOOKUP(H116,'Paste #BBall'!$C$2:$Q$201,3,)="BRO","BKN",IF(VLOOKUP(H116,'Paste #BBall'!$C$2:$Q$201,3,)="OKL","OKC",VLOOKUP(H116,'Paste #BBall'!$C$2:$Q$201,3,)))</f>
        <v>#N/A</v>
      </c>
      <c r="B116" s="12" t="str">
        <f>VLOOKUP(A116,'Paste #BBall'!$A$204:$D$233,4,)</f>
        <v>#N/A</v>
      </c>
      <c r="C116" s="12" t="str">
        <f>VLOOKUP(A116,'Paste #BBall'!$A$204:$C$233,3,)</f>
        <v>#N/A</v>
      </c>
      <c r="D116" s="12" t="str">
        <f>VLOOKUP(A116,'Paste #BBall'!$A$204:$B$233,2,)</f>
        <v>#N/A</v>
      </c>
      <c r="E116" s="12" t="str">
        <f t="shared" si="1"/>
        <v>#N/A</v>
      </c>
      <c r="F116" s="12">
        <v>111.0</v>
      </c>
      <c r="G116" s="25"/>
      <c r="H116" s="25"/>
      <c r="I116" s="25"/>
      <c r="J116" s="23"/>
      <c r="K116" s="23"/>
      <c r="L116" s="23"/>
      <c r="M116" s="26"/>
      <c r="N116" s="26"/>
      <c r="O116" s="26"/>
      <c r="P116" s="26"/>
      <c r="Q116" s="27"/>
      <c r="R116" s="26"/>
      <c r="S116" s="26"/>
      <c r="T116" s="26"/>
      <c r="U116" s="26"/>
      <c r="V116" s="26"/>
      <c r="W116" s="25"/>
      <c r="X116" s="25"/>
      <c r="Y116" s="25"/>
      <c r="Z116" s="25"/>
      <c r="AA116" s="25"/>
      <c r="AB116" s="25"/>
      <c r="AC116" s="25"/>
      <c r="AD116" s="25"/>
      <c r="AE116" s="25"/>
    </row>
    <row r="117">
      <c r="A117" s="12" t="str">
        <f>IF(VLOOKUP(H117,'Paste #BBall'!$C$2:$Q$201,3,)="BRO","BKN",IF(VLOOKUP(H117,'Paste #BBall'!$C$2:$Q$201,3,)="OKL","OKC",VLOOKUP(H117,'Paste #BBall'!$C$2:$Q$201,3,)))</f>
        <v>#N/A</v>
      </c>
      <c r="B117" s="12" t="str">
        <f>VLOOKUP(A117,'Paste #BBall'!$A$204:$D$233,4,)</f>
        <v>#N/A</v>
      </c>
      <c r="C117" s="12" t="str">
        <f>VLOOKUP(A117,'Paste #BBall'!$A$204:$C$233,3,)</f>
        <v>#N/A</v>
      </c>
      <c r="D117" s="12" t="str">
        <f>VLOOKUP(A117,'Paste #BBall'!$A$204:$B$233,2,)</f>
        <v>#N/A</v>
      </c>
      <c r="E117" s="12" t="str">
        <f t="shared" si="1"/>
        <v>#N/A</v>
      </c>
      <c r="F117" s="12">
        <v>112.0</v>
      </c>
      <c r="G117" s="25"/>
      <c r="H117" s="25"/>
      <c r="I117" s="25"/>
      <c r="J117" s="23"/>
      <c r="K117" s="23"/>
      <c r="L117" s="23"/>
      <c r="M117" s="26"/>
      <c r="N117" s="26"/>
      <c r="O117" s="26"/>
      <c r="P117" s="26"/>
      <c r="Q117" s="27"/>
      <c r="R117" s="26"/>
      <c r="S117" s="26"/>
      <c r="T117" s="26"/>
      <c r="U117" s="26"/>
      <c r="V117" s="26"/>
      <c r="W117" s="25"/>
      <c r="X117" s="25"/>
      <c r="Y117" s="25"/>
      <c r="Z117" s="25"/>
      <c r="AA117" s="25"/>
      <c r="AB117" s="25"/>
      <c r="AC117" s="25"/>
      <c r="AD117" s="25"/>
      <c r="AE117" s="25"/>
    </row>
    <row r="118">
      <c r="A118" s="12" t="str">
        <f>IF(VLOOKUP(H118,'Paste #BBall'!$C$2:$Q$201,3,)="BRO","BKN",IF(VLOOKUP(H118,'Paste #BBall'!$C$2:$Q$201,3,)="OKL","OKC",VLOOKUP(H118,'Paste #BBall'!$C$2:$Q$201,3,)))</f>
        <v>#N/A</v>
      </c>
      <c r="B118" s="12" t="str">
        <f>VLOOKUP(A118,'Paste #BBall'!$A$204:$D$233,4,)</f>
        <v>#N/A</v>
      </c>
      <c r="C118" s="12" t="str">
        <f>VLOOKUP(A118,'Paste #BBall'!$A$204:$C$233,3,)</f>
        <v>#N/A</v>
      </c>
      <c r="D118" s="12" t="str">
        <f>VLOOKUP(A118,'Paste #BBall'!$A$204:$B$233,2,)</f>
        <v>#N/A</v>
      </c>
      <c r="E118" s="12" t="str">
        <f t="shared" si="1"/>
        <v>#N/A</v>
      </c>
      <c r="F118" s="12">
        <v>113.0</v>
      </c>
      <c r="G118" s="25"/>
      <c r="H118" s="25"/>
      <c r="I118" s="25"/>
      <c r="J118" s="23"/>
      <c r="K118" s="23"/>
      <c r="L118" s="23"/>
      <c r="M118" s="26"/>
      <c r="N118" s="26"/>
      <c r="O118" s="26"/>
      <c r="P118" s="26"/>
      <c r="Q118" s="27"/>
      <c r="R118" s="26"/>
      <c r="S118" s="26"/>
      <c r="T118" s="26"/>
      <c r="U118" s="26"/>
      <c r="V118" s="26"/>
      <c r="W118" s="25"/>
      <c r="X118" s="25"/>
      <c r="Y118" s="25"/>
      <c r="Z118" s="25"/>
      <c r="AA118" s="25"/>
      <c r="AB118" s="25"/>
      <c r="AC118" s="25"/>
      <c r="AD118" s="25"/>
      <c r="AE118" s="25"/>
    </row>
    <row r="119">
      <c r="A119" s="12" t="str">
        <f>IF(VLOOKUP(H119,'Paste #BBall'!$C$2:$Q$201,3,)="BRO","BKN",IF(VLOOKUP(H119,'Paste #BBall'!$C$2:$Q$201,3,)="OKL","OKC",VLOOKUP(H119,'Paste #BBall'!$C$2:$Q$201,3,)))</f>
        <v>#N/A</v>
      </c>
      <c r="B119" s="12" t="str">
        <f>VLOOKUP(A119,'Paste #BBall'!$A$204:$D$233,4,)</f>
        <v>#N/A</v>
      </c>
      <c r="C119" s="12" t="str">
        <f>VLOOKUP(A119,'Paste #BBall'!$A$204:$C$233,3,)</f>
        <v>#N/A</v>
      </c>
      <c r="D119" s="12" t="str">
        <f>VLOOKUP(A119,'Paste #BBall'!$A$204:$B$233,2,)</f>
        <v>#N/A</v>
      </c>
      <c r="E119" s="12" t="str">
        <f t="shared" si="1"/>
        <v>#N/A</v>
      </c>
      <c r="F119" s="12">
        <v>114.0</v>
      </c>
      <c r="G119" s="25"/>
      <c r="H119" s="25"/>
      <c r="I119" s="25"/>
      <c r="J119" s="23"/>
      <c r="K119" s="23"/>
      <c r="L119" s="23"/>
      <c r="M119" s="26"/>
      <c r="N119" s="26"/>
      <c r="O119" s="26"/>
      <c r="P119" s="26"/>
      <c r="Q119" s="27"/>
      <c r="R119" s="26"/>
      <c r="S119" s="26"/>
      <c r="T119" s="26"/>
      <c r="U119" s="26"/>
      <c r="V119" s="26"/>
      <c r="W119" s="25"/>
      <c r="X119" s="25"/>
      <c r="Y119" s="25"/>
      <c r="Z119" s="25"/>
      <c r="AA119" s="25"/>
      <c r="AB119" s="25"/>
      <c r="AC119" s="25"/>
      <c r="AD119" s="25"/>
      <c r="AE119" s="25"/>
    </row>
    <row r="120">
      <c r="A120" s="12" t="str">
        <f>IF(VLOOKUP(H120,'Paste #BBall'!$C$2:$Q$201,3,)="BRO","BKN",IF(VLOOKUP(H120,'Paste #BBall'!$C$2:$Q$201,3,)="OKL","OKC",VLOOKUP(H120,'Paste #BBall'!$C$2:$Q$201,3,)))</f>
        <v>#N/A</v>
      </c>
      <c r="B120" s="12" t="str">
        <f>VLOOKUP(A120,'Paste #BBall'!$A$204:$D$233,4,)</f>
        <v>#N/A</v>
      </c>
      <c r="C120" s="12" t="str">
        <f>VLOOKUP(A120,'Paste #BBall'!$A$204:$C$233,3,)</f>
        <v>#N/A</v>
      </c>
      <c r="D120" s="12" t="str">
        <f>VLOOKUP(A120,'Paste #BBall'!$A$204:$B$233,2,)</f>
        <v>#N/A</v>
      </c>
      <c r="E120" s="12" t="str">
        <f t="shared" si="1"/>
        <v>#N/A</v>
      </c>
      <c r="F120" s="12">
        <v>115.0</v>
      </c>
      <c r="G120" s="25"/>
      <c r="H120" s="25"/>
      <c r="I120" s="25"/>
      <c r="J120" s="23"/>
      <c r="K120" s="23"/>
      <c r="L120" s="23"/>
      <c r="M120" s="26"/>
      <c r="N120" s="26"/>
      <c r="O120" s="26"/>
      <c r="P120" s="26"/>
      <c r="Q120" s="27"/>
      <c r="R120" s="26"/>
      <c r="S120" s="26"/>
      <c r="T120" s="26"/>
      <c r="U120" s="26"/>
      <c r="V120" s="26"/>
      <c r="W120" s="25"/>
      <c r="X120" s="25"/>
      <c r="Y120" s="25"/>
      <c r="Z120" s="25"/>
      <c r="AA120" s="25"/>
      <c r="AB120" s="25"/>
      <c r="AC120" s="25"/>
      <c r="AD120" s="25"/>
      <c r="AE120" s="25"/>
    </row>
    <row r="121">
      <c r="A121" s="12" t="str">
        <f>IF(VLOOKUP(H121,'Paste #BBall'!$C$2:$Q$201,3,)="BRO","BKN",IF(VLOOKUP(H121,'Paste #BBall'!$C$2:$Q$201,3,)="OKL","OKC",VLOOKUP(H121,'Paste #BBall'!$C$2:$Q$201,3,)))</f>
        <v>#N/A</v>
      </c>
      <c r="B121" s="12" t="str">
        <f>VLOOKUP(A121,'Paste #BBall'!$A$204:$D$233,4,)</f>
        <v>#N/A</v>
      </c>
      <c r="C121" s="12" t="str">
        <f>VLOOKUP(A121,'Paste #BBall'!$A$204:$C$233,3,)</f>
        <v>#N/A</v>
      </c>
      <c r="D121" s="12" t="str">
        <f>VLOOKUP(A121,'Paste #BBall'!$A$204:$B$233,2,)</f>
        <v>#N/A</v>
      </c>
      <c r="E121" s="12" t="str">
        <f t="shared" si="1"/>
        <v>#N/A</v>
      </c>
      <c r="F121" s="12">
        <v>116.0</v>
      </c>
      <c r="G121" s="25"/>
      <c r="H121" s="25"/>
      <c r="I121" s="25"/>
      <c r="J121" s="23"/>
      <c r="K121" s="23"/>
      <c r="L121" s="23"/>
      <c r="M121" s="26"/>
      <c r="N121" s="26"/>
      <c r="O121" s="26"/>
      <c r="P121" s="26"/>
      <c r="Q121" s="27"/>
      <c r="R121" s="26"/>
      <c r="S121" s="26"/>
      <c r="T121" s="26"/>
      <c r="U121" s="26"/>
      <c r="V121" s="26"/>
      <c r="W121" s="25"/>
      <c r="X121" s="25"/>
      <c r="Y121" s="25"/>
      <c r="Z121" s="25"/>
      <c r="AA121" s="25"/>
      <c r="AB121" s="25"/>
      <c r="AC121" s="25"/>
      <c r="AD121" s="25"/>
      <c r="AE121" s="25"/>
    </row>
    <row r="122">
      <c r="A122" s="12" t="str">
        <f>IF(VLOOKUP(H122,'Paste #BBall'!$C$2:$Q$201,3,)="BRO","BKN",IF(VLOOKUP(H122,'Paste #BBall'!$C$2:$Q$201,3,)="OKL","OKC",VLOOKUP(H122,'Paste #BBall'!$C$2:$Q$201,3,)))</f>
        <v>#N/A</v>
      </c>
      <c r="B122" s="12" t="str">
        <f>VLOOKUP(A122,'Paste #BBall'!$A$204:$D$233,4,)</f>
        <v>#N/A</v>
      </c>
      <c r="C122" s="12" t="str">
        <f>VLOOKUP(A122,'Paste #BBall'!$A$204:$C$233,3,)</f>
        <v>#N/A</v>
      </c>
      <c r="D122" s="12" t="str">
        <f>VLOOKUP(A122,'Paste #BBall'!$A$204:$B$233,2,)</f>
        <v>#N/A</v>
      </c>
      <c r="E122" s="12" t="str">
        <f t="shared" si="1"/>
        <v>#N/A</v>
      </c>
      <c r="F122" s="12">
        <v>117.0</v>
      </c>
      <c r="G122" s="25"/>
      <c r="H122" s="25"/>
      <c r="I122" s="25"/>
      <c r="J122" s="23"/>
      <c r="K122" s="23"/>
      <c r="L122" s="23"/>
      <c r="M122" s="26"/>
      <c r="N122" s="26"/>
      <c r="O122" s="26"/>
      <c r="P122" s="26"/>
      <c r="Q122" s="27"/>
      <c r="R122" s="26"/>
      <c r="S122" s="26"/>
      <c r="T122" s="26"/>
      <c r="U122" s="26"/>
      <c r="V122" s="26"/>
      <c r="W122" s="25"/>
      <c r="X122" s="25"/>
      <c r="Y122" s="25"/>
      <c r="Z122" s="25"/>
      <c r="AA122" s="25"/>
      <c r="AB122" s="25"/>
      <c r="AC122" s="25"/>
      <c r="AD122" s="25"/>
      <c r="AE122" s="25"/>
    </row>
    <row r="123">
      <c r="A123" s="12" t="str">
        <f>IF(VLOOKUP(H123,'Paste #BBall'!$C$2:$Q$201,3,)="BRO","BKN",IF(VLOOKUP(H123,'Paste #BBall'!$C$2:$Q$201,3,)="OKL","OKC",VLOOKUP(H123,'Paste #BBall'!$C$2:$Q$201,3,)))</f>
        <v>#N/A</v>
      </c>
      <c r="B123" s="12" t="str">
        <f>VLOOKUP(A123,'Paste #BBall'!$A$204:$D$233,4,)</f>
        <v>#N/A</v>
      </c>
      <c r="C123" s="12" t="str">
        <f>VLOOKUP(A123,'Paste #BBall'!$A$204:$C$233,3,)</f>
        <v>#N/A</v>
      </c>
      <c r="D123" s="12" t="str">
        <f>VLOOKUP(A123,'Paste #BBall'!$A$204:$B$233,2,)</f>
        <v>#N/A</v>
      </c>
      <c r="E123" s="12" t="str">
        <f t="shared" si="1"/>
        <v>#N/A</v>
      </c>
      <c r="F123" s="12">
        <v>118.0</v>
      </c>
      <c r="G123" s="25"/>
      <c r="H123" s="25"/>
      <c r="I123" s="25"/>
      <c r="J123" s="23"/>
      <c r="K123" s="23"/>
      <c r="L123" s="23"/>
      <c r="M123" s="26"/>
      <c r="N123" s="26"/>
      <c r="O123" s="26"/>
      <c r="P123" s="26"/>
      <c r="Q123" s="27"/>
      <c r="R123" s="26"/>
      <c r="S123" s="26"/>
      <c r="T123" s="26"/>
      <c r="U123" s="26"/>
      <c r="V123" s="26"/>
      <c r="W123" s="25"/>
      <c r="X123" s="25"/>
      <c r="Y123" s="25"/>
      <c r="Z123" s="25"/>
      <c r="AA123" s="25"/>
      <c r="AB123" s="25"/>
      <c r="AC123" s="25"/>
      <c r="AD123" s="25"/>
      <c r="AE123" s="25"/>
    </row>
    <row r="124">
      <c r="A124" s="12" t="str">
        <f>IF(VLOOKUP(H124,'Paste #BBall'!$C$2:$Q$201,3,)="BRO","BKN",IF(VLOOKUP(H124,'Paste #BBall'!$C$2:$Q$201,3,)="OKL","OKC",VLOOKUP(H124,'Paste #BBall'!$C$2:$Q$201,3,)))</f>
        <v>#N/A</v>
      </c>
      <c r="B124" s="12" t="str">
        <f>VLOOKUP(A124,'Paste #BBall'!$A$204:$D$233,4,)</f>
        <v>#N/A</v>
      </c>
      <c r="C124" s="12" t="str">
        <f>VLOOKUP(A124,'Paste #BBall'!$A$204:$C$233,3,)</f>
        <v>#N/A</v>
      </c>
      <c r="D124" s="12" t="str">
        <f>VLOOKUP(A124,'Paste #BBall'!$A$204:$B$233,2,)</f>
        <v>#N/A</v>
      </c>
      <c r="E124" s="12" t="str">
        <f t="shared" si="1"/>
        <v>#N/A</v>
      </c>
      <c r="F124" s="12">
        <v>119.0</v>
      </c>
      <c r="G124" s="25"/>
      <c r="H124" s="25"/>
      <c r="I124" s="25"/>
      <c r="J124" s="23"/>
      <c r="K124" s="23"/>
      <c r="L124" s="23"/>
      <c r="M124" s="26"/>
      <c r="N124" s="26"/>
      <c r="O124" s="26"/>
      <c r="P124" s="26"/>
      <c r="Q124" s="27"/>
      <c r="R124" s="26"/>
      <c r="S124" s="26"/>
      <c r="T124" s="26"/>
      <c r="U124" s="26"/>
      <c r="V124" s="26"/>
      <c r="W124" s="25"/>
      <c r="X124" s="25"/>
      <c r="Y124" s="25"/>
      <c r="Z124" s="25"/>
      <c r="AA124" s="25"/>
      <c r="AB124" s="25"/>
      <c r="AC124" s="25"/>
      <c r="AD124" s="25"/>
      <c r="AE124" s="25"/>
    </row>
    <row r="125">
      <c r="A125" s="12" t="str">
        <f>IF(VLOOKUP(H125,'Paste #BBall'!$C$2:$Q$201,3,)="BRO","BKN",IF(VLOOKUP(H125,'Paste #BBall'!$C$2:$Q$201,3,)="OKL","OKC",VLOOKUP(H125,'Paste #BBall'!$C$2:$Q$201,3,)))</f>
        <v>#N/A</v>
      </c>
      <c r="B125" s="12" t="str">
        <f>VLOOKUP(A125,'Paste #BBall'!$A$204:$D$233,4,)</f>
        <v>#N/A</v>
      </c>
      <c r="C125" s="12" t="str">
        <f>VLOOKUP(A125,'Paste #BBall'!$A$204:$C$233,3,)</f>
        <v>#N/A</v>
      </c>
      <c r="D125" s="12" t="str">
        <f>VLOOKUP(A125,'Paste #BBall'!$A$204:$B$233,2,)</f>
        <v>#N/A</v>
      </c>
      <c r="E125" s="12" t="str">
        <f t="shared" si="1"/>
        <v>#N/A</v>
      </c>
      <c r="F125" s="12">
        <v>120.0</v>
      </c>
      <c r="G125" s="25"/>
      <c r="H125" s="25"/>
      <c r="I125" s="25"/>
      <c r="J125" s="23"/>
      <c r="K125" s="23"/>
      <c r="L125" s="23"/>
      <c r="M125" s="26"/>
      <c r="N125" s="26"/>
      <c r="O125" s="26"/>
      <c r="P125" s="26"/>
      <c r="Q125" s="27"/>
      <c r="R125" s="26"/>
      <c r="S125" s="26"/>
      <c r="T125" s="26"/>
      <c r="U125" s="26"/>
      <c r="V125" s="26"/>
      <c r="W125" s="25"/>
      <c r="X125" s="25"/>
      <c r="Y125" s="25"/>
      <c r="Z125" s="25"/>
      <c r="AA125" s="25"/>
      <c r="AB125" s="25"/>
      <c r="AC125" s="25"/>
      <c r="AD125" s="25"/>
      <c r="AE125" s="25"/>
    </row>
    <row r="126">
      <c r="A126" s="12" t="str">
        <f>IF(VLOOKUP(H126,'Paste #BBall'!$C$2:$Q$201,3,)="BRO","BKN",IF(VLOOKUP(H126,'Paste #BBall'!$C$2:$Q$201,3,)="OKL","OKC",VLOOKUP(H126,'Paste #BBall'!$C$2:$Q$201,3,)))</f>
        <v>#N/A</v>
      </c>
      <c r="B126" s="12" t="str">
        <f>VLOOKUP(A126,'Paste #BBall'!$A$204:$D$233,4,)</f>
        <v>#N/A</v>
      </c>
      <c r="C126" s="12" t="str">
        <f>VLOOKUP(A126,'Paste #BBall'!$A$204:$C$233,3,)</f>
        <v>#N/A</v>
      </c>
      <c r="D126" s="12" t="str">
        <f>VLOOKUP(A126,'Paste #BBall'!$A$204:$B$233,2,)</f>
        <v>#N/A</v>
      </c>
      <c r="E126" s="12" t="str">
        <f t="shared" si="1"/>
        <v>#N/A</v>
      </c>
      <c r="F126" s="12">
        <v>121.0</v>
      </c>
      <c r="G126" s="25"/>
      <c r="H126" s="25"/>
      <c r="I126" s="25"/>
      <c r="J126" s="23"/>
      <c r="K126" s="23"/>
      <c r="L126" s="23"/>
      <c r="M126" s="26"/>
      <c r="N126" s="26"/>
      <c r="O126" s="26"/>
      <c r="P126" s="26"/>
      <c r="Q126" s="27"/>
      <c r="R126" s="26"/>
      <c r="S126" s="26"/>
      <c r="T126" s="26"/>
      <c r="U126" s="26"/>
      <c r="V126" s="26"/>
      <c r="W126" s="25"/>
      <c r="X126" s="25"/>
      <c r="Y126" s="25"/>
      <c r="Z126" s="25"/>
      <c r="AA126" s="25"/>
      <c r="AB126" s="25"/>
      <c r="AC126" s="25"/>
      <c r="AD126" s="25"/>
      <c r="AE126" s="25"/>
    </row>
    <row r="127">
      <c r="A127" s="12" t="str">
        <f>IF(VLOOKUP(H127,'Paste #BBall'!$C$2:$Q$201,3,)="BRO","BKN",IF(VLOOKUP(H127,'Paste #BBall'!$C$2:$Q$201,3,)="OKL","OKC",VLOOKUP(H127,'Paste #BBall'!$C$2:$Q$201,3,)))</f>
        <v>#N/A</v>
      </c>
      <c r="B127" s="12" t="str">
        <f>VLOOKUP(A127,'Paste #BBall'!$A$204:$D$233,4,)</f>
        <v>#N/A</v>
      </c>
      <c r="C127" s="12" t="str">
        <f>VLOOKUP(A127,'Paste #BBall'!$A$204:$C$233,3,)</f>
        <v>#N/A</v>
      </c>
      <c r="D127" s="12" t="str">
        <f>VLOOKUP(A127,'Paste #BBall'!$A$204:$B$233,2,)</f>
        <v>#N/A</v>
      </c>
      <c r="E127" s="12" t="str">
        <f t="shared" si="1"/>
        <v>#N/A</v>
      </c>
      <c r="F127" s="12">
        <v>122.0</v>
      </c>
      <c r="G127" s="25"/>
      <c r="H127" s="25"/>
      <c r="I127" s="25"/>
      <c r="J127" s="23"/>
      <c r="K127" s="23"/>
      <c r="L127" s="23"/>
      <c r="M127" s="26"/>
      <c r="N127" s="26"/>
      <c r="O127" s="26"/>
      <c r="P127" s="26"/>
      <c r="Q127" s="27"/>
      <c r="R127" s="26"/>
      <c r="S127" s="26"/>
      <c r="T127" s="26"/>
      <c r="U127" s="26"/>
      <c r="V127" s="26"/>
      <c r="W127" s="25"/>
      <c r="X127" s="25"/>
      <c r="Y127" s="25"/>
      <c r="Z127" s="25"/>
      <c r="AA127" s="25"/>
      <c r="AB127" s="25"/>
      <c r="AC127" s="25"/>
      <c r="AD127" s="25"/>
      <c r="AE127" s="25"/>
    </row>
    <row r="128">
      <c r="A128" s="12" t="str">
        <f>IF(VLOOKUP(H128,'Paste #BBall'!$C$2:$Q$201,3,)="BRO","BKN",IF(VLOOKUP(H128,'Paste #BBall'!$C$2:$Q$201,3,)="OKL","OKC",VLOOKUP(H128,'Paste #BBall'!$C$2:$Q$201,3,)))</f>
        <v>#N/A</v>
      </c>
      <c r="B128" s="12" t="str">
        <f>VLOOKUP(A128,'Paste #BBall'!$A$204:$D$233,4,)</f>
        <v>#N/A</v>
      </c>
      <c r="C128" s="12" t="str">
        <f>VLOOKUP(A128,'Paste #BBall'!$A$204:$C$233,3,)</f>
        <v>#N/A</v>
      </c>
      <c r="D128" s="12" t="str">
        <f>VLOOKUP(A128,'Paste #BBall'!$A$204:$B$233,2,)</f>
        <v>#N/A</v>
      </c>
      <c r="E128" s="12" t="str">
        <f t="shared" si="1"/>
        <v>#N/A</v>
      </c>
      <c r="F128" s="12">
        <v>123.0</v>
      </c>
      <c r="G128" s="25"/>
      <c r="H128" s="25"/>
      <c r="I128" s="25"/>
      <c r="J128" s="23"/>
      <c r="K128" s="23"/>
      <c r="L128" s="23"/>
      <c r="M128" s="26"/>
      <c r="N128" s="26"/>
      <c r="O128" s="26"/>
      <c r="P128" s="26"/>
      <c r="Q128" s="27"/>
      <c r="R128" s="26"/>
      <c r="S128" s="26"/>
      <c r="T128" s="26"/>
      <c r="U128" s="26"/>
      <c r="V128" s="26"/>
      <c r="W128" s="25"/>
      <c r="X128" s="25"/>
      <c r="Y128" s="25"/>
      <c r="Z128" s="25"/>
      <c r="AA128" s="25"/>
      <c r="AB128" s="25"/>
      <c r="AC128" s="25"/>
      <c r="AD128" s="25"/>
      <c r="AE128" s="25"/>
    </row>
    <row r="129">
      <c r="A129" s="12" t="str">
        <f>IF(VLOOKUP(H129,'Paste #BBall'!$C$2:$Q$201,3,)="BRO","BKN",IF(VLOOKUP(H129,'Paste #BBall'!$C$2:$Q$201,3,)="OKL","OKC",VLOOKUP(H129,'Paste #BBall'!$C$2:$Q$201,3,)))</f>
        <v>#N/A</v>
      </c>
      <c r="B129" s="12" t="str">
        <f>VLOOKUP(A129,'Paste #BBall'!$A$204:$D$233,4,)</f>
        <v>#N/A</v>
      </c>
      <c r="C129" s="12" t="str">
        <f>VLOOKUP(A129,'Paste #BBall'!$A$204:$C$233,3,)</f>
        <v>#N/A</v>
      </c>
      <c r="D129" s="12" t="str">
        <f>VLOOKUP(A129,'Paste #BBall'!$A$204:$B$233,2,)</f>
        <v>#N/A</v>
      </c>
      <c r="E129" s="12" t="str">
        <f t="shared" si="1"/>
        <v>#N/A</v>
      </c>
      <c r="F129" s="12">
        <v>124.0</v>
      </c>
      <c r="G129" s="25"/>
      <c r="H129" s="25"/>
      <c r="I129" s="25"/>
      <c r="J129" s="23"/>
      <c r="K129" s="23"/>
      <c r="L129" s="23"/>
      <c r="M129" s="26"/>
      <c r="N129" s="26"/>
      <c r="O129" s="26"/>
      <c r="P129" s="26"/>
      <c r="Q129" s="27"/>
      <c r="R129" s="26"/>
      <c r="S129" s="26"/>
      <c r="T129" s="26"/>
      <c r="U129" s="26"/>
      <c r="V129" s="26"/>
      <c r="W129" s="25"/>
      <c r="X129" s="25"/>
      <c r="Y129" s="25"/>
      <c r="Z129" s="25"/>
      <c r="AA129" s="25"/>
      <c r="AB129" s="25"/>
      <c r="AC129" s="25"/>
      <c r="AD129" s="25"/>
      <c r="AE129" s="25"/>
    </row>
    <row r="130">
      <c r="A130" s="12" t="str">
        <f>IF(VLOOKUP(H130,'Paste #BBall'!$C$2:$Q$201,3,)="BRO","BKN",IF(VLOOKUP(H130,'Paste #BBall'!$C$2:$Q$201,3,)="OKL","OKC",VLOOKUP(H130,'Paste #BBall'!$C$2:$Q$201,3,)))</f>
        <v>#N/A</v>
      </c>
      <c r="B130" s="12" t="str">
        <f>VLOOKUP(A130,'Paste #BBall'!$A$204:$D$233,4,)</f>
        <v>#N/A</v>
      </c>
      <c r="C130" s="12" t="str">
        <f>VLOOKUP(A130,'Paste #BBall'!$A$204:$C$233,3,)</f>
        <v>#N/A</v>
      </c>
      <c r="D130" s="12" t="str">
        <f>VLOOKUP(A130,'Paste #BBall'!$A$204:$B$233,2,)</f>
        <v>#N/A</v>
      </c>
      <c r="E130" s="12" t="str">
        <f t="shared" si="1"/>
        <v>#N/A</v>
      </c>
      <c r="F130" s="12">
        <v>125.0</v>
      </c>
      <c r="G130" s="25"/>
      <c r="H130" s="25"/>
      <c r="I130" s="25"/>
      <c r="J130" s="23"/>
      <c r="K130" s="23"/>
      <c r="L130" s="23"/>
      <c r="M130" s="26"/>
      <c r="N130" s="26"/>
      <c r="O130" s="26"/>
      <c r="P130" s="26"/>
      <c r="Q130" s="27"/>
      <c r="R130" s="26"/>
      <c r="S130" s="26"/>
      <c r="T130" s="26"/>
      <c r="U130" s="26"/>
      <c r="V130" s="26"/>
      <c r="W130" s="25"/>
      <c r="X130" s="25"/>
      <c r="Y130" s="25"/>
      <c r="Z130" s="25"/>
      <c r="AA130" s="25"/>
      <c r="AB130" s="25"/>
      <c r="AC130" s="25"/>
      <c r="AD130" s="25"/>
      <c r="AE130" s="25"/>
    </row>
    <row r="131">
      <c r="A131" s="12" t="str">
        <f>IF(VLOOKUP(H131,'Paste #BBall'!$C$2:$Q$201,3,)="BRO","BKN",IF(VLOOKUP(H131,'Paste #BBall'!$C$2:$Q$201,3,)="OKL","OKC",VLOOKUP(H131,'Paste #BBall'!$C$2:$Q$201,3,)))</f>
        <v>#N/A</v>
      </c>
      <c r="B131" s="12" t="str">
        <f>VLOOKUP(A131,'Paste #BBall'!$A$204:$D$233,4,)</f>
        <v>#N/A</v>
      </c>
      <c r="C131" s="12" t="str">
        <f>VLOOKUP(A131,'Paste #BBall'!$A$204:$C$233,3,)</f>
        <v>#N/A</v>
      </c>
      <c r="D131" s="12" t="str">
        <f>VLOOKUP(A131,'Paste #BBall'!$A$204:$B$233,2,)</f>
        <v>#N/A</v>
      </c>
      <c r="E131" s="12" t="str">
        <f t="shared" si="1"/>
        <v>#N/A</v>
      </c>
      <c r="F131" s="12">
        <v>126.0</v>
      </c>
      <c r="G131" s="25"/>
      <c r="H131" s="25"/>
      <c r="I131" s="25"/>
      <c r="J131" s="23"/>
      <c r="K131" s="23"/>
      <c r="L131" s="23"/>
      <c r="M131" s="26"/>
      <c r="N131" s="26"/>
      <c r="O131" s="26"/>
      <c r="P131" s="26"/>
      <c r="Q131" s="27"/>
      <c r="R131" s="26"/>
      <c r="S131" s="26"/>
      <c r="T131" s="26"/>
      <c r="U131" s="26"/>
      <c r="V131" s="26"/>
      <c r="W131" s="25"/>
      <c r="X131" s="25"/>
      <c r="Y131" s="25"/>
      <c r="Z131" s="25"/>
      <c r="AA131" s="25"/>
      <c r="AB131" s="25"/>
      <c r="AC131" s="25"/>
      <c r="AD131" s="25"/>
      <c r="AE131" s="25"/>
    </row>
    <row r="132">
      <c r="A132" s="12" t="str">
        <f>IF(VLOOKUP(H132,'Paste #BBall'!$C$2:$Q$201,3,)="BRO","BKN",IF(VLOOKUP(H132,'Paste #BBall'!$C$2:$Q$201,3,)="OKL","OKC",VLOOKUP(H132,'Paste #BBall'!$C$2:$Q$201,3,)))</f>
        <v>#N/A</v>
      </c>
      <c r="B132" s="12" t="str">
        <f>VLOOKUP(A132,'Paste #BBall'!$A$204:$D$233,4,)</f>
        <v>#N/A</v>
      </c>
      <c r="C132" s="12" t="str">
        <f>VLOOKUP(A132,'Paste #BBall'!$A$204:$C$233,3,)</f>
        <v>#N/A</v>
      </c>
      <c r="D132" s="12" t="str">
        <f>VLOOKUP(A132,'Paste #BBall'!$A$204:$B$233,2,)</f>
        <v>#N/A</v>
      </c>
      <c r="E132" s="12" t="str">
        <f t="shared" si="1"/>
        <v>#N/A</v>
      </c>
      <c r="F132" s="12">
        <v>127.0</v>
      </c>
      <c r="G132" s="25"/>
      <c r="H132" s="25"/>
      <c r="I132" s="25"/>
      <c r="J132" s="23"/>
      <c r="K132" s="23"/>
      <c r="L132" s="23"/>
      <c r="M132" s="26"/>
      <c r="N132" s="26"/>
      <c r="O132" s="26"/>
      <c r="P132" s="26"/>
      <c r="Q132" s="27"/>
      <c r="R132" s="26"/>
      <c r="S132" s="26"/>
      <c r="T132" s="26"/>
      <c r="U132" s="26"/>
      <c r="V132" s="26"/>
      <c r="W132" s="25"/>
      <c r="X132" s="25"/>
      <c r="Y132" s="25"/>
      <c r="Z132" s="25"/>
      <c r="AA132" s="25"/>
      <c r="AB132" s="25"/>
      <c r="AC132" s="25"/>
      <c r="AD132" s="25"/>
      <c r="AE132" s="25"/>
    </row>
    <row r="133">
      <c r="A133" s="12" t="str">
        <f>IF(VLOOKUP(H133,'Paste #BBall'!$C$2:$Q$201,3,)="BRO","BKN",IF(VLOOKUP(H133,'Paste #BBall'!$C$2:$Q$201,3,)="OKL","OKC",VLOOKUP(H133,'Paste #BBall'!$C$2:$Q$201,3,)))</f>
        <v>#N/A</v>
      </c>
      <c r="B133" s="12" t="str">
        <f>VLOOKUP(A133,'Paste #BBall'!$A$204:$D$233,4,)</f>
        <v>#N/A</v>
      </c>
      <c r="C133" s="12" t="str">
        <f>VLOOKUP(A133,'Paste #BBall'!$A$204:$C$233,3,)</f>
        <v>#N/A</v>
      </c>
      <c r="D133" s="12" t="str">
        <f>VLOOKUP(A133,'Paste #BBall'!$A$204:$B$233,2,)</f>
        <v>#N/A</v>
      </c>
      <c r="E133" s="12" t="str">
        <f t="shared" si="1"/>
        <v>#N/A</v>
      </c>
      <c r="F133" s="12">
        <v>128.0</v>
      </c>
      <c r="G133" s="25"/>
      <c r="H133" s="25"/>
      <c r="I133" s="25"/>
      <c r="J133" s="23"/>
      <c r="K133" s="23"/>
      <c r="L133" s="23"/>
      <c r="M133" s="26"/>
      <c r="N133" s="26"/>
      <c r="O133" s="26"/>
      <c r="P133" s="26"/>
      <c r="Q133" s="27"/>
      <c r="R133" s="26"/>
      <c r="S133" s="26"/>
      <c r="T133" s="26"/>
      <c r="U133" s="26"/>
      <c r="V133" s="26"/>
      <c r="W133" s="25"/>
      <c r="X133" s="25"/>
      <c r="Y133" s="25"/>
      <c r="Z133" s="25"/>
      <c r="AA133" s="25"/>
      <c r="AB133" s="25"/>
      <c r="AC133" s="25"/>
      <c r="AD133" s="25"/>
      <c r="AE133" s="25"/>
    </row>
    <row r="134">
      <c r="A134" s="12" t="str">
        <f>IF(VLOOKUP(H134,'Paste #BBall'!$C$2:$Q$201,3,)="BRO","BKN",IF(VLOOKUP(H134,'Paste #BBall'!$C$2:$Q$201,3,)="OKL","OKC",VLOOKUP(H134,'Paste #BBall'!$C$2:$Q$201,3,)))</f>
        <v>#N/A</v>
      </c>
      <c r="B134" s="12" t="str">
        <f>VLOOKUP(A134,'Paste #BBall'!$A$204:$D$233,4,)</f>
        <v>#N/A</v>
      </c>
      <c r="C134" s="12" t="str">
        <f>VLOOKUP(A134,'Paste #BBall'!$A$204:$C$233,3,)</f>
        <v>#N/A</v>
      </c>
      <c r="D134" s="12" t="str">
        <f>VLOOKUP(A134,'Paste #BBall'!$A$204:$B$233,2,)</f>
        <v>#N/A</v>
      </c>
      <c r="E134" s="12" t="str">
        <f t="shared" si="1"/>
        <v>#N/A</v>
      </c>
      <c r="F134" s="12">
        <v>129.0</v>
      </c>
      <c r="G134" s="25"/>
      <c r="H134" s="25"/>
      <c r="I134" s="25"/>
      <c r="J134" s="23"/>
      <c r="K134" s="23"/>
      <c r="L134" s="23"/>
      <c r="M134" s="26"/>
      <c r="N134" s="26"/>
      <c r="O134" s="26"/>
      <c r="P134" s="26"/>
      <c r="Q134" s="27"/>
      <c r="R134" s="26"/>
      <c r="S134" s="26"/>
      <c r="T134" s="26"/>
      <c r="U134" s="26"/>
      <c r="V134" s="26"/>
      <c r="W134" s="25"/>
      <c r="X134" s="25"/>
      <c r="Y134" s="25"/>
      <c r="Z134" s="25"/>
      <c r="AA134" s="25"/>
      <c r="AB134" s="25"/>
      <c r="AC134" s="25"/>
      <c r="AD134" s="25"/>
      <c r="AE134" s="25"/>
    </row>
    <row r="135">
      <c r="A135" s="12" t="str">
        <f>IF(VLOOKUP(H135,'Paste #BBall'!$C$2:$Q$201,3,)="BRO","BKN",IF(VLOOKUP(H135,'Paste #BBall'!$C$2:$Q$201,3,)="OKL","OKC",VLOOKUP(H135,'Paste #BBall'!$C$2:$Q$201,3,)))</f>
        <v>#N/A</v>
      </c>
      <c r="B135" s="12" t="str">
        <f>VLOOKUP(A135,'Paste #BBall'!$A$204:$D$233,4,)</f>
        <v>#N/A</v>
      </c>
      <c r="C135" s="12" t="str">
        <f>VLOOKUP(A135,'Paste #BBall'!$A$204:$C$233,3,)</f>
        <v>#N/A</v>
      </c>
      <c r="D135" s="12" t="str">
        <f>VLOOKUP(A135,'Paste #BBall'!$A$204:$B$233,2,)</f>
        <v>#N/A</v>
      </c>
      <c r="E135" s="12" t="str">
        <f t="shared" si="1"/>
        <v>#N/A</v>
      </c>
      <c r="F135" s="12">
        <v>130.0</v>
      </c>
      <c r="G135" s="25"/>
      <c r="H135" s="25"/>
      <c r="I135" s="25"/>
      <c r="J135" s="23"/>
      <c r="K135" s="23"/>
      <c r="L135" s="23"/>
      <c r="M135" s="26"/>
      <c r="N135" s="26"/>
      <c r="O135" s="26"/>
      <c r="P135" s="26"/>
      <c r="Q135" s="27"/>
      <c r="R135" s="26"/>
      <c r="S135" s="26"/>
      <c r="T135" s="26"/>
      <c r="U135" s="26"/>
      <c r="V135" s="26"/>
      <c r="W135" s="25"/>
      <c r="X135" s="25"/>
      <c r="Y135" s="25"/>
      <c r="Z135" s="25"/>
      <c r="AA135" s="25"/>
      <c r="AB135" s="25"/>
      <c r="AC135" s="25"/>
      <c r="AD135" s="25"/>
      <c r="AE135" s="25"/>
    </row>
    <row r="136">
      <c r="A136" s="12" t="str">
        <f>IF(VLOOKUP(H136,'Paste #BBall'!$C$2:$Q$201,3,)="BRO","BKN",IF(VLOOKUP(H136,'Paste #BBall'!$C$2:$Q$201,3,)="OKL","OKC",VLOOKUP(H136,'Paste #BBall'!$C$2:$Q$201,3,)))</f>
        <v>#N/A</v>
      </c>
      <c r="B136" s="12" t="str">
        <f>VLOOKUP(A136,'Paste #BBall'!$A$204:$D$233,4,)</f>
        <v>#N/A</v>
      </c>
      <c r="C136" s="12" t="str">
        <f>VLOOKUP(A136,'Paste #BBall'!$A$204:$C$233,3,)</f>
        <v>#N/A</v>
      </c>
      <c r="D136" s="12" t="str">
        <f>VLOOKUP(A136,'Paste #BBall'!$A$204:$B$233,2,)</f>
        <v>#N/A</v>
      </c>
      <c r="E136" s="12" t="str">
        <f t="shared" si="1"/>
        <v>#N/A</v>
      </c>
      <c r="F136" s="12">
        <v>131.0</v>
      </c>
      <c r="G136" s="25"/>
      <c r="H136" s="25"/>
      <c r="I136" s="25"/>
      <c r="J136" s="23"/>
      <c r="K136" s="23"/>
      <c r="L136" s="23"/>
      <c r="M136" s="26"/>
      <c r="N136" s="26"/>
      <c r="O136" s="26"/>
      <c r="P136" s="26"/>
      <c r="Q136" s="27"/>
      <c r="R136" s="26"/>
      <c r="S136" s="26"/>
      <c r="T136" s="26"/>
      <c r="U136" s="26"/>
      <c r="V136" s="26"/>
      <c r="W136" s="25"/>
      <c r="X136" s="25"/>
      <c r="Y136" s="25"/>
      <c r="Z136" s="25"/>
      <c r="AA136" s="25"/>
      <c r="AB136" s="25"/>
      <c r="AC136" s="25"/>
      <c r="AD136" s="25"/>
      <c r="AE136" s="25"/>
    </row>
    <row r="137">
      <c r="A137" s="12" t="str">
        <f>IF(VLOOKUP(H137,'Paste #BBall'!$C$2:$Q$201,3,)="BRO","BKN",IF(VLOOKUP(H137,'Paste #BBall'!$C$2:$Q$201,3,)="OKL","OKC",VLOOKUP(H137,'Paste #BBall'!$C$2:$Q$201,3,)))</f>
        <v>#N/A</v>
      </c>
      <c r="B137" s="12" t="str">
        <f>VLOOKUP(A137,'Paste #BBall'!$A$204:$D$233,4,)</f>
        <v>#N/A</v>
      </c>
      <c r="C137" s="12" t="str">
        <f>VLOOKUP(A137,'Paste #BBall'!$A$204:$C$233,3,)</f>
        <v>#N/A</v>
      </c>
      <c r="D137" s="12" t="str">
        <f>VLOOKUP(A137,'Paste #BBall'!$A$204:$B$233,2,)</f>
        <v>#N/A</v>
      </c>
      <c r="E137" s="12" t="str">
        <f t="shared" si="1"/>
        <v>#N/A</v>
      </c>
      <c r="F137" s="12">
        <v>132.0</v>
      </c>
      <c r="G137" s="25"/>
      <c r="H137" s="25"/>
      <c r="I137" s="25"/>
      <c r="J137" s="23"/>
      <c r="K137" s="23"/>
      <c r="L137" s="23"/>
      <c r="M137" s="26"/>
      <c r="N137" s="26"/>
      <c r="O137" s="26"/>
      <c r="P137" s="26"/>
      <c r="Q137" s="27"/>
      <c r="R137" s="26"/>
      <c r="S137" s="26"/>
      <c r="T137" s="26"/>
      <c r="U137" s="26"/>
      <c r="V137" s="26"/>
      <c r="W137" s="25"/>
      <c r="X137" s="25"/>
      <c r="Y137" s="25"/>
      <c r="Z137" s="25"/>
      <c r="AA137" s="25"/>
      <c r="AB137" s="25"/>
      <c r="AC137" s="25"/>
      <c r="AD137" s="25"/>
      <c r="AE137" s="25"/>
    </row>
    <row r="138">
      <c r="A138" s="12" t="str">
        <f>IF(VLOOKUP(H138,'Paste #BBall'!$C$2:$Q$201,3,)="BRO","BKN",IF(VLOOKUP(H138,'Paste #BBall'!$C$2:$Q$201,3,)="OKL","OKC",VLOOKUP(H138,'Paste #BBall'!$C$2:$Q$201,3,)))</f>
        <v>#N/A</v>
      </c>
      <c r="B138" s="12" t="str">
        <f>VLOOKUP(A138,'Paste #BBall'!$A$204:$D$233,4,)</f>
        <v>#N/A</v>
      </c>
      <c r="C138" s="12" t="str">
        <f>VLOOKUP(A138,'Paste #BBall'!$A$204:$C$233,3,)</f>
        <v>#N/A</v>
      </c>
      <c r="D138" s="12" t="str">
        <f>VLOOKUP(A138,'Paste #BBall'!$A$204:$B$233,2,)</f>
        <v>#N/A</v>
      </c>
      <c r="E138" s="12" t="str">
        <f t="shared" si="1"/>
        <v>#N/A</v>
      </c>
      <c r="F138" s="12">
        <v>133.0</v>
      </c>
      <c r="G138" s="25"/>
      <c r="H138" s="25"/>
      <c r="I138" s="25"/>
      <c r="J138" s="23"/>
      <c r="K138" s="23"/>
      <c r="L138" s="23"/>
      <c r="M138" s="26"/>
      <c r="N138" s="26"/>
      <c r="O138" s="26"/>
      <c r="P138" s="26"/>
      <c r="Q138" s="27"/>
      <c r="R138" s="26"/>
      <c r="S138" s="26"/>
      <c r="T138" s="26"/>
      <c r="U138" s="26"/>
      <c r="V138" s="26"/>
      <c r="W138" s="25"/>
      <c r="X138" s="25"/>
      <c r="Y138" s="25"/>
      <c r="Z138" s="25"/>
      <c r="AA138" s="25"/>
      <c r="AB138" s="25"/>
      <c r="AC138" s="25"/>
      <c r="AD138" s="25"/>
      <c r="AE138" s="25"/>
    </row>
    <row r="139">
      <c r="A139" s="12" t="str">
        <f>IF(VLOOKUP(H139,'Paste #BBall'!$C$2:$Q$201,3,)="BRO","BKN",IF(VLOOKUP(H139,'Paste #BBall'!$C$2:$Q$201,3,)="OKL","OKC",VLOOKUP(H139,'Paste #BBall'!$C$2:$Q$201,3,)))</f>
        <v>#N/A</v>
      </c>
      <c r="B139" s="12" t="str">
        <f>VLOOKUP(A139,'Paste #BBall'!$A$204:$D$233,4,)</f>
        <v>#N/A</v>
      </c>
      <c r="C139" s="12" t="str">
        <f>VLOOKUP(A139,'Paste #BBall'!$A$204:$C$233,3,)</f>
        <v>#N/A</v>
      </c>
      <c r="D139" s="12" t="str">
        <f>VLOOKUP(A139,'Paste #BBall'!$A$204:$B$233,2,)</f>
        <v>#N/A</v>
      </c>
      <c r="E139" s="12" t="str">
        <f t="shared" si="1"/>
        <v>#N/A</v>
      </c>
      <c r="F139" s="12">
        <v>134.0</v>
      </c>
      <c r="G139" s="25"/>
      <c r="H139" s="25"/>
      <c r="I139" s="25"/>
      <c r="J139" s="23"/>
      <c r="K139" s="23"/>
      <c r="L139" s="23"/>
      <c r="M139" s="26"/>
      <c r="N139" s="26"/>
      <c r="O139" s="26"/>
      <c r="P139" s="26"/>
      <c r="Q139" s="27"/>
      <c r="R139" s="26"/>
      <c r="S139" s="26"/>
      <c r="T139" s="26"/>
      <c r="U139" s="26"/>
      <c r="V139" s="26"/>
      <c r="W139" s="25"/>
      <c r="X139" s="25"/>
      <c r="Y139" s="25"/>
      <c r="Z139" s="25"/>
      <c r="AA139" s="25"/>
      <c r="AB139" s="25"/>
      <c r="AC139" s="25"/>
      <c r="AD139" s="25"/>
      <c r="AE139" s="25"/>
    </row>
    <row r="140">
      <c r="A140" s="12" t="str">
        <f>IF(VLOOKUP(H140,'Paste #BBall'!$C$2:$Q$201,3,)="BRO","BKN",IF(VLOOKUP(H140,'Paste #BBall'!$C$2:$Q$201,3,)="OKL","OKC",VLOOKUP(H140,'Paste #BBall'!$C$2:$Q$201,3,)))</f>
        <v>#N/A</v>
      </c>
      <c r="B140" s="12" t="str">
        <f>VLOOKUP(A140,'Paste #BBall'!$A$204:$D$233,4,)</f>
        <v>#N/A</v>
      </c>
      <c r="C140" s="12" t="str">
        <f>VLOOKUP(A140,'Paste #BBall'!$A$204:$C$233,3,)</f>
        <v>#N/A</v>
      </c>
      <c r="D140" s="12" t="str">
        <f>VLOOKUP(A140,'Paste #BBall'!$A$204:$B$233,2,)</f>
        <v>#N/A</v>
      </c>
      <c r="E140" s="12" t="str">
        <f t="shared" si="1"/>
        <v>#N/A</v>
      </c>
      <c r="F140" s="12">
        <v>135.0</v>
      </c>
      <c r="G140" s="25"/>
      <c r="H140" s="25"/>
      <c r="I140" s="25"/>
      <c r="J140" s="23"/>
      <c r="K140" s="23"/>
      <c r="L140" s="23"/>
      <c r="M140" s="26"/>
      <c r="N140" s="26"/>
      <c r="O140" s="26"/>
      <c r="P140" s="26"/>
      <c r="Q140" s="27"/>
      <c r="R140" s="26"/>
      <c r="S140" s="26"/>
      <c r="T140" s="26"/>
      <c r="U140" s="26"/>
      <c r="V140" s="26"/>
      <c r="W140" s="25"/>
      <c r="X140" s="25"/>
      <c r="Y140" s="25"/>
      <c r="Z140" s="25"/>
      <c r="AA140" s="25"/>
      <c r="AB140" s="25"/>
      <c r="AC140" s="25"/>
      <c r="AD140" s="25"/>
      <c r="AE140" s="25"/>
    </row>
    <row r="141">
      <c r="A141" s="12" t="str">
        <f>IF(VLOOKUP(H141,'Paste #BBall'!$C$2:$Q$201,3,)="BRO","BKN",IF(VLOOKUP(H141,'Paste #BBall'!$C$2:$Q$201,3,)="OKL","OKC",VLOOKUP(H141,'Paste #BBall'!$C$2:$Q$201,3,)))</f>
        <v>#N/A</v>
      </c>
      <c r="B141" s="12" t="str">
        <f>VLOOKUP(A141,'Paste #BBall'!$A$204:$D$233,4,)</f>
        <v>#N/A</v>
      </c>
      <c r="C141" s="12" t="str">
        <f>VLOOKUP(A141,'Paste #BBall'!$A$204:$C$233,3,)</f>
        <v>#N/A</v>
      </c>
      <c r="D141" s="12" t="str">
        <f>VLOOKUP(A141,'Paste #BBall'!$A$204:$B$233,2,)</f>
        <v>#N/A</v>
      </c>
      <c r="E141" s="12" t="str">
        <f t="shared" si="1"/>
        <v>#N/A</v>
      </c>
      <c r="F141" s="12">
        <v>136.0</v>
      </c>
      <c r="G141" s="25"/>
      <c r="H141" s="25"/>
      <c r="I141" s="25"/>
      <c r="J141" s="23"/>
      <c r="K141" s="23"/>
      <c r="L141" s="23"/>
      <c r="M141" s="26"/>
      <c r="N141" s="26"/>
      <c r="O141" s="26"/>
      <c r="P141" s="26"/>
      <c r="Q141" s="27"/>
      <c r="R141" s="26"/>
      <c r="S141" s="26"/>
      <c r="T141" s="26"/>
      <c r="U141" s="26"/>
      <c r="V141" s="26"/>
      <c r="W141" s="25"/>
      <c r="X141" s="25"/>
      <c r="Y141" s="25"/>
      <c r="Z141" s="25"/>
      <c r="AA141" s="25"/>
      <c r="AB141" s="25"/>
      <c r="AC141" s="25"/>
      <c r="AD141" s="25"/>
      <c r="AE141" s="25"/>
    </row>
    <row r="142">
      <c r="A142" s="12" t="str">
        <f>IF(VLOOKUP(H142,'Paste #BBall'!$C$2:$Q$201,3,)="BRO","BKN",IF(VLOOKUP(H142,'Paste #BBall'!$C$2:$Q$201,3,)="OKL","OKC",VLOOKUP(H142,'Paste #BBall'!$C$2:$Q$201,3,)))</f>
        <v>#N/A</v>
      </c>
      <c r="B142" s="12" t="str">
        <f>VLOOKUP(A142,'Paste #BBall'!$A$204:$D$233,4,)</f>
        <v>#N/A</v>
      </c>
      <c r="C142" s="12" t="str">
        <f>VLOOKUP(A142,'Paste #BBall'!$A$204:$C$233,3,)</f>
        <v>#N/A</v>
      </c>
      <c r="D142" s="12" t="str">
        <f>VLOOKUP(A142,'Paste #BBall'!$A$204:$B$233,2,)</f>
        <v>#N/A</v>
      </c>
      <c r="E142" s="12" t="str">
        <f t="shared" si="1"/>
        <v>#N/A</v>
      </c>
      <c r="F142" s="12">
        <v>137.0</v>
      </c>
      <c r="G142" s="25"/>
      <c r="H142" s="25"/>
      <c r="I142" s="25"/>
      <c r="J142" s="23"/>
      <c r="K142" s="23"/>
      <c r="L142" s="23"/>
      <c r="M142" s="26"/>
      <c r="N142" s="26"/>
      <c r="O142" s="26"/>
      <c r="P142" s="26"/>
      <c r="Q142" s="27"/>
      <c r="R142" s="26"/>
      <c r="S142" s="26"/>
      <c r="T142" s="26"/>
      <c r="U142" s="26"/>
      <c r="V142" s="26"/>
      <c r="W142" s="25"/>
      <c r="X142" s="25"/>
      <c r="Y142" s="25"/>
      <c r="Z142" s="25"/>
      <c r="AA142" s="25"/>
      <c r="AB142" s="25"/>
      <c r="AC142" s="25"/>
      <c r="AD142" s="25"/>
      <c r="AE142" s="25"/>
    </row>
    <row r="143">
      <c r="A143" s="12" t="str">
        <f>IF(VLOOKUP(H143,'Paste #BBall'!$C$2:$Q$201,3,)="BRO","BKN",IF(VLOOKUP(H143,'Paste #BBall'!$C$2:$Q$201,3,)="OKL","OKC",VLOOKUP(H143,'Paste #BBall'!$C$2:$Q$201,3,)))</f>
        <v>#N/A</v>
      </c>
      <c r="B143" s="12" t="str">
        <f>VLOOKUP(A143,'Paste #BBall'!$A$204:$D$233,4,)</f>
        <v>#N/A</v>
      </c>
      <c r="C143" s="12" t="str">
        <f>VLOOKUP(A143,'Paste #BBall'!$A$204:$C$233,3,)</f>
        <v>#N/A</v>
      </c>
      <c r="D143" s="12" t="str">
        <f>VLOOKUP(A143,'Paste #BBall'!$A$204:$B$233,2,)</f>
        <v>#N/A</v>
      </c>
      <c r="E143" s="12" t="str">
        <f t="shared" si="1"/>
        <v>#N/A</v>
      </c>
      <c r="F143" s="12">
        <v>138.0</v>
      </c>
      <c r="G143" s="25"/>
      <c r="H143" s="25"/>
      <c r="I143" s="25"/>
      <c r="J143" s="23"/>
      <c r="K143" s="23"/>
      <c r="L143" s="23"/>
      <c r="M143" s="26"/>
      <c r="N143" s="26"/>
      <c r="O143" s="26"/>
      <c r="P143" s="26"/>
      <c r="Q143" s="27"/>
      <c r="R143" s="26"/>
      <c r="S143" s="26"/>
      <c r="T143" s="26"/>
      <c r="U143" s="26"/>
      <c r="V143" s="26"/>
      <c r="W143" s="25"/>
      <c r="X143" s="25"/>
      <c r="Y143" s="25"/>
      <c r="Z143" s="25"/>
      <c r="AA143" s="25"/>
      <c r="AB143" s="25"/>
      <c r="AC143" s="25"/>
      <c r="AD143" s="25"/>
      <c r="AE143" s="25"/>
    </row>
    <row r="144">
      <c r="A144" s="12" t="str">
        <f>IF(VLOOKUP(H144,'Paste #BBall'!$C$2:$Q$201,3,)="BRO","BKN",IF(VLOOKUP(H144,'Paste #BBall'!$C$2:$Q$201,3,)="OKL","OKC",VLOOKUP(H144,'Paste #BBall'!$C$2:$Q$201,3,)))</f>
        <v>#N/A</v>
      </c>
      <c r="B144" s="12" t="str">
        <f>VLOOKUP(A144,'Paste #BBall'!$A$204:$D$233,4,)</f>
        <v>#N/A</v>
      </c>
      <c r="C144" s="12" t="str">
        <f>VLOOKUP(A144,'Paste #BBall'!$A$204:$C$233,3,)</f>
        <v>#N/A</v>
      </c>
      <c r="D144" s="12" t="str">
        <f>VLOOKUP(A144,'Paste #BBall'!$A$204:$B$233,2,)</f>
        <v>#N/A</v>
      </c>
      <c r="E144" s="12" t="str">
        <f t="shared" si="1"/>
        <v>#N/A</v>
      </c>
      <c r="F144" s="12">
        <v>139.0</v>
      </c>
      <c r="G144" s="25"/>
      <c r="H144" s="25"/>
      <c r="I144" s="25"/>
      <c r="J144" s="23"/>
      <c r="K144" s="23"/>
      <c r="L144" s="23"/>
      <c r="M144" s="26"/>
      <c r="N144" s="26"/>
      <c r="O144" s="26"/>
      <c r="P144" s="26"/>
      <c r="Q144" s="27"/>
      <c r="R144" s="26"/>
      <c r="S144" s="26"/>
      <c r="T144" s="26"/>
      <c r="U144" s="26"/>
      <c r="V144" s="26"/>
      <c r="W144" s="25"/>
      <c r="X144" s="25"/>
      <c r="Y144" s="25"/>
      <c r="Z144" s="25"/>
      <c r="AA144" s="25"/>
      <c r="AB144" s="25"/>
      <c r="AC144" s="25"/>
      <c r="AD144" s="25"/>
      <c r="AE144" s="25"/>
    </row>
    <row r="145">
      <c r="A145" s="12" t="str">
        <f>IF(VLOOKUP(H145,'Paste #BBall'!$C$2:$Q$201,3,)="BRO","BKN",IF(VLOOKUP(H145,'Paste #BBall'!$C$2:$Q$201,3,)="OKL","OKC",VLOOKUP(H145,'Paste #BBall'!$C$2:$Q$201,3,)))</f>
        <v>#N/A</v>
      </c>
      <c r="B145" s="12" t="str">
        <f>VLOOKUP(A145,'Paste #BBall'!$A$204:$D$233,4,)</f>
        <v>#N/A</v>
      </c>
      <c r="C145" s="12" t="str">
        <f>VLOOKUP(A145,'Paste #BBall'!$A$204:$C$233,3,)</f>
        <v>#N/A</v>
      </c>
      <c r="D145" s="12" t="str">
        <f>VLOOKUP(A145,'Paste #BBall'!$A$204:$B$233,2,)</f>
        <v>#N/A</v>
      </c>
      <c r="E145" s="12" t="str">
        <f t="shared" si="1"/>
        <v>#N/A</v>
      </c>
      <c r="F145" s="12">
        <v>140.0</v>
      </c>
      <c r="G145" s="25"/>
      <c r="H145" s="25"/>
      <c r="I145" s="25"/>
      <c r="J145" s="23"/>
      <c r="K145" s="23"/>
      <c r="L145" s="23"/>
      <c r="M145" s="26"/>
      <c r="N145" s="26"/>
      <c r="O145" s="26"/>
      <c r="P145" s="26"/>
      <c r="Q145" s="27"/>
      <c r="R145" s="26"/>
      <c r="S145" s="26"/>
      <c r="T145" s="26"/>
      <c r="U145" s="26"/>
      <c r="V145" s="26"/>
      <c r="W145" s="25"/>
      <c r="X145" s="25"/>
      <c r="Y145" s="25"/>
      <c r="Z145" s="25"/>
      <c r="AA145" s="25"/>
      <c r="AB145" s="25"/>
      <c r="AC145" s="25"/>
      <c r="AD145" s="25"/>
      <c r="AE145" s="25"/>
    </row>
    <row r="146">
      <c r="A146" s="12" t="str">
        <f>IF(VLOOKUP(H146,'Paste #BBall'!$C$2:$Q$201,3,)="BRO","BKN",IF(VLOOKUP(H146,'Paste #BBall'!$C$2:$Q$201,3,)="OKL","OKC",VLOOKUP(H146,'Paste #BBall'!$C$2:$Q$201,3,)))</f>
        <v>#N/A</v>
      </c>
      <c r="B146" s="12" t="str">
        <f>VLOOKUP(A146,'Paste #BBall'!$A$204:$D$233,4,)</f>
        <v>#N/A</v>
      </c>
      <c r="C146" s="12" t="str">
        <f>VLOOKUP(A146,'Paste #BBall'!$A$204:$C$233,3,)</f>
        <v>#N/A</v>
      </c>
      <c r="D146" s="12" t="str">
        <f>VLOOKUP(A146,'Paste #BBall'!$A$204:$B$233,2,)</f>
        <v>#N/A</v>
      </c>
      <c r="E146" s="12" t="str">
        <f t="shared" si="1"/>
        <v>#N/A</v>
      </c>
      <c r="F146" s="12">
        <v>141.0</v>
      </c>
      <c r="G146" s="25"/>
      <c r="H146" s="25"/>
      <c r="I146" s="25"/>
      <c r="J146" s="23"/>
      <c r="K146" s="23"/>
      <c r="L146" s="23"/>
      <c r="M146" s="26"/>
      <c r="N146" s="26"/>
      <c r="O146" s="26"/>
      <c r="P146" s="26"/>
      <c r="Q146" s="27"/>
      <c r="R146" s="26"/>
      <c r="S146" s="26"/>
      <c r="T146" s="26"/>
      <c r="U146" s="26"/>
      <c r="V146" s="26"/>
      <c r="W146" s="25"/>
      <c r="X146" s="25"/>
      <c r="Y146" s="25"/>
      <c r="Z146" s="25"/>
      <c r="AA146" s="25"/>
      <c r="AB146" s="25"/>
      <c r="AC146" s="25"/>
      <c r="AD146" s="25"/>
      <c r="AE146" s="25"/>
    </row>
    <row r="147">
      <c r="A147" s="12" t="str">
        <f>IF(VLOOKUP(H147,'Paste #BBall'!$C$2:$Q$201,3,)="BRO","BKN",IF(VLOOKUP(H147,'Paste #BBall'!$C$2:$Q$201,3,)="OKL","OKC",VLOOKUP(H147,'Paste #BBall'!$C$2:$Q$201,3,)))</f>
        <v>#N/A</v>
      </c>
      <c r="B147" s="12" t="str">
        <f>VLOOKUP(A147,'Paste #BBall'!$A$204:$D$233,4,)</f>
        <v>#N/A</v>
      </c>
      <c r="C147" s="12" t="str">
        <f>VLOOKUP(A147,'Paste #BBall'!$A$204:$C$233,3,)</f>
        <v>#N/A</v>
      </c>
      <c r="D147" s="12" t="str">
        <f>VLOOKUP(A147,'Paste #BBall'!$A$204:$B$233,2,)</f>
        <v>#N/A</v>
      </c>
      <c r="E147" s="12" t="str">
        <f t="shared" si="1"/>
        <v>#N/A</v>
      </c>
      <c r="F147" s="12">
        <v>142.0</v>
      </c>
      <c r="G147" s="25"/>
      <c r="H147" s="25"/>
      <c r="I147" s="25"/>
      <c r="J147" s="23"/>
      <c r="K147" s="23"/>
      <c r="L147" s="23"/>
      <c r="M147" s="26"/>
      <c r="N147" s="26"/>
      <c r="O147" s="26"/>
      <c r="P147" s="26"/>
      <c r="Q147" s="27"/>
      <c r="R147" s="26"/>
      <c r="S147" s="26"/>
      <c r="T147" s="26"/>
      <c r="U147" s="26"/>
      <c r="V147" s="26"/>
      <c r="W147" s="25"/>
      <c r="X147" s="25"/>
      <c r="Y147" s="25"/>
      <c r="Z147" s="25"/>
      <c r="AA147" s="25"/>
      <c r="AB147" s="25"/>
      <c r="AC147" s="25"/>
      <c r="AD147" s="25"/>
      <c r="AE147" s="25"/>
    </row>
    <row r="148">
      <c r="A148" s="12" t="str">
        <f>IF(VLOOKUP(H148,'Paste #BBall'!$C$2:$Q$201,3,)="BRO","BKN",IF(VLOOKUP(H148,'Paste #BBall'!$C$2:$Q$201,3,)="OKL","OKC",VLOOKUP(H148,'Paste #BBall'!$C$2:$Q$201,3,)))</f>
        <v>#N/A</v>
      </c>
      <c r="B148" s="12" t="str">
        <f>VLOOKUP(A148,'Paste #BBall'!$A$204:$D$233,4,)</f>
        <v>#N/A</v>
      </c>
      <c r="C148" s="12" t="str">
        <f>VLOOKUP(A148,'Paste #BBall'!$A$204:$C$233,3,)</f>
        <v>#N/A</v>
      </c>
      <c r="D148" s="12" t="str">
        <f>VLOOKUP(A148,'Paste #BBall'!$A$204:$B$233,2,)</f>
        <v>#N/A</v>
      </c>
      <c r="E148" s="12" t="str">
        <f t="shared" si="1"/>
        <v>#N/A</v>
      </c>
      <c r="F148" s="12">
        <v>143.0</v>
      </c>
      <c r="G148" s="25"/>
      <c r="H148" s="25"/>
      <c r="I148" s="25"/>
      <c r="J148" s="23"/>
      <c r="K148" s="23"/>
      <c r="L148" s="23"/>
      <c r="M148" s="26"/>
      <c r="N148" s="26"/>
      <c r="O148" s="26"/>
      <c r="P148" s="26"/>
      <c r="Q148" s="27"/>
      <c r="R148" s="26"/>
      <c r="S148" s="26"/>
      <c r="T148" s="26"/>
      <c r="U148" s="26"/>
      <c r="V148" s="26"/>
      <c r="W148" s="25"/>
      <c r="X148" s="25"/>
      <c r="Y148" s="25"/>
      <c r="Z148" s="25"/>
      <c r="AA148" s="25"/>
      <c r="AB148" s="25"/>
      <c r="AC148" s="25"/>
      <c r="AD148" s="25"/>
      <c r="AE148" s="25"/>
    </row>
    <row r="149">
      <c r="A149" s="12" t="str">
        <f>IF(VLOOKUP(H149,'Paste #BBall'!$C$2:$Q$201,3,)="BRO","BKN",IF(VLOOKUP(H149,'Paste #BBall'!$C$2:$Q$201,3,)="OKL","OKC",VLOOKUP(H149,'Paste #BBall'!$C$2:$Q$201,3,)))</f>
        <v>#N/A</v>
      </c>
      <c r="B149" s="12" t="str">
        <f>VLOOKUP(A149,'Paste #BBall'!$A$204:$D$233,4,)</f>
        <v>#N/A</v>
      </c>
      <c r="C149" s="12" t="str">
        <f>VLOOKUP(A149,'Paste #BBall'!$A$204:$C$233,3,)</f>
        <v>#N/A</v>
      </c>
      <c r="D149" s="12" t="str">
        <f>VLOOKUP(A149,'Paste #BBall'!$A$204:$B$233,2,)</f>
        <v>#N/A</v>
      </c>
      <c r="E149" s="12" t="str">
        <f t="shared" si="1"/>
        <v>#N/A</v>
      </c>
      <c r="F149" s="12">
        <v>144.0</v>
      </c>
      <c r="G149" s="25"/>
      <c r="H149" s="25"/>
      <c r="I149" s="25"/>
      <c r="J149" s="23"/>
      <c r="K149" s="23"/>
      <c r="L149" s="23"/>
      <c r="M149" s="26"/>
      <c r="N149" s="26"/>
      <c r="O149" s="26"/>
      <c r="P149" s="26"/>
      <c r="Q149" s="27"/>
      <c r="R149" s="26"/>
      <c r="S149" s="26"/>
      <c r="T149" s="26"/>
      <c r="U149" s="26"/>
      <c r="V149" s="26"/>
      <c r="W149" s="25"/>
      <c r="X149" s="25"/>
      <c r="Y149" s="25"/>
      <c r="Z149" s="25"/>
      <c r="AA149" s="25"/>
      <c r="AB149" s="25"/>
      <c r="AC149" s="25"/>
      <c r="AD149" s="25"/>
      <c r="AE149" s="25"/>
    </row>
    <row r="150">
      <c r="A150" s="12" t="str">
        <f>IF(VLOOKUP(H150,'Paste #BBall'!$C$2:$Q$201,3,)="BRO","BKN",IF(VLOOKUP(H150,'Paste #BBall'!$C$2:$Q$201,3,)="OKL","OKC",VLOOKUP(H150,'Paste #BBall'!$C$2:$Q$201,3,)))</f>
        <v>#N/A</v>
      </c>
      <c r="B150" s="12" t="str">
        <f>VLOOKUP(A150,'Paste #BBall'!$A$204:$D$233,4,)</f>
        <v>#N/A</v>
      </c>
      <c r="C150" s="12" t="str">
        <f>VLOOKUP(A150,'Paste #BBall'!$A$204:$C$233,3,)</f>
        <v>#N/A</v>
      </c>
      <c r="D150" s="12" t="str">
        <f>VLOOKUP(A150,'Paste #BBall'!$A$204:$B$233,2,)</f>
        <v>#N/A</v>
      </c>
      <c r="E150" s="12" t="str">
        <f t="shared" si="1"/>
        <v>#N/A</v>
      </c>
      <c r="F150" s="12">
        <v>145.0</v>
      </c>
      <c r="G150" s="25"/>
      <c r="H150" s="25"/>
      <c r="I150" s="25"/>
      <c r="J150" s="23"/>
      <c r="K150" s="23"/>
      <c r="L150" s="23"/>
      <c r="M150" s="26"/>
      <c r="N150" s="26"/>
      <c r="O150" s="26"/>
      <c r="P150" s="26"/>
      <c r="Q150" s="27"/>
      <c r="R150" s="26"/>
      <c r="S150" s="26"/>
      <c r="T150" s="26"/>
      <c r="U150" s="26"/>
      <c r="V150" s="26"/>
      <c r="W150" s="25"/>
      <c r="X150" s="25"/>
      <c r="Y150" s="25"/>
      <c r="Z150" s="25"/>
      <c r="AA150" s="25"/>
      <c r="AB150" s="25"/>
      <c r="AC150" s="25"/>
      <c r="AD150" s="25"/>
      <c r="AE150" s="25"/>
    </row>
    <row r="151">
      <c r="A151" s="12" t="str">
        <f>IF(VLOOKUP(H151,'Paste #BBall'!$C$2:$Q$201,3,)="BRO","BKN",IF(VLOOKUP(H151,'Paste #BBall'!$C$2:$Q$201,3,)="OKL","OKC",VLOOKUP(H151,'Paste #BBall'!$C$2:$Q$201,3,)))</f>
        <v>#N/A</v>
      </c>
      <c r="B151" s="12" t="str">
        <f>VLOOKUP(A151,'Paste #BBall'!$A$204:$D$233,4,)</f>
        <v>#N/A</v>
      </c>
      <c r="C151" s="12" t="str">
        <f>VLOOKUP(A151,'Paste #BBall'!$A$204:$C$233,3,)</f>
        <v>#N/A</v>
      </c>
      <c r="D151" s="12" t="str">
        <f>VLOOKUP(A151,'Paste #BBall'!$A$204:$B$233,2,)</f>
        <v>#N/A</v>
      </c>
      <c r="E151" s="12" t="str">
        <f t="shared" si="1"/>
        <v>#N/A</v>
      </c>
      <c r="F151" s="12">
        <v>146.0</v>
      </c>
      <c r="G151" s="25"/>
      <c r="H151" s="25"/>
      <c r="I151" s="25"/>
      <c r="J151" s="23"/>
      <c r="K151" s="23"/>
      <c r="L151" s="23"/>
      <c r="M151" s="26"/>
      <c r="N151" s="26"/>
      <c r="O151" s="26"/>
      <c r="P151" s="26"/>
      <c r="Q151" s="27"/>
      <c r="R151" s="26"/>
      <c r="S151" s="26"/>
      <c r="T151" s="26"/>
      <c r="U151" s="26"/>
      <c r="V151" s="26"/>
      <c r="W151" s="25"/>
      <c r="X151" s="25"/>
      <c r="Y151" s="25"/>
      <c r="Z151" s="25"/>
      <c r="AA151" s="25"/>
      <c r="AB151" s="25"/>
      <c r="AC151" s="25"/>
      <c r="AD151" s="25"/>
      <c r="AE151" s="25"/>
    </row>
    <row r="152">
      <c r="A152" s="12" t="str">
        <f>IF(VLOOKUP(H152,'Paste #BBall'!$C$2:$Q$201,3,)="BRO","BKN",IF(VLOOKUP(H152,'Paste #BBall'!$C$2:$Q$201,3,)="OKL","OKC",VLOOKUP(H152,'Paste #BBall'!$C$2:$Q$201,3,)))</f>
        <v>#N/A</v>
      </c>
      <c r="B152" s="12" t="str">
        <f>VLOOKUP(A152,'Paste #BBall'!$A$204:$D$233,4,)</f>
        <v>#N/A</v>
      </c>
      <c r="C152" s="12" t="str">
        <f>VLOOKUP(A152,'Paste #BBall'!$A$204:$C$233,3,)</f>
        <v>#N/A</v>
      </c>
      <c r="D152" s="12" t="str">
        <f>VLOOKUP(A152,'Paste #BBall'!$A$204:$B$233,2,)</f>
        <v>#N/A</v>
      </c>
      <c r="E152" s="12" t="str">
        <f t="shared" si="1"/>
        <v>#N/A</v>
      </c>
      <c r="F152" s="12">
        <v>147.0</v>
      </c>
      <c r="G152" s="25"/>
      <c r="H152" s="25"/>
      <c r="I152" s="25"/>
      <c r="J152" s="23"/>
      <c r="K152" s="23"/>
      <c r="L152" s="23"/>
      <c r="M152" s="26"/>
      <c r="N152" s="26"/>
      <c r="O152" s="26"/>
      <c r="P152" s="26"/>
      <c r="Q152" s="27"/>
      <c r="R152" s="26"/>
      <c r="S152" s="26"/>
      <c r="T152" s="26"/>
      <c r="U152" s="26"/>
      <c r="V152" s="26"/>
      <c r="W152" s="25"/>
      <c r="X152" s="25"/>
      <c r="Y152" s="25"/>
      <c r="Z152" s="25"/>
      <c r="AA152" s="25"/>
      <c r="AB152" s="25"/>
      <c r="AC152" s="25"/>
      <c r="AD152" s="25"/>
      <c r="AE152" s="25"/>
    </row>
    <row r="153">
      <c r="A153" s="12" t="str">
        <f>IF(VLOOKUP(H153,'Paste #BBall'!$C$2:$Q$201,3,)="BRO","BKN",IF(VLOOKUP(H153,'Paste #BBall'!$C$2:$Q$201,3,)="OKL","OKC",VLOOKUP(H153,'Paste #BBall'!$C$2:$Q$201,3,)))</f>
        <v>#N/A</v>
      </c>
      <c r="B153" s="12" t="str">
        <f>VLOOKUP(A153,'Paste #BBall'!$A$204:$D$233,4,)</f>
        <v>#N/A</v>
      </c>
      <c r="C153" s="12" t="str">
        <f>VLOOKUP(A153,'Paste #BBall'!$A$204:$C$233,3,)</f>
        <v>#N/A</v>
      </c>
      <c r="D153" s="12" t="str">
        <f>VLOOKUP(A153,'Paste #BBall'!$A$204:$B$233,2,)</f>
        <v>#N/A</v>
      </c>
      <c r="E153" s="12" t="str">
        <f t="shared" si="1"/>
        <v>#N/A</v>
      </c>
      <c r="F153" s="12">
        <v>148.0</v>
      </c>
      <c r="G153" s="25"/>
      <c r="H153" s="25"/>
      <c r="I153" s="25"/>
      <c r="J153" s="23"/>
      <c r="K153" s="23"/>
      <c r="L153" s="23"/>
      <c r="M153" s="26"/>
      <c r="N153" s="26"/>
      <c r="O153" s="26"/>
      <c r="P153" s="26"/>
      <c r="Q153" s="27"/>
      <c r="R153" s="26"/>
      <c r="S153" s="26"/>
      <c r="T153" s="26"/>
      <c r="U153" s="26"/>
      <c r="V153" s="26"/>
      <c r="W153" s="25"/>
      <c r="X153" s="25"/>
      <c r="Y153" s="25"/>
      <c r="Z153" s="25"/>
      <c r="AA153" s="25"/>
      <c r="AB153" s="25"/>
      <c r="AC153" s="25"/>
      <c r="AD153" s="25"/>
      <c r="AE153" s="25"/>
    </row>
    <row r="154">
      <c r="A154" s="12" t="str">
        <f>IF(VLOOKUP(H154,'Paste #BBall'!$C$2:$Q$201,3,)="BRO","BKN",IF(VLOOKUP(H154,'Paste #BBall'!$C$2:$Q$201,3,)="OKL","OKC",VLOOKUP(H154,'Paste #BBall'!$C$2:$Q$201,3,)))</f>
        <v>#N/A</v>
      </c>
      <c r="B154" s="12" t="str">
        <f>VLOOKUP(A154,'Paste #BBall'!$A$204:$D$233,4,)</f>
        <v>#N/A</v>
      </c>
      <c r="C154" s="12" t="str">
        <f>VLOOKUP(A154,'Paste #BBall'!$A$204:$C$233,3,)</f>
        <v>#N/A</v>
      </c>
      <c r="D154" s="12" t="str">
        <f>VLOOKUP(A154,'Paste #BBall'!$A$204:$B$233,2,)</f>
        <v>#N/A</v>
      </c>
      <c r="E154" s="12" t="str">
        <f t="shared" si="1"/>
        <v>#N/A</v>
      </c>
      <c r="F154" s="12">
        <v>149.0</v>
      </c>
      <c r="G154" s="25"/>
      <c r="H154" s="25"/>
      <c r="I154" s="25"/>
      <c r="J154" s="23"/>
      <c r="K154" s="23"/>
      <c r="L154" s="23"/>
      <c r="M154" s="26"/>
      <c r="N154" s="26"/>
      <c r="O154" s="26"/>
      <c r="P154" s="26"/>
      <c r="Q154" s="27"/>
      <c r="R154" s="26"/>
      <c r="S154" s="26"/>
      <c r="T154" s="26"/>
      <c r="U154" s="26"/>
      <c r="V154" s="26"/>
      <c r="W154" s="25"/>
      <c r="X154" s="25"/>
      <c r="Y154" s="25"/>
      <c r="Z154" s="25"/>
      <c r="AA154" s="25"/>
      <c r="AB154" s="25"/>
      <c r="AC154" s="25"/>
      <c r="AD154" s="25"/>
      <c r="AE154" s="25"/>
    </row>
    <row r="155">
      <c r="A155" s="12" t="str">
        <f>IF(VLOOKUP(H155,'Paste #BBall'!$C$2:$Q$201,3,)="BRO","BKN",IF(VLOOKUP(H155,'Paste #BBall'!$C$2:$Q$201,3,)="OKL","OKC",VLOOKUP(H155,'Paste #BBall'!$C$2:$Q$201,3,)))</f>
        <v>#N/A</v>
      </c>
      <c r="B155" s="12" t="str">
        <f>VLOOKUP(A155,'Paste #BBall'!$A$204:$D$233,4,)</f>
        <v>#N/A</v>
      </c>
      <c r="C155" s="12" t="str">
        <f>VLOOKUP(A155,'Paste #BBall'!$A$204:$C$233,3,)</f>
        <v>#N/A</v>
      </c>
      <c r="D155" s="12" t="str">
        <f>VLOOKUP(A155,'Paste #BBall'!$A$204:$B$233,2,)</f>
        <v>#N/A</v>
      </c>
      <c r="E155" s="12" t="str">
        <f t="shared" si="1"/>
        <v>#N/A</v>
      </c>
      <c r="F155" s="12">
        <v>150.0</v>
      </c>
      <c r="G155" s="25"/>
      <c r="H155" s="25"/>
      <c r="I155" s="25"/>
      <c r="J155" s="23"/>
      <c r="K155" s="23"/>
      <c r="L155" s="23"/>
      <c r="M155" s="26"/>
      <c r="N155" s="26"/>
      <c r="O155" s="26"/>
      <c r="P155" s="26"/>
      <c r="Q155" s="27"/>
      <c r="R155" s="26"/>
      <c r="S155" s="26"/>
      <c r="T155" s="26"/>
      <c r="U155" s="26"/>
      <c r="V155" s="26"/>
      <c r="W155" s="25"/>
      <c r="X155" s="25"/>
      <c r="Y155" s="25"/>
      <c r="Z155" s="25"/>
      <c r="AA155" s="25"/>
      <c r="AB155" s="25"/>
      <c r="AC155" s="25"/>
      <c r="AD155" s="25"/>
      <c r="AE155" s="25"/>
    </row>
    <row r="156">
      <c r="A156" s="12" t="str">
        <f>IF(VLOOKUP(H156,'Paste #BBall'!$C$2:$Q$201,3,)="BRO","BKN",IF(VLOOKUP(H156,'Paste #BBall'!$C$2:$Q$201,3,)="OKL","OKC",VLOOKUP(H156,'Paste #BBall'!$C$2:$Q$201,3,)))</f>
        <v>#N/A</v>
      </c>
      <c r="B156" s="12" t="str">
        <f>VLOOKUP(A156,'Paste #BBall'!$A$204:$D$233,4,)</f>
        <v>#N/A</v>
      </c>
      <c r="C156" s="12" t="str">
        <f>VLOOKUP(A156,'Paste #BBall'!$A$204:$C$233,3,)</f>
        <v>#N/A</v>
      </c>
      <c r="D156" s="12" t="str">
        <f>VLOOKUP(A156,'Paste #BBall'!$A$204:$B$233,2,)</f>
        <v>#N/A</v>
      </c>
      <c r="E156" s="12" t="str">
        <f t="shared" si="1"/>
        <v>#N/A</v>
      </c>
      <c r="F156" s="12">
        <v>151.0</v>
      </c>
      <c r="G156" s="25"/>
      <c r="H156" s="25"/>
      <c r="I156" s="25"/>
      <c r="J156" s="23"/>
      <c r="K156" s="23"/>
      <c r="L156" s="23"/>
      <c r="M156" s="26"/>
      <c r="N156" s="26"/>
      <c r="O156" s="26"/>
      <c r="P156" s="26"/>
      <c r="Q156" s="27"/>
      <c r="R156" s="26"/>
      <c r="S156" s="26"/>
      <c r="T156" s="26"/>
      <c r="U156" s="26"/>
      <c r="V156" s="26"/>
      <c r="W156" s="25"/>
      <c r="X156" s="25"/>
      <c r="Y156" s="25"/>
      <c r="Z156" s="25"/>
      <c r="AA156" s="25"/>
      <c r="AB156" s="25"/>
      <c r="AC156" s="25"/>
      <c r="AD156" s="25"/>
      <c r="AE156" s="25"/>
    </row>
    <row r="157">
      <c r="A157" s="12" t="str">
        <f>IF(VLOOKUP(H157,'Paste #BBall'!$C$2:$Q$201,3,)="BRO","BKN",IF(VLOOKUP(H157,'Paste #BBall'!$C$2:$Q$201,3,)="OKL","OKC",VLOOKUP(H157,'Paste #BBall'!$C$2:$Q$201,3,)))</f>
        <v>#N/A</v>
      </c>
      <c r="B157" s="12" t="str">
        <f>VLOOKUP(A157,'Paste #BBall'!$A$204:$D$233,4,)</f>
        <v>#N/A</v>
      </c>
      <c r="C157" s="12" t="str">
        <f>VLOOKUP(A157,'Paste #BBall'!$A$204:$C$233,3,)</f>
        <v>#N/A</v>
      </c>
      <c r="D157" s="12" t="str">
        <f>VLOOKUP(A157,'Paste #BBall'!$A$204:$B$233,2,)</f>
        <v>#N/A</v>
      </c>
      <c r="E157" s="12" t="str">
        <f t="shared" si="1"/>
        <v>#N/A</v>
      </c>
      <c r="F157" s="12">
        <v>152.0</v>
      </c>
      <c r="G157" s="25"/>
      <c r="H157" s="25"/>
      <c r="I157" s="25"/>
      <c r="J157" s="23"/>
      <c r="K157" s="23"/>
      <c r="L157" s="23"/>
      <c r="M157" s="26"/>
      <c r="N157" s="26"/>
      <c r="O157" s="26"/>
      <c r="P157" s="26"/>
      <c r="Q157" s="27"/>
      <c r="R157" s="26"/>
      <c r="S157" s="26"/>
      <c r="T157" s="26"/>
      <c r="U157" s="26"/>
      <c r="V157" s="26"/>
      <c r="W157" s="25"/>
      <c r="X157" s="25"/>
      <c r="Y157" s="25"/>
      <c r="Z157" s="25"/>
      <c r="AA157" s="25"/>
      <c r="AB157" s="25"/>
      <c r="AC157" s="25"/>
      <c r="AD157" s="25"/>
      <c r="AE157" s="25"/>
    </row>
    <row r="158">
      <c r="A158" s="12" t="str">
        <f>IF(VLOOKUP(H158,'Paste #BBall'!$C$2:$Q$201,3,)="BRO","BKN",IF(VLOOKUP(H158,'Paste #BBall'!$C$2:$Q$201,3,)="OKL","OKC",VLOOKUP(H158,'Paste #BBall'!$C$2:$Q$201,3,)))</f>
        <v>#N/A</v>
      </c>
      <c r="B158" s="12" t="str">
        <f>VLOOKUP(A158,'Paste #BBall'!$A$204:$D$233,4,)</f>
        <v>#N/A</v>
      </c>
      <c r="C158" s="12" t="str">
        <f>VLOOKUP(A158,'Paste #BBall'!$A$204:$C$233,3,)</f>
        <v>#N/A</v>
      </c>
      <c r="D158" s="12" t="str">
        <f>VLOOKUP(A158,'Paste #BBall'!$A$204:$B$233,2,)</f>
        <v>#N/A</v>
      </c>
      <c r="E158" s="12" t="str">
        <f t="shared" si="1"/>
        <v>#N/A</v>
      </c>
      <c r="F158" s="12">
        <v>153.0</v>
      </c>
      <c r="G158" s="25"/>
      <c r="H158" s="25"/>
      <c r="I158" s="25"/>
      <c r="J158" s="23"/>
      <c r="K158" s="23"/>
      <c r="L158" s="23"/>
      <c r="M158" s="26"/>
      <c r="N158" s="26"/>
      <c r="O158" s="26"/>
      <c r="P158" s="26"/>
      <c r="Q158" s="27"/>
      <c r="R158" s="26"/>
      <c r="S158" s="26"/>
      <c r="T158" s="26"/>
      <c r="U158" s="26"/>
      <c r="V158" s="26"/>
      <c r="W158" s="25"/>
      <c r="X158" s="25"/>
      <c r="Y158" s="25"/>
      <c r="Z158" s="25"/>
      <c r="AA158" s="25"/>
      <c r="AB158" s="25"/>
      <c r="AC158" s="25"/>
      <c r="AD158" s="25"/>
      <c r="AE158" s="25"/>
    </row>
    <row r="159">
      <c r="A159" s="12" t="str">
        <f>IF(VLOOKUP(H159,'Paste #BBall'!$C$2:$Q$201,3,)="BRO","BKN",IF(VLOOKUP(H159,'Paste #BBall'!$C$2:$Q$201,3,)="OKL","OKC",VLOOKUP(H159,'Paste #BBall'!$C$2:$Q$201,3,)))</f>
        <v>#N/A</v>
      </c>
      <c r="B159" s="12" t="str">
        <f>VLOOKUP(A159,'Paste #BBall'!$A$204:$D$233,4,)</f>
        <v>#N/A</v>
      </c>
      <c r="C159" s="12" t="str">
        <f>VLOOKUP(A159,'Paste #BBall'!$A$204:$C$233,3,)</f>
        <v>#N/A</v>
      </c>
      <c r="D159" s="12" t="str">
        <f>VLOOKUP(A159,'Paste #BBall'!$A$204:$B$233,2,)</f>
        <v>#N/A</v>
      </c>
      <c r="E159" s="12" t="str">
        <f t="shared" si="1"/>
        <v>#N/A</v>
      </c>
      <c r="F159" s="12">
        <v>154.0</v>
      </c>
      <c r="G159" s="25"/>
      <c r="H159" s="25"/>
      <c r="I159" s="25"/>
      <c r="J159" s="23"/>
      <c r="K159" s="23"/>
      <c r="L159" s="23"/>
      <c r="M159" s="26"/>
      <c r="N159" s="26"/>
      <c r="O159" s="26"/>
      <c r="P159" s="26"/>
      <c r="Q159" s="27"/>
      <c r="R159" s="26"/>
      <c r="S159" s="26"/>
      <c r="T159" s="26"/>
      <c r="U159" s="26"/>
      <c r="V159" s="26"/>
      <c r="W159" s="25"/>
      <c r="X159" s="25"/>
      <c r="Y159" s="25"/>
      <c r="Z159" s="25"/>
      <c r="AA159" s="25"/>
      <c r="AB159" s="25"/>
      <c r="AC159" s="25"/>
      <c r="AD159" s="25"/>
      <c r="AE159" s="25"/>
    </row>
    <row r="160">
      <c r="A160" s="12" t="str">
        <f>IF(VLOOKUP(H160,'Paste #BBall'!$C$2:$Q$201,3,)="BRO","BKN",IF(VLOOKUP(H160,'Paste #BBall'!$C$2:$Q$201,3,)="OKL","OKC",VLOOKUP(H160,'Paste #BBall'!$C$2:$Q$201,3,)))</f>
        <v>#N/A</v>
      </c>
      <c r="B160" s="12" t="str">
        <f>VLOOKUP(A160,'Paste #BBall'!$A$204:$D$233,4,)</f>
        <v>#N/A</v>
      </c>
      <c r="C160" s="12" t="str">
        <f>VLOOKUP(A160,'Paste #BBall'!$A$204:$C$233,3,)</f>
        <v>#N/A</v>
      </c>
      <c r="D160" s="12" t="str">
        <f>VLOOKUP(A160,'Paste #BBall'!$A$204:$B$233,2,)</f>
        <v>#N/A</v>
      </c>
      <c r="E160" s="12" t="str">
        <f t="shared" si="1"/>
        <v>#N/A</v>
      </c>
      <c r="F160" s="12">
        <v>155.0</v>
      </c>
      <c r="G160" s="25"/>
      <c r="H160" s="25"/>
      <c r="I160" s="25"/>
      <c r="J160" s="23"/>
      <c r="K160" s="23"/>
      <c r="L160" s="23"/>
      <c r="M160" s="26"/>
      <c r="N160" s="26"/>
      <c r="O160" s="26"/>
      <c r="P160" s="26"/>
      <c r="Q160" s="27"/>
      <c r="R160" s="26"/>
      <c r="S160" s="26"/>
      <c r="T160" s="26"/>
      <c r="U160" s="26"/>
      <c r="V160" s="26"/>
      <c r="W160" s="25"/>
      <c r="X160" s="25"/>
      <c r="Y160" s="25"/>
      <c r="Z160" s="25"/>
      <c r="AA160" s="25"/>
      <c r="AB160" s="25"/>
      <c r="AC160" s="25"/>
      <c r="AD160" s="25"/>
      <c r="AE160" s="25"/>
    </row>
    <row r="161">
      <c r="A161" s="12" t="str">
        <f>IF(VLOOKUP(H161,'Paste #BBall'!$C$2:$Q$201,3,)="BRO","BKN",IF(VLOOKUP(H161,'Paste #BBall'!$C$2:$Q$201,3,)="OKL","OKC",VLOOKUP(H161,'Paste #BBall'!$C$2:$Q$201,3,)))</f>
        <v>#N/A</v>
      </c>
      <c r="B161" s="12" t="str">
        <f>VLOOKUP(A161,'Paste #BBall'!$A$204:$D$233,4,)</f>
        <v>#N/A</v>
      </c>
      <c r="C161" s="12" t="str">
        <f>VLOOKUP(A161,'Paste #BBall'!$A$204:$C$233,3,)</f>
        <v>#N/A</v>
      </c>
      <c r="D161" s="12" t="str">
        <f>VLOOKUP(A161,'Paste #BBall'!$A$204:$B$233,2,)</f>
        <v>#N/A</v>
      </c>
      <c r="E161" s="12" t="str">
        <f t="shared" si="1"/>
        <v>#N/A</v>
      </c>
      <c r="F161" s="12">
        <v>156.0</v>
      </c>
      <c r="G161" s="25"/>
      <c r="H161" s="25"/>
      <c r="I161" s="25"/>
      <c r="J161" s="23"/>
      <c r="K161" s="23"/>
      <c r="L161" s="23"/>
      <c r="M161" s="26"/>
      <c r="N161" s="26"/>
      <c r="O161" s="26"/>
      <c r="P161" s="26"/>
      <c r="Q161" s="27"/>
      <c r="R161" s="26"/>
      <c r="S161" s="26"/>
      <c r="T161" s="26"/>
      <c r="U161" s="26"/>
      <c r="V161" s="26"/>
      <c r="W161" s="25"/>
      <c r="X161" s="25"/>
      <c r="Y161" s="25"/>
      <c r="Z161" s="25"/>
      <c r="AA161" s="25"/>
      <c r="AB161" s="25"/>
      <c r="AC161" s="25"/>
      <c r="AD161" s="25"/>
      <c r="AE161" s="25"/>
    </row>
    <row r="162">
      <c r="A162" s="12" t="str">
        <f>IF(VLOOKUP(H162,'Paste #BBall'!$C$2:$Q$201,3,)="BRO","BKN",IF(VLOOKUP(H162,'Paste #BBall'!$C$2:$Q$201,3,)="OKL","OKC",VLOOKUP(H162,'Paste #BBall'!$C$2:$Q$201,3,)))</f>
        <v>#N/A</v>
      </c>
      <c r="B162" s="12" t="str">
        <f>VLOOKUP(A162,'Paste #BBall'!$A$204:$D$233,4,)</f>
        <v>#N/A</v>
      </c>
      <c r="C162" s="12" t="str">
        <f>VLOOKUP(A162,'Paste #BBall'!$A$204:$C$233,3,)</f>
        <v>#N/A</v>
      </c>
      <c r="D162" s="12" t="str">
        <f>VLOOKUP(A162,'Paste #BBall'!$A$204:$B$233,2,)</f>
        <v>#N/A</v>
      </c>
      <c r="E162" s="12" t="str">
        <f t="shared" si="1"/>
        <v>#N/A</v>
      </c>
      <c r="F162" s="12">
        <v>157.0</v>
      </c>
      <c r="G162" s="25"/>
      <c r="H162" s="25"/>
      <c r="I162" s="25"/>
      <c r="J162" s="23"/>
      <c r="K162" s="23"/>
      <c r="L162" s="23"/>
      <c r="M162" s="26"/>
      <c r="N162" s="26"/>
      <c r="O162" s="26"/>
      <c r="P162" s="26"/>
      <c r="Q162" s="27"/>
      <c r="R162" s="26"/>
      <c r="S162" s="26"/>
      <c r="T162" s="26"/>
      <c r="U162" s="26"/>
      <c r="V162" s="26"/>
      <c r="W162" s="25"/>
      <c r="X162" s="25"/>
      <c r="Y162" s="25"/>
      <c r="Z162" s="25"/>
      <c r="AA162" s="25"/>
      <c r="AB162" s="25"/>
      <c r="AC162" s="25"/>
      <c r="AD162" s="25"/>
      <c r="AE162" s="25"/>
    </row>
    <row r="163">
      <c r="A163" s="12" t="str">
        <f>IF(VLOOKUP(H163,'Paste #BBall'!$C$2:$Q$201,3,)="BRO","BKN",IF(VLOOKUP(H163,'Paste #BBall'!$C$2:$Q$201,3,)="OKL","OKC",VLOOKUP(H163,'Paste #BBall'!$C$2:$Q$201,3,)))</f>
        <v>#N/A</v>
      </c>
      <c r="B163" s="12" t="str">
        <f>VLOOKUP(A163,'Paste #BBall'!$A$204:$D$233,4,)</f>
        <v>#N/A</v>
      </c>
      <c r="C163" s="12" t="str">
        <f>VLOOKUP(A163,'Paste #BBall'!$A$204:$C$233,3,)</f>
        <v>#N/A</v>
      </c>
      <c r="D163" s="12" t="str">
        <f>VLOOKUP(A163,'Paste #BBall'!$A$204:$B$233,2,)</f>
        <v>#N/A</v>
      </c>
      <c r="E163" s="12" t="str">
        <f t="shared" si="1"/>
        <v>#N/A</v>
      </c>
      <c r="F163" s="12">
        <v>158.0</v>
      </c>
      <c r="G163" s="25"/>
      <c r="H163" s="25"/>
      <c r="I163" s="25"/>
      <c r="J163" s="23"/>
      <c r="K163" s="23"/>
      <c r="L163" s="23"/>
      <c r="M163" s="26"/>
      <c r="N163" s="26"/>
      <c r="O163" s="26"/>
      <c r="P163" s="26"/>
      <c r="Q163" s="27"/>
      <c r="R163" s="26"/>
      <c r="S163" s="26"/>
      <c r="T163" s="26"/>
      <c r="U163" s="26"/>
      <c r="V163" s="26"/>
      <c r="W163" s="25"/>
      <c r="X163" s="25"/>
      <c r="Y163" s="25"/>
      <c r="Z163" s="25"/>
      <c r="AA163" s="25"/>
      <c r="AB163" s="25"/>
      <c r="AC163" s="25"/>
      <c r="AD163" s="25"/>
      <c r="AE163" s="25"/>
    </row>
    <row r="164">
      <c r="A164" s="12" t="str">
        <f>IF(VLOOKUP(H164,'Paste #BBall'!$C$2:$Q$201,3,)="BRO","BKN",IF(VLOOKUP(H164,'Paste #BBall'!$C$2:$Q$201,3,)="OKL","OKC",VLOOKUP(H164,'Paste #BBall'!$C$2:$Q$201,3,)))</f>
        <v>#N/A</v>
      </c>
      <c r="B164" s="12" t="str">
        <f>VLOOKUP(A164,'Paste #BBall'!$A$204:$D$233,4,)</f>
        <v>#N/A</v>
      </c>
      <c r="C164" s="12" t="str">
        <f>VLOOKUP(A164,'Paste #BBall'!$A$204:$C$233,3,)</f>
        <v>#N/A</v>
      </c>
      <c r="D164" s="12" t="str">
        <f>VLOOKUP(A164,'Paste #BBall'!$A$204:$B$233,2,)</f>
        <v>#N/A</v>
      </c>
      <c r="E164" s="12" t="str">
        <f t="shared" si="1"/>
        <v>#N/A</v>
      </c>
      <c r="F164" s="12">
        <v>159.0</v>
      </c>
      <c r="G164" s="25"/>
      <c r="H164" s="25"/>
      <c r="I164" s="25"/>
      <c r="J164" s="23"/>
      <c r="K164" s="23"/>
      <c r="L164" s="23"/>
      <c r="M164" s="26"/>
      <c r="N164" s="26"/>
      <c r="O164" s="26"/>
      <c r="P164" s="26"/>
      <c r="Q164" s="27"/>
      <c r="R164" s="26"/>
      <c r="S164" s="26"/>
      <c r="T164" s="26"/>
      <c r="U164" s="26"/>
      <c r="V164" s="26"/>
      <c r="W164" s="25"/>
      <c r="X164" s="25"/>
      <c r="Y164" s="25"/>
      <c r="Z164" s="25"/>
      <c r="AA164" s="25"/>
      <c r="AB164" s="25"/>
      <c r="AC164" s="25"/>
      <c r="AD164" s="25"/>
      <c r="AE164" s="25"/>
    </row>
    <row r="165">
      <c r="A165" s="12" t="str">
        <f>IF(VLOOKUP(H165,'Paste #BBall'!$C$2:$Q$201,3,)="BRO","BKN",IF(VLOOKUP(H165,'Paste #BBall'!$C$2:$Q$201,3,)="OKL","OKC",VLOOKUP(H165,'Paste #BBall'!$C$2:$Q$201,3,)))</f>
        <v>#N/A</v>
      </c>
      <c r="B165" s="12" t="str">
        <f>VLOOKUP(A165,'Paste #BBall'!$A$204:$D$233,4,)</f>
        <v>#N/A</v>
      </c>
      <c r="C165" s="12" t="str">
        <f>VLOOKUP(A165,'Paste #BBall'!$A$204:$C$233,3,)</f>
        <v>#N/A</v>
      </c>
      <c r="D165" s="12" t="str">
        <f>VLOOKUP(A165,'Paste #BBall'!$A$204:$B$233,2,)</f>
        <v>#N/A</v>
      </c>
      <c r="E165" s="12" t="str">
        <f t="shared" si="1"/>
        <v>#N/A</v>
      </c>
      <c r="F165" s="12">
        <v>160.0</v>
      </c>
      <c r="G165" s="25"/>
      <c r="H165" s="25"/>
      <c r="I165" s="25"/>
      <c r="J165" s="23"/>
      <c r="K165" s="23"/>
      <c r="L165" s="23"/>
      <c r="M165" s="26"/>
      <c r="N165" s="26"/>
      <c r="O165" s="26"/>
      <c r="P165" s="26"/>
      <c r="Q165" s="27"/>
      <c r="R165" s="26"/>
      <c r="S165" s="26"/>
      <c r="T165" s="26"/>
      <c r="U165" s="26"/>
      <c r="V165" s="26"/>
      <c r="W165" s="25"/>
      <c r="X165" s="25"/>
      <c r="Y165" s="25"/>
      <c r="Z165" s="25"/>
      <c r="AA165" s="25"/>
      <c r="AB165" s="25"/>
      <c r="AC165" s="25"/>
      <c r="AD165" s="25"/>
      <c r="AE165" s="25"/>
    </row>
    <row r="166">
      <c r="A166" s="12" t="str">
        <f>IF(VLOOKUP(H166,'Paste #BBall'!$C$2:$Q$201,3,)="BRO","BKN",IF(VLOOKUP(H166,'Paste #BBall'!$C$2:$Q$201,3,)="OKL","OKC",VLOOKUP(H166,'Paste #BBall'!$C$2:$Q$201,3,)))</f>
        <v>#N/A</v>
      </c>
      <c r="B166" s="12" t="str">
        <f>VLOOKUP(A166,'Paste #BBall'!$A$204:$D$233,4,)</f>
        <v>#N/A</v>
      </c>
      <c r="C166" s="12" t="str">
        <f>VLOOKUP(A166,'Paste #BBall'!$A$204:$C$233,3,)</f>
        <v>#N/A</v>
      </c>
      <c r="D166" s="12" t="str">
        <f>VLOOKUP(A166,'Paste #BBall'!$A$204:$B$233,2,)</f>
        <v>#N/A</v>
      </c>
      <c r="E166" s="12" t="str">
        <f t="shared" si="1"/>
        <v>#N/A</v>
      </c>
      <c r="F166" s="12">
        <v>161.0</v>
      </c>
      <c r="G166" s="25"/>
      <c r="H166" s="25"/>
      <c r="I166" s="25"/>
      <c r="J166" s="23"/>
      <c r="K166" s="23"/>
      <c r="L166" s="23"/>
      <c r="M166" s="26"/>
      <c r="N166" s="26"/>
      <c r="O166" s="26"/>
      <c r="P166" s="26"/>
      <c r="Q166" s="27"/>
      <c r="R166" s="26"/>
      <c r="S166" s="26"/>
      <c r="T166" s="26"/>
      <c r="U166" s="26"/>
      <c r="V166" s="26"/>
      <c r="W166" s="25"/>
      <c r="X166" s="25"/>
      <c r="Y166" s="25"/>
      <c r="Z166" s="25"/>
      <c r="AA166" s="25"/>
      <c r="AB166" s="25"/>
      <c r="AC166" s="25"/>
      <c r="AD166" s="25"/>
      <c r="AE166" s="25"/>
    </row>
    <row r="167">
      <c r="A167" s="12" t="str">
        <f>IF(VLOOKUP(H167,'Paste #BBall'!$C$2:$Q$201,3,)="BRO","BKN",IF(VLOOKUP(H167,'Paste #BBall'!$C$2:$Q$201,3,)="OKL","OKC",VLOOKUP(H167,'Paste #BBall'!$C$2:$Q$201,3,)))</f>
        <v>#N/A</v>
      </c>
      <c r="B167" s="12" t="str">
        <f>VLOOKUP(A167,'Paste #BBall'!$A$204:$D$233,4,)</f>
        <v>#N/A</v>
      </c>
      <c r="C167" s="12" t="str">
        <f>VLOOKUP(A167,'Paste #BBall'!$A$204:$C$233,3,)</f>
        <v>#N/A</v>
      </c>
      <c r="D167" s="12" t="str">
        <f>VLOOKUP(A167,'Paste #BBall'!$A$204:$B$233,2,)</f>
        <v>#N/A</v>
      </c>
      <c r="E167" s="12" t="str">
        <f t="shared" si="1"/>
        <v>#N/A</v>
      </c>
      <c r="F167" s="12">
        <v>162.0</v>
      </c>
      <c r="G167" s="25"/>
      <c r="H167" s="25"/>
      <c r="I167" s="25"/>
      <c r="J167" s="23"/>
      <c r="K167" s="23"/>
      <c r="L167" s="23"/>
      <c r="M167" s="26"/>
      <c r="N167" s="26"/>
      <c r="O167" s="26"/>
      <c r="P167" s="26"/>
      <c r="Q167" s="27"/>
      <c r="R167" s="26"/>
      <c r="S167" s="26"/>
      <c r="T167" s="26"/>
      <c r="U167" s="26"/>
      <c r="V167" s="26"/>
      <c r="W167" s="25"/>
      <c r="X167" s="25"/>
      <c r="Y167" s="25"/>
      <c r="Z167" s="25"/>
      <c r="AA167" s="25"/>
      <c r="AB167" s="25"/>
      <c r="AC167" s="25"/>
      <c r="AD167" s="25"/>
      <c r="AE167" s="25"/>
    </row>
    <row r="168">
      <c r="A168" s="12" t="str">
        <f>IF(VLOOKUP(H168,'Paste #BBall'!$C$2:$Q$201,3,)="BRO","BKN",IF(VLOOKUP(H168,'Paste #BBall'!$C$2:$Q$201,3,)="OKL","OKC",VLOOKUP(H168,'Paste #BBall'!$C$2:$Q$201,3,)))</f>
        <v>#N/A</v>
      </c>
      <c r="B168" s="12" t="str">
        <f>VLOOKUP(A168,'Paste #BBall'!$A$204:$D$233,4,)</f>
        <v>#N/A</v>
      </c>
      <c r="C168" s="12" t="str">
        <f>VLOOKUP(A168,'Paste #BBall'!$A$204:$C$233,3,)</f>
        <v>#N/A</v>
      </c>
      <c r="D168" s="12" t="str">
        <f>VLOOKUP(A168,'Paste #BBall'!$A$204:$B$233,2,)</f>
        <v>#N/A</v>
      </c>
      <c r="E168" s="12" t="str">
        <f t="shared" si="1"/>
        <v>#N/A</v>
      </c>
      <c r="F168" s="12">
        <v>163.0</v>
      </c>
      <c r="G168" s="25"/>
      <c r="H168" s="25"/>
      <c r="I168" s="25"/>
      <c r="J168" s="23"/>
      <c r="K168" s="23"/>
      <c r="L168" s="23"/>
      <c r="M168" s="26"/>
      <c r="N168" s="26"/>
      <c r="O168" s="26"/>
      <c r="P168" s="26"/>
      <c r="Q168" s="27"/>
      <c r="R168" s="26"/>
      <c r="S168" s="26"/>
      <c r="T168" s="26"/>
      <c r="U168" s="26"/>
      <c r="V168" s="26"/>
      <c r="W168" s="25"/>
      <c r="X168" s="25"/>
      <c r="Y168" s="25"/>
      <c r="Z168" s="25"/>
      <c r="AA168" s="25"/>
      <c r="AB168" s="25"/>
      <c r="AC168" s="25"/>
      <c r="AD168" s="25"/>
      <c r="AE168" s="25"/>
    </row>
    <row r="169">
      <c r="A169" s="12" t="str">
        <f>IF(VLOOKUP(H169,'Paste #BBall'!$C$2:$Q$201,3,)="BRO","BKN",IF(VLOOKUP(H169,'Paste #BBall'!$C$2:$Q$201,3,)="OKL","OKC",VLOOKUP(H169,'Paste #BBall'!$C$2:$Q$201,3,)))</f>
        <v>#N/A</v>
      </c>
      <c r="B169" s="12" t="str">
        <f>VLOOKUP(A169,'Paste #BBall'!$A$204:$D$233,4,)</f>
        <v>#N/A</v>
      </c>
      <c r="C169" s="12" t="str">
        <f>VLOOKUP(A169,'Paste #BBall'!$A$204:$C$233,3,)</f>
        <v>#N/A</v>
      </c>
      <c r="D169" s="12" t="str">
        <f>VLOOKUP(A169,'Paste #BBall'!$A$204:$B$233,2,)</f>
        <v>#N/A</v>
      </c>
      <c r="E169" s="12" t="str">
        <f t="shared" si="1"/>
        <v>#N/A</v>
      </c>
      <c r="F169" s="12">
        <v>164.0</v>
      </c>
      <c r="G169" s="25"/>
      <c r="H169" s="25"/>
      <c r="I169" s="25"/>
      <c r="J169" s="23"/>
      <c r="K169" s="23"/>
      <c r="L169" s="23"/>
      <c r="M169" s="26"/>
      <c r="N169" s="26"/>
      <c r="O169" s="26"/>
      <c r="P169" s="26"/>
      <c r="Q169" s="27"/>
      <c r="R169" s="26"/>
      <c r="S169" s="26"/>
      <c r="T169" s="26"/>
      <c r="U169" s="26"/>
      <c r="V169" s="26"/>
      <c r="W169" s="25"/>
      <c r="X169" s="25"/>
      <c r="Y169" s="25"/>
      <c r="Z169" s="25"/>
      <c r="AA169" s="25"/>
      <c r="AB169" s="25"/>
      <c r="AC169" s="25"/>
      <c r="AD169" s="25"/>
      <c r="AE169" s="25"/>
    </row>
    <row r="170">
      <c r="A170" s="12" t="str">
        <f>IF(VLOOKUP(H170,'Paste #BBall'!$C$2:$Q$201,3,)="BRO","BKN",IF(VLOOKUP(H170,'Paste #BBall'!$C$2:$Q$201,3,)="OKL","OKC",VLOOKUP(H170,'Paste #BBall'!$C$2:$Q$201,3,)))</f>
        <v>#N/A</v>
      </c>
      <c r="B170" s="12" t="str">
        <f>VLOOKUP(A170,'Paste #BBall'!$A$204:$D$233,4,)</f>
        <v>#N/A</v>
      </c>
      <c r="C170" s="12" t="str">
        <f>VLOOKUP(A170,'Paste #BBall'!$A$204:$C$233,3,)</f>
        <v>#N/A</v>
      </c>
      <c r="D170" s="12" t="str">
        <f>VLOOKUP(A170,'Paste #BBall'!$A$204:$B$233,2,)</f>
        <v>#N/A</v>
      </c>
      <c r="E170" s="12" t="str">
        <f t="shared" si="1"/>
        <v>#N/A</v>
      </c>
      <c r="F170" s="12">
        <v>165.0</v>
      </c>
      <c r="G170" s="25"/>
      <c r="H170" s="25"/>
      <c r="I170" s="25"/>
      <c r="J170" s="23"/>
      <c r="K170" s="23"/>
      <c r="L170" s="23"/>
      <c r="M170" s="26"/>
      <c r="N170" s="26"/>
      <c r="O170" s="26"/>
      <c r="P170" s="26"/>
      <c r="Q170" s="27"/>
      <c r="R170" s="26"/>
      <c r="S170" s="26"/>
      <c r="T170" s="26"/>
      <c r="U170" s="26"/>
      <c r="V170" s="26"/>
      <c r="W170" s="25"/>
      <c r="X170" s="25"/>
      <c r="Y170" s="25"/>
      <c r="Z170" s="25"/>
      <c r="AA170" s="25"/>
      <c r="AB170" s="25"/>
      <c r="AC170" s="25"/>
      <c r="AD170" s="25"/>
      <c r="AE170" s="25"/>
    </row>
    <row r="171">
      <c r="A171" s="12" t="str">
        <f>IF(VLOOKUP(H171,'Paste #BBall'!$C$2:$Q$201,3,)="BRO","BKN",IF(VLOOKUP(H171,'Paste #BBall'!$C$2:$Q$201,3,)="OKL","OKC",VLOOKUP(H171,'Paste #BBall'!$C$2:$Q$201,3,)))</f>
        <v>#N/A</v>
      </c>
      <c r="B171" s="12" t="str">
        <f>VLOOKUP(A171,'Paste #BBall'!$A$204:$D$233,4,)</f>
        <v>#N/A</v>
      </c>
      <c r="C171" s="12" t="str">
        <f>VLOOKUP(A171,'Paste #BBall'!$A$204:$C$233,3,)</f>
        <v>#N/A</v>
      </c>
      <c r="D171" s="12" t="str">
        <f>VLOOKUP(A171,'Paste #BBall'!$A$204:$B$233,2,)</f>
        <v>#N/A</v>
      </c>
      <c r="E171" s="12" t="str">
        <f t="shared" si="1"/>
        <v>#N/A</v>
      </c>
      <c r="F171" s="12">
        <v>166.0</v>
      </c>
      <c r="G171" s="25"/>
      <c r="H171" s="25"/>
      <c r="I171" s="25"/>
      <c r="J171" s="23"/>
      <c r="K171" s="23"/>
      <c r="L171" s="23"/>
      <c r="M171" s="26"/>
      <c r="N171" s="26"/>
      <c r="O171" s="26"/>
      <c r="P171" s="26"/>
      <c r="Q171" s="27"/>
      <c r="R171" s="26"/>
      <c r="S171" s="26"/>
      <c r="T171" s="26"/>
      <c r="U171" s="26"/>
      <c r="V171" s="26"/>
      <c r="W171" s="25"/>
      <c r="X171" s="25"/>
      <c r="Y171" s="25"/>
      <c r="Z171" s="25"/>
      <c r="AA171" s="25"/>
      <c r="AB171" s="25"/>
      <c r="AC171" s="25"/>
      <c r="AD171" s="25"/>
      <c r="AE171" s="25"/>
    </row>
    <row r="172">
      <c r="A172" s="12" t="str">
        <f>IF(VLOOKUP(H172,'Paste #BBall'!$C$2:$Q$201,3,)="BRO","BKN",IF(VLOOKUP(H172,'Paste #BBall'!$C$2:$Q$201,3,)="OKL","OKC",VLOOKUP(H172,'Paste #BBall'!$C$2:$Q$201,3,)))</f>
        <v>#N/A</v>
      </c>
      <c r="B172" s="12" t="str">
        <f>VLOOKUP(A172,'Paste #BBall'!$A$204:$D$233,4,)</f>
        <v>#N/A</v>
      </c>
      <c r="C172" s="12" t="str">
        <f>VLOOKUP(A172,'Paste #BBall'!$A$204:$C$233,3,)</f>
        <v>#N/A</v>
      </c>
      <c r="D172" s="12" t="str">
        <f>VLOOKUP(A172,'Paste #BBall'!$A$204:$B$233,2,)</f>
        <v>#N/A</v>
      </c>
      <c r="E172" s="12" t="str">
        <f t="shared" si="1"/>
        <v>#N/A</v>
      </c>
      <c r="F172" s="12">
        <v>167.0</v>
      </c>
      <c r="G172" s="25"/>
      <c r="H172" s="25"/>
      <c r="I172" s="25"/>
      <c r="J172" s="23"/>
      <c r="K172" s="23"/>
      <c r="L172" s="23"/>
      <c r="M172" s="26"/>
      <c r="N172" s="26"/>
      <c r="O172" s="26"/>
      <c r="P172" s="26"/>
      <c r="Q172" s="27"/>
      <c r="R172" s="26"/>
      <c r="S172" s="26"/>
      <c r="T172" s="26"/>
      <c r="U172" s="26"/>
      <c r="V172" s="26"/>
      <c r="W172" s="25"/>
      <c r="X172" s="25"/>
      <c r="Y172" s="25"/>
      <c r="Z172" s="25"/>
      <c r="AA172" s="25"/>
      <c r="AB172" s="25"/>
      <c r="AC172" s="25"/>
      <c r="AD172" s="25"/>
      <c r="AE172" s="25"/>
    </row>
    <row r="173">
      <c r="A173" s="12" t="str">
        <f>IF(VLOOKUP(H173,'Paste #BBall'!$C$2:$Q$201,3,)="BRO","BKN",IF(VLOOKUP(H173,'Paste #BBall'!$C$2:$Q$201,3,)="OKL","OKC",VLOOKUP(H173,'Paste #BBall'!$C$2:$Q$201,3,)))</f>
        <v>#N/A</v>
      </c>
      <c r="B173" s="12" t="str">
        <f>VLOOKUP(A173,'Paste #BBall'!$A$204:$D$233,4,)</f>
        <v>#N/A</v>
      </c>
      <c r="C173" s="12" t="str">
        <f>VLOOKUP(A173,'Paste #BBall'!$A$204:$C$233,3,)</f>
        <v>#N/A</v>
      </c>
      <c r="D173" s="12" t="str">
        <f>VLOOKUP(A173,'Paste #BBall'!$A$204:$B$233,2,)</f>
        <v>#N/A</v>
      </c>
      <c r="E173" s="12" t="str">
        <f t="shared" si="1"/>
        <v>#N/A</v>
      </c>
      <c r="F173" s="12">
        <v>168.0</v>
      </c>
      <c r="G173" s="25"/>
      <c r="H173" s="25"/>
      <c r="I173" s="25"/>
      <c r="J173" s="23"/>
      <c r="K173" s="23"/>
      <c r="L173" s="23"/>
      <c r="M173" s="26"/>
      <c r="N173" s="26"/>
      <c r="O173" s="26"/>
      <c r="P173" s="26"/>
      <c r="Q173" s="27"/>
      <c r="R173" s="26"/>
      <c r="S173" s="26"/>
      <c r="T173" s="26"/>
      <c r="U173" s="26"/>
      <c r="V173" s="26"/>
      <c r="W173" s="25"/>
      <c r="X173" s="25"/>
      <c r="Y173" s="25"/>
      <c r="Z173" s="25"/>
      <c r="AA173" s="25"/>
      <c r="AB173" s="25"/>
      <c r="AC173" s="25"/>
      <c r="AD173" s="25"/>
      <c r="AE173" s="25"/>
    </row>
    <row r="174">
      <c r="A174" s="12" t="str">
        <f>IF(VLOOKUP(H174,'Paste #BBall'!$C$2:$Q$201,3,)="BRO","BKN",IF(VLOOKUP(H174,'Paste #BBall'!$C$2:$Q$201,3,)="OKL","OKC",VLOOKUP(H174,'Paste #BBall'!$C$2:$Q$201,3,)))</f>
        <v>#N/A</v>
      </c>
      <c r="B174" s="12" t="str">
        <f>VLOOKUP(A174,'Paste #BBall'!$A$204:$D$233,4,)</f>
        <v>#N/A</v>
      </c>
      <c r="C174" s="12" t="str">
        <f>VLOOKUP(A174,'Paste #BBall'!$A$204:$C$233,3,)</f>
        <v>#N/A</v>
      </c>
      <c r="D174" s="12" t="str">
        <f>VLOOKUP(A174,'Paste #BBall'!$A$204:$B$233,2,)</f>
        <v>#N/A</v>
      </c>
      <c r="E174" s="12" t="str">
        <f t="shared" si="1"/>
        <v>#N/A</v>
      </c>
      <c r="F174" s="12">
        <v>169.0</v>
      </c>
      <c r="G174" s="25"/>
      <c r="H174" s="25"/>
      <c r="I174" s="25"/>
      <c r="J174" s="23"/>
      <c r="K174" s="23"/>
      <c r="L174" s="26"/>
      <c r="M174" s="26"/>
      <c r="N174" s="26"/>
      <c r="O174" s="26"/>
      <c r="P174" s="26"/>
      <c r="Q174" s="27"/>
      <c r="R174" s="26"/>
      <c r="S174" s="26"/>
      <c r="T174" s="26"/>
      <c r="U174" s="26"/>
      <c r="V174" s="26"/>
      <c r="W174" s="25"/>
      <c r="X174" s="25"/>
      <c r="Y174" s="25"/>
      <c r="Z174" s="25"/>
      <c r="AA174" s="25"/>
      <c r="AB174" s="25"/>
      <c r="AC174" s="25"/>
      <c r="AD174" s="25"/>
      <c r="AE174" s="25"/>
    </row>
    <row r="175">
      <c r="A175" s="12" t="str">
        <f>IF(VLOOKUP(H175,'Paste #BBall'!$C$2:$Q$201,3,)="BRO","BKN",IF(VLOOKUP(H175,'Paste #BBall'!$C$2:$Q$201,3,)="OKL","OKC",VLOOKUP(H175,'Paste #BBall'!$C$2:$Q$201,3,)))</f>
        <v>#N/A</v>
      </c>
      <c r="B175" s="12" t="str">
        <f>VLOOKUP(A175,'Paste #BBall'!$A$204:$D$233,4,)</f>
        <v>#N/A</v>
      </c>
      <c r="C175" s="12" t="str">
        <f>VLOOKUP(A175,'Paste #BBall'!$A$204:$C$233,3,)</f>
        <v>#N/A</v>
      </c>
      <c r="D175" s="12" t="str">
        <f>VLOOKUP(A175,'Paste #BBall'!$A$204:$B$233,2,)</f>
        <v>#N/A</v>
      </c>
      <c r="E175" s="12" t="str">
        <f t="shared" si="1"/>
        <v>#N/A</v>
      </c>
      <c r="F175" s="12">
        <v>170.0</v>
      </c>
      <c r="G175" s="25"/>
      <c r="H175" s="25"/>
      <c r="I175" s="25"/>
      <c r="J175" s="23"/>
      <c r="K175" s="23"/>
      <c r="L175" s="26"/>
      <c r="M175" s="26"/>
      <c r="N175" s="26"/>
      <c r="O175" s="26"/>
      <c r="P175" s="26"/>
      <c r="Q175" s="27"/>
      <c r="R175" s="26"/>
      <c r="S175" s="26"/>
      <c r="T175" s="26"/>
      <c r="U175" s="26"/>
      <c r="V175" s="26"/>
      <c r="W175" s="25"/>
      <c r="X175" s="25"/>
      <c r="Y175" s="25"/>
      <c r="Z175" s="25"/>
      <c r="AA175" s="25"/>
      <c r="AB175" s="25"/>
      <c r="AC175" s="25"/>
      <c r="AD175" s="25"/>
      <c r="AE175" s="25"/>
    </row>
    <row r="176">
      <c r="A176" s="12" t="str">
        <f>IF(VLOOKUP(H176,'Paste #BBall'!$C$2:$Q$201,3,)="BRO","BKN",IF(VLOOKUP(H176,'Paste #BBall'!$C$2:$Q$201,3,)="OKL","OKC",VLOOKUP(H176,'Paste #BBall'!$C$2:$Q$201,3,)))</f>
        <v>#N/A</v>
      </c>
      <c r="B176" s="12" t="str">
        <f>VLOOKUP(A176,'Paste #BBall'!$A$204:$D$233,4,)</f>
        <v>#N/A</v>
      </c>
      <c r="C176" s="12" t="str">
        <f>VLOOKUP(A176,'Paste #BBall'!$A$204:$C$233,3,)</f>
        <v>#N/A</v>
      </c>
      <c r="D176" s="12" t="str">
        <f>VLOOKUP(A176,'Paste #BBall'!$A$204:$B$233,2,)</f>
        <v>#N/A</v>
      </c>
      <c r="E176" s="12" t="str">
        <f t="shared" si="1"/>
        <v>#N/A</v>
      </c>
      <c r="F176" s="12">
        <v>171.0</v>
      </c>
      <c r="G176" s="25"/>
      <c r="H176" s="25"/>
      <c r="I176" s="25"/>
      <c r="J176" s="23"/>
      <c r="K176" s="23"/>
      <c r="L176" s="26"/>
      <c r="M176" s="26"/>
      <c r="N176" s="26"/>
      <c r="O176" s="26"/>
      <c r="P176" s="26"/>
      <c r="Q176" s="27"/>
      <c r="R176" s="26"/>
      <c r="S176" s="26"/>
      <c r="T176" s="26"/>
      <c r="U176" s="26"/>
      <c r="V176" s="26"/>
      <c r="W176" s="25"/>
      <c r="X176" s="25"/>
      <c r="Y176" s="25"/>
      <c r="Z176" s="25"/>
      <c r="AA176" s="25"/>
      <c r="AB176" s="25"/>
      <c r="AC176" s="25"/>
      <c r="AD176" s="25"/>
      <c r="AE176" s="25"/>
    </row>
    <row r="177">
      <c r="A177" s="12" t="str">
        <f>IF(VLOOKUP(H177,'Paste #BBall'!$C$2:$Q$201,3,)="BRO","BKN",IF(VLOOKUP(H177,'Paste #BBall'!$C$2:$Q$201,3,)="OKL","OKC",VLOOKUP(H177,'Paste #BBall'!$C$2:$Q$201,3,)))</f>
        <v>#N/A</v>
      </c>
      <c r="B177" s="12" t="str">
        <f>VLOOKUP(A177,'Paste #BBall'!$A$204:$D$233,4,)</f>
        <v>#N/A</v>
      </c>
      <c r="C177" s="12" t="str">
        <f>VLOOKUP(A177,'Paste #BBall'!$A$204:$C$233,3,)</f>
        <v>#N/A</v>
      </c>
      <c r="D177" s="12" t="str">
        <f>VLOOKUP(A177,'Paste #BBall'!$A$204:$B$233,2,)</f>
        <v>#N/A</v>
      </c>
      <c r="E177" s="12" t="str">
        <f t="shared" si="1"/>
        <v>#N/A</v>
      </c>
      <c r="F177" s="12">
        <v>172.0</v>
      </c>
      <c r="G177" s="25"/>
      <c r="H177" s="25"/>
      <c r="I177" s="25"/>
      <c r="J177" s="23"/>
      <c r="K177" s="23"/>
      <c r="L177" s="26"/>
      <c r="M177" s="26"/>
      <c r="N177" s="26"/>
      <c r="O177" s="26"/>
      <c r="P177" s="26"/>
      <c r="Q177" s="27"/>
      <c r="R177" s="26"/>
      <c r="S177" s="26"/>
      <c r="T177" s="26"/>
      <c r="U177" s="26"/>
      <c r="V177" s="26"/>
      <c r="W177" s="25"/>
      <c r="X177" s="25"/>
      <c r="Y177" s="25"/>
      <c r="Z177" s="25"/>
      <c r="AA177" s="25"/>
      <c r="AB177" s="25"/>
      <c r="AC177" s="25"/>
      <c r="AD177" s="25"/>
      <c r="AE177" s="25"/>
    </row>
    <row r="178">
      <c r="A178" s="12" t="str">
        <f>IF(VLOOKUP(H178,'Paste #BBall'!$C$2:$Q$201,3,)="BRO","BKN",IF(VLOOKUP(H178,'Paste #BBall'!$C$2:$Q$201,3,)="OKL","OKC",VLOOKUP(H178,'Paste #BBall'!$C$2:$Q$201,3,)))</f>
        <v>#N/A</v>
      </c>
      <c r="B178" s="12" t="str">
        <f>VLOOKUP(A178,'Paste #BBall'!$A$204:$D$233,4,)</f>
        <v>#N/A</v>
      </c>
      <c r="C178" s="12" t="str">
        <f>VLOOKUP(A178,'Paste #BBall'!$A$204:$C$233,3,)</f>
        <v>#N/A</v>
      </c>
      <c r="D178" s="12" t="str">
        <f>VLOOKUP(A178,'Paste #BBall'!$A$204:$B$233,2,)</f>
        <v>#N/A</v>
      </c>
      <c r="E178" s="12" t="str">
        <f t="shared" si="1"/>
        <v>#N/A</v>
      </c>
      <c r="F178" s="12">
        <v>173.0</v>
      </c>
      <c r="G178" s="25"/>
      <c r="H178" s="25"/>
      <c r="I178" s="25"/>
      <c r="J178" s="23"/>
      <c r="K178" s="23"/>
      <c r="L178" s="26"/>
      <c r="M178" s="26"/>
      <c r="N178" s="26"/>
      <c r="O178" s="26"/>
      <c r="P178" s="26"/>
      <c r="Q178" s="27"/>
      <c r="R178" s="26"/>
      <c r="S178" s="26"/>
      <c r="T178" s="26"/>
      <c r="U178" s="26"/>
      <c r="V178" s="26"/>
      <c r="W178" s="25"/>
      <c r="X178" s="25"/>
      <c r="Y178" s="25"/>
      <c r="Z178" s="25"/>
      <c r="AA178" s="25"/>
      <c r="AB178" s="25"/>
      <c r="AC178" s="25"/>
      <c r="AD178" s="25"/>
      <c r="AE178" s="25"/>
    </row>
    <row r="179">
      <c r="A179" s="12" t="str">
        <f>IF(VLOOKUP(H179,'Paste #BBall'!$C$2:$Q$201,3,)="BRO","BKN",IF(VLOOKUP(H179,'Paste #BBall'!$C$2:$Q$201,3,)="OKL","OKC",VLOOKUP(H179,'Paste #BBall'!$C$2:$Q$201,3,)))</f>
        <v>#N/A</v>
      </c>
      <c r="B179" s="12" t="str">
        <f>VLOOKUP(A179,'Paste #BBall'!$A$204:$D$233,4,)</f>
        <v>#N/A</v>
      </c>
      <c r="C179" s="12" t="str">
        <f>VLOOKUP(A179,'Paste #BBall'!$A$204:$C$233,3,)</f>
        <v>#N/A</v>
      </c>
      <c r="D179" s="12" t="str">
        <f>VLOOKUP(A179,'Paste #BBall'!$A$204:$B$233,2,)</f>
        <v>#N/A</v>
      </c>
      <c r="E179" s="12" t="str">
        <f t="shared" si="1"/>
        <v>#N/A</v>
      </c>
      <c r="F179" s="12">
        <v>174.0</v>
      </c>
      <c r="G179" s="25"/>
      <c r="H179" s="25"/>
      <c r="I179" s="25"/>
      <c r="J179" s="23"/>
      <c r="K179" s="23"/>
      <c r="L179" s="26"/>
      <c r="M179" s="26"/>
      <c r="N179" s="26"/>
      <c r="O179" s="26"/>
      <c r="P179" s="26"/>
      <c r="Q179" s="27"/>
      <c r="R179" s="26"/>
      <c r="S179" s="26"/>
      <c r="T179" s="26"/>
      <c r="U179" s="26"/>
      <c r="V179" s="26"/>
      <c r="W179" s="25"/>
      <c r="X179" s="25"/>
      <c r="Y179" s="25"/>
      <c r="Z179" s="25"/>
      <c r="AA179" s="25"/>
      <c r="AB179" s="25"/>
      <c r="AC179" s="25"/>
      <c r="AD179" s="25"/>
      <c r="AE179" s="25"/>
    </row>
    <row r="180">
      <c r="A180" s="12" t="str">
        <f>IF(VLOOKUP(H180,'Paste #BBall'!$C$2:$Q$201,3,)="BRO","BKN",IF(VLOOKUP(H180,'Paste #BBall'!$C$2:$Q$201,3,)="OKL","OKC",VLOOKUP(H180,'Paste #BBall'!$C$2:$Q$201,3,)))</f>
        <v>#N/A</v>
      </c>
      <c r="B180" s="12" t="str">
        <f>VLOOKUP(A180,'Paste #BBall'!$A$204:$D$233,4,)</f>
        <v>#N/A</v>
      </c>
      <c r="C180" s="12" t="str">
        <f>VLOOKUP(A180,'Paste #BBall'!$A$204:$C$233,3,)</f>
        <v>#N/A</v>
      </c>
      <c r="D180" s="12" t="str">
        <f>VLOOKUP(A180,'Paste #BBall'!$A$204:$B$233,2,)</f>
        <v>#N/A</v>
      </c>
      <c r="E180" s="12" t="str">
        <f t="shared" si="1"/>
        <v>#N/A</v>
      </c>
      <c r="F180" s="12">
        <v>175.0</v>
      </c>
      <c r="G180" s="25"/>
      <c r="H180" s="25"/>
      <c r="I180" s="25"/>
      <c r="J180" s="23"/>
      <c r="K180" s="23"/>
      <c r="L180" s="26"/>
      <c r="M180" s="26"/>
      <c r="N180" s="26"/>
      <c r="O180" s="26"/>
      <c r="P180" s="26"/>
      <c r="Q180" s="27"/>
      <c r="R180" s="26"/>
      <c r="S180" s="26"/>
      <c r="T180" s="26"/>
      <c r="U180" s="26"/>
      <c r="V180" s="26"/>
      <c r="W180" s="25"/>
      <c r="X180" s="25"/>
      <c r="Y180" s="25"/>
      <c r="Z180" s="25"/>
      <c r="AA180" s="25"/>
      <c r="AB180" s="25"/>
      <c r="AC180" s="25"/>
      <c r="AD180" s="25"/>
      <c r="AE180" s="25"/>
    </row>
    <row r="181">
      <c r="A181" s="12" t="str">
        <f>IF(VLOOKUP(H181,'Paste #BBall'!$C$2:$Q$201,3,)="BRO","BKN",IF(VLOOKUP(H181,'Paste #BBall'!$C$2:$Q$201,3,)="OKL","OKC",VLOOKUP(H181,'Paste #BBall'!$C$2:$Q$201,3,)))</f>
        <v>#N/A</v>
      </c>
      <c r="B181" s="12" t="str">
        <f>VLOOKUP(A181,'Paste #BBall'!$A$204:$D$233,4,)</f>
        <v>#N/A</v>
      </c>
      <c r="C181" s="12" t="str">
        <f>VLOOKUP(A181,'Paste #BBall'!$A$204:$C$233,3,)</f>
        <v>#N/A</v>
      </c>
      <c r="D181" s="12" t="str">
        <f>VLOOKUP(A181,'Paste #BBall'!$A$204:$B$233,2,)</f>
        <v>#N/A</v>
      </c>
      <c r="E181" s="12" t="str">
        <f t="shared" si="1"/>
        <v>#N/A</v>
      </c>
      <c r="F181" s="12">
        <v>176.0</v>
      </c>
      <c r="G181" s="25"/>
      <c r="H181" s="25"/>
      <c r="I181" s="25"/>
      <c r="J181" s="23"/>
      <c r="K181" s="23"/>
      <c r="L181" s="26"/>
      <c r="M181" s="26"/>
      <c r="N181" s="26"/>
      <c r="O181" s="26"/>
      <c r="P181" s="26"/>
      <c r="Q181" s="27"/>
      <c r="R181" s="26"/>
      <c r="S181" s="26"/>
      <c r="T181" s="26"/>
      <c r="U181" s="26"/>
      <c r="V181" s="26"/>
      <c r="W181" s="25"/>
      <c r="X181" s="25"/>
      <c r="Y181" s="25"/>
      <c r="Z181" s="25"/>
      <c r="AA181" s="25"/>
      <c r="AB181" s="25"/>
      <c r="AC181" s="25"/>
      <c r="AD181" s="25"/>
      <c r="AE181" s="25"/>
    </row>
    <row r="182">
      <c r="A182" s="12" t="str">
        <f>IF(VLOOKUP(H182,'Paste #BBall'!$C$2:$Q$201,3,)="BRO","BKN",IF(VLOOKUP(H182,'Paste #BBall'!$C$2:$Q$201,3,)="OKL","OKC",VLOOKUP(H182,'Paste #BBall'!$C$2:$Q$201,3,)))</f>
        <v>#N/A</v>
      </c>
      <c r="B182" s="12" t="str">
        <f>VLOOKUP(A182,'Paste #BBall'!$A$204:$D$233,4,)</f>
        <v>#N/A</v>
      </c>
      <c r="C182" s="12" t="str">
        <f>VLOOKUP(A182,'Paste #BBall'!$A$204:$C$233,3,)</f>
        <v>#N/A</v>
      </c>
      <c r="D182" s="12" t="str">
        <f>VLOOKUP(A182,'Paste #BBall'!$A$204:$B$233,2,)</f>
        <v>#N/A</v>
      </c>
      <c r="E182" s="12" t="str">
        <f t="shared" si="1"/>
        <v>#N/A</v>
      </c>
      <c r="F182" s="12">
        <v>177.0</v>
      </c>
      <c r="G182" s="25"/>
      <c r="H182" s="25"/>
      <c r="I182" s="25"/>
      <c r="J182" s="23"/>
      <c r="K182" s="23"/>
      <c r="L182" s="26"/>
      <c r="M182" s="26"/>
      <c r="N182" s="26"/>
      <c r="O182" s="26"/>
      <c r="P182" s="26"/>
      <c r="Q182" s="27"/>
      <c r="R182" s="26"/>
      <c r="S182" s="26"/>
      <c r="T182" s="26"/>
      <c r="U182" s="26"/>
      <c r="V182" s="26"/>
      <c r="W182" s="25"/>
      <c r="X182" s="25"/>
      <c r="Y182" s="25"/>
      <c r="Z182" s="25"/>
      <c r="AA182" s="25"/>
      <c r="AB182" s="25"/>
      <c r="AC182" s="25"/>
      <c r="AD182" s="25"/>
      <c r="AE182" s="25"/>
    </row>
    <row r="183">
      <c r="A183" s="12" t="str">
        <f>IF(VLOOKUP(H183,'Paste #BBall'!$C$2:$Q$201,3,)="BRO","BKN",IF(VLOOKUP(H183,'Paste #BBall'!$C$2:$Q$201,3,)="OKL","OKC",VLOOKUP(H183,'Paste #BBall'!$C$2:$Q$201,3,)))</f>
        <v>#N/A</v>
      </c>
      <c r="B183" s="12" t="str">
        <f>VLOOKUP(A183,'Paste #BBall'!$A$204:$D$233,4,)</f>
        <v>#N/A</v>
      </c>
      <c r="C183" s="12" t="str">
        <f>VLOOKUP(A183,'Paste #BBall'!$A$204:$C$233,3,)</f>
        <v>#N/A</v>
      </c>
      <c r="D183" s="12" t="str">
        <f>VLOOKUP(A183,'Paste #BBall'!$A$204:$B$233,2,)</f>
        <v>#N/A</v>
      </c>
      <c r="E183" s="12" t="str">
        <f t="shared" si="1"/>
        <v>#N/A</v>
      </c>
      <c r="F183" s="12">
        <v>178.0</v>
      </c>
      <c r="G183" s="25"/>
      <c r="H183" s="25"/>
      <c r="I183" s="25"/>
      <c r="J183" s="23"/>
      <c r="K183" s="23"/>
      <c r="L183" s="26"/>
      <c r="M183" s="26"/>
      <c r="N183" s="26"/>
      <c r="O183" s="26"/>
      <c r="P183" s="26"/>
      <c r="Q183" s="27"/>
      <c r="R183" s="26"/>
      <c r="S183" s="26"/>
      <c r="T183" s="26"/>
      <c r="U183" s="26"/>
      <c r="V183" s="26"/>
      <c r="W183" s="25"/>
      <c r="X183" s="25"/>
      <c r="Y183" s="25"/>
      <c r="Z183" s="25"/>
      <c r="AA183" s="25"/>
      <c r="AB183" s="25"/>
      <c r="AC183" s="25"/>
      <c r="AD183" s="25"/>
      <c r="AE183" s="25"/>
    </row>
    <row r="184">
      <c r="A184" s="12" t="str">
        <f>IF(VLOOKUP(H184,'Paste #BBall'!$C$2:$Q$201,3,)="BRO","BKN",IF(VLOOKUP(H184,'Paste #BBall'!$C$2:$Q$201,3,)="OKL","OKC",VLOOKUP(H184,'Paste #BBall'!$C$2:$Q$201,3,)))</f>
        <v>#N/A</v>
      </c>
      <c r="B184" s="12" t="str">
        <f>VLOOKUP(A184,'Paste #BBall'!$A$204:$D$233,4,)</f>
        <v>#N/A</v>
      </c>
      <c r="C184" s="12" t="str">
        <f>VLOOKUP(A184,'Paste #BBall'!$A$204:$C$233,3,)</f>
        <v>#N/A</v>
      </c>
      <c r="D184" s="12" t="str">
        <f>VLOOKUP(A184,'Paste #BBall'!$A$204:$B$233,2,)</f>
        <v>#N/A</v>
      </c>
      <c r="E184" s="12" t="str">
        <f t="shared" si="1"/>
        <v>#N/A</v>
      </c>
      <c r="F184" s="12">
        <v>179.0</v>
      </c>
      <c r="G184" s="25"/>
      <c r="H184" s="25"/>
      <c r="I184" s="25"/>
      <c r="J184" s="23"/>
      <c r="K184" s="23"/>
      <c r="L184" s="26"/>
      <c r="M184" s="26"/>
      <c r="N184" s="26"/>
      <c r="O184" s="26"/>
      <c r="P184" s="26"/>
      <c r="Q184" s="27"/>
      <c r="R184" s="26"/>
      <c r="S184" s="26"/>
      <c r="T184" s="26"/>
      <c r="U184" s="26"/>
      <c r="V184" s="26"/>
      <c r="W184" s="25"/>
      <c r="X184" s="25"/>
      <c r="Y184" s="25"/>
      <c r="Z184" s="25"/>
      <c r="AA184" s="25"/>
      <c r="AB184" s="25"/>
      <c r="AC184" s="25"/>
      <c r="AD184" s="25"/>
      <c r="AE184" s="25"/>
    </row>
    <row r="185">
      <c r="A185" s="12" t="str">
        <f>IF(VLOOKUP(H185,'Paste #BBall'!$C$2:$Q$201,3,)="BRO","BKN",IF(VLOOKUP(H185,'Paste #BBall'!$C$2:$Q$201,3,)="OKL","OKC",VLOOKUP(H185,'Paste #BBall'!$C$2:$Q$201,3,)))</f>
        <v>#N/A</v>
      </c>
      <c r="B185" s="12" t="str">
        <f>VLOOKUP(A185,'Paste #BBall'!$A$204:$D$233,4,)</f>
        <v>#N/A</v>
      </c>
      <c r="C185" s="12" t="str">
        <f>VLOOKUP(A185,'Paste #BBall'!$A$204:$C$233,3,)</f>
        <v>#N/A</v>
      </c>
      <c r="D185" s="12" t="str">
        <f>VLOOKUP(A185,'Paste #BBall'!$A$204:$B$233,2,)</f>
        <v>#N/A</v>
      </c>
      <c r="E185" s="12" t="str">
        <f t="shared" si="1"/>
        <v>#N/A</v>
      </c>
      <c r="F185" s="12">
        <v>180.0</v>
      </c>
      <c r="G185" s="25"/>
      <c r="H185" s="25"/>
      <c r="I185" s="25"/>
      <c r="J185" s="23"/>
      <c r="K185" s="23"/>
      <c r="L185" s="26"/>
      <c r="M185" s="26"/>
      <c r="N185" s="26"/>
      <c r="O185" s="26"/>
      <c r="P185" s="26"/>
      <c r="Q185" s="27"/>
      <c r="R185" s="26"/>
      <c r="S185" s="26"/>
      <c r="T185" s="26"/>
      <c r="U185" s="26"/>
      <c r="V185" s="26"/>
      <c r="W185" s="25"/>
      <c r="X185" s="25"/>
      <c r="Y185" s="25"/>
      <c r="Z185" s="25"/>
      <c r="AA185" s="25"/>
      <c r="AB185" s="25"/>
      <c r="AC185" s="25"/>
      <c r="AD185" s="25"/>
      <c r="AE185" s="25"/>
    </row>
    <row r="186">
      <c r="A186" s="12" t="str">
        <f>IF(VLOOKUP(H186,'Paste #BBall'!$C$2:$Q$201,3,)="BRO","BKN",IF(VLOOKUP(H186,'Paste #BBall'!$C$2:$Q$201,3,)="OKL","OKC",VLOOKUP(H186,'Paste #BBall'!$C$2:$Q$201,3,)))</f>
        <v>#N/A</v>
      </c>
      <c r="B186" s="12" t="str">
        <f>VLOOKUP(A186,'Paste #BBall'!$A$204:$D$233,4,)</f>
        <v>#N/A</v>
      </c>
      <c r="C186" s="12" t="str">
        <f>VLOOKUP(A186,'Paste #BBall'!$A$204:$C$233,3,)</f>
        <v>#N/A</v>
      </c>
      <c r="D186" s="12" t="str">
        <f>VLOOKUP(A186,'Paste #BBall'!$A$204:$B$233,2,)</f>
        <v>#N/A</v>
      </c>
      <c r="E186" s="12" t="str">
        <f t="shared" si="1"/>
        <v>#N/A</v>
      </c>
      <c r="F186" s="12">
        <v>181.0</v>
      </c>
      <c r="G186" s="25"/>
      <c r="H186" s="25"/>
      <c r="I186" s="25"/>
      <c r="J186" s="23"/>
      <c r="K186" s="23"/>
      <c r="L186" s="26"/>
      <c r="M186" s="26"/>
      <c r="N186" s="26"/>
      <c r="O186" s="26"/>
      <c r="P186" s="26"/>
      <c r="Q186" s="27"/>
      <c r="R186" s="26"/>
      <c r="S186" s="26"/>
      <c r="T186" s="26"/>
      <c r="U186" s="26"/>
      <c r="V186" s="26"/>
      <c r="W186" s="25"/>
      <c r="X186" s="25"/>
      <c r="Y186" s="25"/>
      <c r="Z186" s="25"/>
      <c r="AA186" s="25"/>
      <c r="AB186" s="25"/>
      <c r="AC186" s="25"/>
      <c r="AD186" s="25"/>
      <c r="AE186" s="25"/>
    </row>
    <row r="187">
      <c r="A187" s="12" t="str">
        <f>IF(VLOOKUP(H187,'Paste #BBall'!$C$2:$Q$201,3,)="BRO","BKN",IF(VLOOKUP(H187,'Paste #BBall'!$C$2:$Q$201,3,)="OKL","OKC",VLOOKUP(H187,'Paste #BBall'!$C$2:$Q$201,3,)))</f>
        <v>#N/A</v>
      </c>
      <c r="B187" s="12" t="str">
        <f>VLOOKUP(A187,'Paste #BBall'!$A$204:$D$233,4,)</f>
        <v>#N/A</v>
      </c>
      <c r="C187" s="12" t="str">
        <f>VLOOKUP(A187,'Paste #BBall'!$A$204:$C$233,3,)</f>
        <v>#N/A</v>
      </c>
      <c r="D187" s="12" t="str">
        <f>VLOOKUP(A187,'Paste #BBall'!$A$204:$B$233,2,)</f>
        <v>#N/A</v>
      </c>
      <c r="E187" s="12" t="str">
        <f t="shared" si="1"/>
        <v>#N/A</v>
      </c>
      <c r="F187" s="12">
        <v>182.0</v>
      </c>
      <c r="G187" s="25"/>
      <c r="H187" s="25"/>
      <c r="I187" s="25"/>
      <c r="J187" s="23"/>
      <c r="K187" s="23"/>
      <c r="L187" s="26"/>
      <c r="M187" s="26"/>
      <c r="N187" s="26"/>
      <c r="O187" s="26"/>
      <c r="P187" s="26"/>
      <c r="Q187" s="27"/>
      <c r="R187" s="26"/>
      <c r="S187" s="26"/>
      <c r="T187" s="26"/>
      <c r="U187" s="26"/>
      <c r="V187" s="26"/>
      <c r="W187" s="25"/>
      <c r="X187" s="25"/>
      <c r="Y187" s="25"/>
      <c r="Z187" s="25"/>
      <c r="AA187" s="25"/>
      <c r="AB187" s="25"/>
      <c r="AC187" s="25"/>
      <c r="AD187" s="25"/>
      <c r="AE187" s="25"/>
    </row>
    <row r="188">
      <c r="A188" s="12" t="str">
        <f>IF(VLOOKUP(H188,'Paste #BBall'!$C$2:$Q$201,3,)="BRO","BKN",IF(VLOOKUP(H188,'Paste #BBall'!$C$2:$Q$201,3,)="OKL","OKC",VLOOKUP(H188,'Paste #BBall'!$C$2:$Q$201,3,)))</f>
        <v>#N/A</v>
      </c>
      <c r="B188" s="12" t="str">
        <f>VLOOKUP(A188,'Paste #BBall'!$A$204:$D$233,4,)</f>
        <v>#N/A</v>
      </c>
      <c r="C188" s="12" t="str">
        <f>VLOOKUP(A188,'Paste #BBall'!$A$204:$C$233,3,)</f>
        <v>#N/A</v>
      </c>
      <c r="D188" s="12" t="str">
        <f>VLOOKUP(A188,'Paste #BBall'!$A$204:$B$233,2,)</f>
        <v>#N/A</v>
      </c>
      <c r="E188" s="12" t="str">
        <f t="shared" si="1"/>
        <v>#N/A</v>
      </c>
      <c r="F188" s="12">
        <v>183.0</v>
      </c>
      <c r="G188" s="25"/>
      <c r="H188" s="25"/>
      <c r="I188" s="25"/>
      <c r="J188" s="23"/>
      <c r="K188" s="23"/>
      <c r="L188" s="26"/>
      <c r="M188" s="26"/>
      <c r="N188" s="26"/>
      <c r="O188" s="26"/>
      <c r="P188" s="26"/>
      <c r="Q188" s="27"/>
      <c r="R188" s="26"/>
      <c r="S188" s="26"/>
      <c r="T188" s="26"/>
      <c r="U188" s="26"/>
      <c r="V188" s="26"/>
      <c r="W188" s="25"/>
      <c r="X188" s="25"/>
      <c r="Y188" s="25"/>
      <c r="Z188" s="25"/>
      <c r="AA188" s="25"/>
      <c r="AB188" s="25"/>
      <c r="AC188" s="25"/>
      <c r="AD188" s="25"/>
      <c r="AE188" s="25"/>
    </row>
    <row r="189">
      <c r="A189" s="12" t="str">
        <f>IF(VLOOKUP(H189,'Paste #BBall'!$C$2:$Q$201,3,)="BRO","BKN",IF(VLOOKUP(H189,'Paste #BBall'!$C$2:$Q$201,3,)="OKL","OKC",VLOOKUP(H189,'Paste #BBall'!$C$2:$Q$201,3,)))</f>
        <v>#N/A</v>
      </c>
      <c r="B189" s="12" t="str">
        <f>VLOOKUP(A189,'Paste #BBall'!$A$204:$D$233,4,)</f>
        <v>#N/A</v>
      </c>
      <c r="C189" s="12" t="str">
        <f>VLOOKUP(A189,'Paste #BBall'!$A$204:$C$233,3,)</f>
        <v>#N/A</v>
      </c>
      <c r="D189" s="12" t="str">
        <f>VLOOKUP(A189,'Paste #BBall'!$A$204:$B$233,2,)</f>
        <v>#N/A</v>
      </c>
      <c r="E189" s="12" t="str">
        <f t="shared" si="1"/>
        <v>#N/A</v>
      </c>
      <c r="F189" s="12">
        <v>184.0</v>
      </c>
      <c r="G189" s="25"/>
      <c r="H189" s="25"/>
      <c r="I189" s="25"/>
      <c r="J189" s="23"/>
      <c r="K189" s="23"/>
      <c r="L189" s="26"/>
      <c r="M189" s="26"/>
      <c r="N189" s="26"/>
      <c r="O189" s="26"/>
      <c r="P189" s="26"/>
      <c r="Q189" s="27"/>
      <c r="R189" s="26"/>
      <c r="S189" s="26"/>
      <c r="T189" s="26"/>
      <c r="U189" s="26"/>
      <c r="V189" s="26"/>
      <c r="W189" s="25"/>
      <c r="X189" s="25"/>
      <c r="Y189" s="25"/>
      <c r="Z189" s="25"/>
      <c r="AA189" s="25"/>
      <c r="AB189" s="25"/>
      <c r="AC189" s="25"/>
      <c r="AD189" s="25"/>
      <c r="AE189" s="25"/>
    </row>
    <row r="190">
      <c r="A190" s="12" t="str">
        <f>IF(VLOOKUP(H190,'Paste #BBall'!$C$2:$Q$201,3,)="BRO","BKN",IF(VLOOKUP(H190,'Paste #BBall'!$C$2:$Q$201,3,)="OKL","OKC",VLOOKUP(H190,'Paste #BBall'!$C$2:$Q$201,3,)))</f>
        <v>#N/A</v>
      </c>
      <c r="B190" s="12" t="str">
        <f>VLOOKUP(A190,'Paste #BBall'!$A$204:$D$233,4,)</f>
        <v>#N/A</v>
      </c>
      <c r="C190" s="12" t="str">
        <f>VLOOKUP(A190,'Paste #BBall'!$A$204:$C$233,3,)</f>
        <v>#N/A</v>
      </c>
      <c r="D190" s="12" t="str">
        <f>VLOOKUP(A190,'Paste #BBall'!$A$204:$B$233,2,)</f>
        <v>#N/A</v>
      </c>
      <c r="E190" s="12" t="str">
        <f t="shared" si="1"/>
        <v>#N/A</v>
      </c>
      <c r="F190" s="12">
        <v>185.0</v>
      </c>
      <c r="G190" s="25"/>
      <c r="H190" s="25"/>
      <c r="I190" s="25"/>
      <c r="J190" s="23"/>
      <c r="K190" s="23"/>
      <c r="L190" s="26"/>
      <c r="M190" s="26"/>
      <c r="N190" s="26"/>
      <c r="O190" s="26"/>
      <c r="P190" s="26"/>
      <c r="Q190" s="27"/>
      <c r="R190" s="26"/>
      <c r="S190" s="26"/>
      <c r="T190" s="26"/>
      <c r="U190" s="26"/>
      <c r="V190" s="26"/>
      <c r="W190" s="25"/>
      <c r="X190" s="25"/>
      <c r="Y190" s="25"/>
      <c r="Z190" s="25"/>
      <c r="AA190" s="25"/>
      <c r="AB190" s="25"/>
      <c r="AC190" s="25"/>
      <c r="AD190" s="25"/>
      <c r="AE190" s="25"/>
    </row>
    <row r="191">
      <c r="A191" s="12" t="str">
        <f>IF(VLOOKUP(H191,'Paste #BBall'!$C$2:$Q$201,3,)="BRO","BKN",IF(VLOOKUP(H191,'Paste #BBall'!$C$2:$Q$201,3,)="OKL","OKC",VLOOKUP(H191,'Paste #BBall'!$C$2:$Q$201,3,)))</f>
        <v>#N/A</v>
      </c>
      <c r="B191" s="12" t="str">
        <f>VLOOKUP(A191,'Paste #BBall'!$A$204:$D$233,4,)</f>
        <v>#N/A</v>
      </c>
      <c r="C191" s="12" t="str">
        <f>VLOOKUP(A191,'Paste #BBall'!$A$204:$C$233,3,)</f>
        <v>#N/A</v>
      </c>
      <c r="D191" s="12" t="str">
        <f>VLOOKUP(A191,'Paste #BBall'!$A$204:$B$233,2,)</f>
        <v>#N/A</v>
      </c>
      <c r="E191" s="12" t="str">
        <f t="shared" si="1"/>
        <v>#N/A</v>
      </c>
      <c r="F191" s="12">
        <v>186.0</v>
      </c>
      <c r="G191" s="25"/>
      <c r="H191" s="25"/>
      <c r="I191" s="25"/>
      <c r="J191" s="23"/>
      <c r="K191" s="23"/>
      <c r="L191" s="26"/>
      <c r="M191" s="26"/>
      <c r="N191" s="26"/>
      <c r="O191" s="26"/>
      <c r="P191" s="26"/>
      <c r="Q191" s="27"/>
      <c r="R191" s="26"/>
      <c r="S191" s="26"/>
      <c r="T191" s="26"/>
      <c r="U191" s="26"/>
      <c r="V191" s="26"/>
      <c r="W191" s="25"/>
      <c r="X191" s="25"/>
      <c r="Y191" s="25"/>
      <c r="Z191" s="25"/>
      <c r="AA191" s="25"/>
      <c r="AB191" s="25"/>
      <c r="AC191" s="25"/>
      <c r="AD191" s="25"/>
      <c r="AE191" s="25"/>
    </row>
    <row r="192">
      <c r="A192" s="12" t="str">
        <f>IF(VLOOKUP(H192,'Paste #BBall'!$C$2:$Q$201,3,)="BRO","BKN",IF(VLOOKUP(H192,'Paste #BBall'!$C$2:$Q$201,3,)="OKL","OKC",VLOOKUP(H192,'Paste #BBall'!$C$2:$Q$201,3,)))</f>
        <v>#N/A</v>
      </c>
      <c r="B192" s="12" t="str">
        <f>VLOOKUP(A192,'Paste #BBall'!$A$204:$D$233,4,)</f>
        <v>#N/A</v>
      </c>
      <c r="C192" s="12" t="str">
        <f>VLOOKUP(A192,'Paste #BBall'!$A$204:$C$233,3,)</f>
        <v>#N/A</v>
      </c>
      <c r="D192" s="12" t="str">
        <f>VLOOKUP(A192,'Paste #BBall'!$A$204:$B$233,2,)</f>
        <v>#N/A</v>
      </c>
      <c r="E192" s="12" t="str">
        <f t="shared" si="1"/>
        <v>#N/A</v>
      </c>
      <c r="F192" s="12">
        <v>187.0</v>
      </c>
      <c r="G192" s="25"/>
      <c r="H192" s="25"/>
      <c r="I192" s="25"/>
      <c r="J192" s="23"/>
      <c r="K192" s="23"/>
      <c r="L192" s="26"/>
      <c r="M192" s="26"/>
      <c r="N192" s="26"/>
      <c r="O192" s="26"/>
      <c r="P192" s="26"/>
      <c r="Q192" s="27"/>
      <c r="R192" s="26"/>
      <c r="S192" s="26"/>
      <c r="T192" s="26"/>
      <c r="U192" s="26"/>
      <c r="V192" s="26"/>
      <c r="W192" s="25"/>
      <c r="X192" s="25"/>
      <c r="Y192" s="25"/>
      <c r="Z192" s="25"/>
      <c r="AA192" s="25"/>
      <c r="AB192" s="25"/>
      <c r="AC192" s="25"/>
      <c r="AD192" s="25"/>
      <c r="AE192" s="25"/>
    </row>
    <row r="193">
      <c r="A193" s="12" t="str">
        <f>IF(VLOOKUP(H193,'Paste #BBall'!$C$2:$Q$201,3,)="BRO","BKN",IF(VLOOKUP(H193,'Paste #BBall'!$C$2:$Q$201,3,)="OKL","OKC",VLOOKUP(H193,'Paste #BBall'!$C$2:$Q$201,3,)))</f>
        <v>#N/A</v>
      </c>
      <c r="B193" s="12" t="str">
        <f>VLOOKUP(A193,'Paste #BBall'!$A$204:$D$233,4,)</f>
        <v>#N/A</v>
      </c>
      <c r="C193" s="12" t="str">
        <f>VLOOKUP(A193,'Paste #BBall'!$A$204:$C$233,3,)</f>
        <v>#N/A</v>
      </c>
      <c r="D193" s="12" t="str">
        <f>VLOOKUP(A193,'Paste #BBall'!$A$204:$B$233,2,)</f>
        <v>#N/A</v>
      </c>
      <c r="E193" s="12" t="str">
        <f t="shared" si="1"/>
        <v>#N/A</v>
      </c>
      <c r="F193" s="12">
        <v>188.0</v>
      </c>
      <c r="G193" s="25"/>
      <c r="H193" s="25"/>
      <c r="I193" s="25"/>
      <c r="J193" s="23"/>
      <c r="K193" s="23"/>
      <c r="L193" s="26"/>
      <c r="M193" s="26"/>
      <c r="N193" s="26"/>
      <c r="O193" s="26"/>
      <c r="P193" s="26"/>
      <c r="Q193" s="27"/>
      <c r="R193" s="26"/>
      <c r="S193" s="26"/>
      <c r="T193" s="26"/>
      <c r="U193" s="26"/>
      <c r="V193" s="26"/>
      <c r="W193" s="25"/>
      <c r="X193" s="25"/>
      <c r="Y193" s="25"/>
      <c r="Z193" s="25"/>
      <c r="AA193" s="25"/>
      <c r="AB193" s="25"/>
      <c r="AC193" s="25"/>
      <c r="AD193" s="25"/>
      <c r="AE193" s="25"/>
    </row>
    <row r="194">
      <c r="A194" s="12" t="str">
        <f>IF(VLOOKUP(H194,'Paste #BBall'!$C$2:$Q$201,3,)="BRO","BKN",IF(VLOOKUP(H194,'Paste #BBall'!$C$2:$Q$201,3,)="OKL","OKC",VLOOKUP(H194,'Paste #BBall'!$C$2:$Q$201,3,)))</f>
        <v>#N/A</v>
      </c>
      <c r="B194" s="12" t="str">
        <f>VLOOKUP(A194,'Paste #BBall'!$A$204:$D$233,4,)</f>
        <v>#N/A</v>
      </c>
      <c r="C194" s="12" t="str">
        <f>VLOOKUP(A194,'Paste #BBall'!$A$204:$C$233,3,)</f>
        <v>#N/A</v>
      </c>
      <c r="D194" s="12" t="str">
        <f>VLOOKUP(A194,'Paste #BBall'!$A$204:$B$233,2,)</f>
        <v>#N/A</v>
      </c>
      <c r="E194" s="12" t="str">
        <f t="shared" si="1"/>
        <v>#N/A</v>
      </c>
      <c r="F194" s="12">
        <v>189.0</v>
      </c>
      <c r="G194" s="25"/>
      <c r="H194" s="25"/>
      <c r="I194" s="25"/>
      <c r="J194" s="23"/>
      <c r="K194" s="23"/>
      <c r="L194" s="26"/>
      <c r="M194" s="26"/>
      <c r="N194" s="26"/>
      <c r="O194" s="26"/>
      <c r="P194" s="26"/>
      <c r="Q194" s="27"/>
      <c r="R194" s="26"/>
      <c r="S194" s="26"/>
      <c r="T194" s="26"/>
      <c r="U194" s="26"/>
      <c r="V194" s="26"/>
      <c r="W194" s="25"/>
      <c r="X194" s="25"/>
      <c r="Y194" s="25"/>
      <c r="Z194" s="25"/>
      <c r="AA194" s="25"/>
      <c r="AB194" s="25"/>
      <c r="AC194" s="25"/>
      <c r="AD194" s="25"/>
      <c r="AE194" s="25"/>
    </row>
    <row r="195">
      <c r="A195" s="12" t="str">
        <f>IF(VLOOKUP(H195,'Paste #BBall'!$C$2:$Q$201,3,)="BRO","BKN",IF(VLOOKUP(H195,'Paste #BBall'!$C$2:$Q$201,3,)="OKL","OKC",VLOOKUP(H195,'Paste #BBall'!$C$2:$Q$201,3,)))</f>
        <v>#N/A</v>
      </c>
      <c r="B195" s="12" t="str">
        <f>VLOOKUP(A195,'Paste #BBall'!$A$204:$D$233,4,)</f>
        <v>#N/A</v>
      </c>
      <c r="C195" s="12" t="str">
        <f>VLOOKUP(A195,'Paste #BBall'!$A$204:$C$233,3,)</f>
        <v>#N/A</v>
      </c>
      <c r="D195" s="12" t="str">
        <f>VLOOKUP(A195,'Paste #BBall'!$A$204:$B$233,2,)</f>
        <v>#N/A</v>
      </c>
      <c r="E195" s="12" t="str">
        <f t="shared" si="1"/>
        <v>#N/A</v>
      </c>
      <c r="F195" s="12">
        <v>190.0</v>
      </c>
      <c r="G195" s="25"/>
      <c r="H195" s="25"/>
      <c r="I195" s="25"/>
      <c r="J195" s="23"/>
      <c r="K195" s="23"/>
      <c r="L195" s="26"/>
      <c r="M195" s="26"/>
      <c r="N195" s="26"/>
      <c r="O195" s="26"/>
      <c r="P195" s="26"/>
      <c r="Q195" s="27"/>
      <c r="R195" s="26"/>
      <c r="S195" s="26"/>
      <c r="T195" s="26"/>
      <c r="U195" s="26"/>
      <c r="V195" s="26"/>
      <c r="W195" s="25"/>
      <c r="X195" s="25"/>
      <c r="Y195" s="25"/>
      <c r="Z195" s="25"/>
      <c r="AA195" s="25"/>
      <c r="AB195" s="25"/>
      <c r="AC195" s="25"/>
      <c r="AD195" s="25"/>
      <c r="AE195" s="25"/>
    </row>
    <row r="196">
      <c r="A196" s="12" t="str">
        <f>IF(VLOOKUP(H196,'Paste #BBall'!$C$2:$Q$201,3,)="BRO","BKN",IF(VLOOKUP(H196,'Paste #BBall'!$C$2:$Q$201,3,)="OKL","OKC",VLOOKUP(H196,'Paste #BBall'!$C$2:$Q$201,3,)))</f>
        <v>#N/A</v>
      </c>
      <c r="B196" s="12" t="str">
        <f>VLOOKUP(A196,'Paste #BBall'!$A$204:$D$233,4,)</f>
        <v>#N/A</v>
      </c>
      <c r="C196" s="12" t="str">
        <f>VLOOKUP(A196,'Paste #BBall'!$A$204:$C$233,3,)</f>
        <v>#N/A</v>
      </c>
      <c r="D196" s="12" t="str">
        <f>VLOOKUP(A196,'Paste #BBall'!$A$204:$B$233,2,)</f>
        <v>#N/A</v>
      </c>
      <c r="E196" s="12" t="str">
        <f t="shared" si="1"/>
        <v>#N/A</v>
      </c>
      <c r="F196" s="12">
        <v>191.0</v>
      </c>
      <c r="G196" s="25"/>
      <c r="H196" s="25"/>
      <c r="I196" s="25"/>
      <c r="J196" s="23"/>
      <c r="K196" s="23"/>
      <c r="L196" s="26"/>
      <c r="M196" s="26"/>
      <c r="N196" s="26"/>
      <c r="O196" s="26"/>
      <c r="P196" s="26"/>
      <c r="Q196" s="27"/>
      <c r="R196" s="26"/>
      <c r="S196" s="26"/>
      <c r="T196" s="26"/>
      <c r="U196" s="26"/>
      <c r="V196" s="26"/>
      <c r="W196" s="25"/>
      <c r="X196" s="25"/>
      <c r="Y196" s="25"/>
      <c r="Z196" s="25"/>
      <c r="AA196" s="25"/>
      <c r="AB196" s="25"/>
      <c r="AC196" s="25"/>
      <c r="AD196" s="25"/>
      <c r="AE196" s="25"/>
    </row>
    <row r="197">
      <c r="A197" s="12" t="str">
        <f>IF(VLOOKUP(H197,'Paste #BBall'!$C$2:$Q$201,3,)="BRO","BKN",IF(VLOOKUP(H197,'Paste #BBall'!$C$2:$Q$201,3,)="OKL","OKC",VLOOKUP(H197,'Paste #BBall'!$C$2:$Q$201,3,)))</f>
        <v>#N/A</v>
      </c>
      <c r="B197" s="12" t="str">
        <f>VLOOKUP(A197,'Paste #BBall'!$A$204:$D$233,4,)</f>
        <v>#N/A</v>
      </c>
      <c r="C197" s="12" t="str">
        <f>VLOOKUP(A197,'Paste #BBall'!$A$204:$C$233,3,)</f>
        <v>#N/A</v>
      </c>
      <c r="D197" s="12" t="str">
        <f>VLOOKUP(A197,'Paste #BBall'!$A$204:$B$233,2,)</f>
        <v>#N/A</v>
      </c>
      <c r="E197" s="12" t="str">
        <f t="shared" si="1"/>
        <v>#N/A</v>
      </c>
      <c r="F197" s="12">
        <v>192.0</v>
      </c>
      <c r="G197" s="25"/>
      <c r="H197" s="25"/>
      <c r="I197" s="25"/>
      <c r="J197" s="23"/>
      <c r="K197" s="23"/>
      <c r="L197" s="26"/>
      <c r="M197" s="26"/>
      <c r="N197" s="26"/>
      <c r="O197" s="26"/>
      <c r="P197" s="26"/>
      <c r="Q197" s="27"/>
      <c r="R197" s="26"/>
      <c r="S197" s="26"/>
      <c r="T197" s="26"/>
      <c r="U197" s="26"/>
      <c r="V197" s="26"/>
      <c r="W197" s="25"/>
      <c r="X197" s="25"/>
      <c r="Y197" s="25"/>
      <c r="Z197" s="25"/>
      <c r="AA197" s="25"/>
      <c r="AB197" s="25"/>
      <c r="AC197" s="25"/>
      <c r="AD197" s="25"/>
      <c r="AE197" s="25"/>
    </row>
    <row r="198">
      <c r="A198" s="12" t="str">
        <f>IF(VLOOKUP(H198,'Paste #BBall'!$C$2:$Q$201,3,)="BRO","BKN",IF(VLOOKUP(H198,'Paste #BBall'!$C$2:$Q$201,3,)="OKL","OKC",VLOOKUP(H198,'Paste #BBall'!$C$2:$Q$201,3,)))</f>
        <v>#N/A</v>
      </c>
      <c r="B198" s="12" t="str">
        <f>VLOOKUP(A198,'Paste #BBall'!$A$204:$D$233,4,)</f>
        <v>#N/A</v>
      </c>
      <c r="C198" s="12" t="str">
        <f>VLOOKUP(A198,'Paste #BBall'!$A$204:$C$233,3,)</f>
        <v>#N/A</v>
      </c>
      <c r="D198" s="12" t="str">
        <f>VLOOKUP(A198,'Paste #BBall'!$A$204:$B$233,2,)</f>
        <v>#N/A</v>
      </c>
      <c r="E198" s="12" t="str">
        <f t="shared" si="1"/>
        <v>#N/A</v>
      </c>
      <c r="F198" s="12">
        <v>193.0</v>
      </c>
      <c r="G198" s="25"/>
      <c r="H198" s="25"/>
      <c r="I198" s="25"/>
      <c r="J198" s="23"/>
      <c r="K198" s="23"/>
      <c r="L198" s="26"/>
      <c r="M198" s="26"/>
      <c r="N198" s="26"/>
      <c r="O198" s="26"/>
      <c r="P198" s="26"/>
      <c r="Q198" s="27"/>
      <c r="R198" s="26"/>
      <c r="S198" s="26"/>
      <c r="T198" s="26"/>
      <c r="U198" s="26"/>
      <c r="V198" s="26"/>
      <c r="W198" s="25"/>
      <c r="X198" s="25"/>
      <c r="Y198" s="25"/>
      <c r="Z198" s="25"/>
      <c r="AA198" s="25"/>
      <c r="AB198" s="25"/>
      <c r="AC198" s="25"/>
      <c r="AD198" s="25"/>
      <c r="AE198" s="25"/>
    </row>
    <row r="199">
      <c r="A199" s="12" t="str">
        <f>IF(VLOOKUP(H199,'Paste #BBall'!$C$2:$Q$201,3,)="BRO","BKN",IF(VLOOKUP(H199,'Paste #BBall'!$C$2:$Q$201,3,)="OKL","OKC",VLOOKUP(H199,'Paste #BBall'!$C$2:$Q$201,3,)))</f>
        <v>#N/A</v>
      </c>
      <c r="B199" s="12" t="str">
        <f>VLOOKUP(A199,'Paste #BBall'!$A$204:$D$233,4,)</f>
        <v>#N/A</v>
      </c>
      <c r="C199" s="12" t="str">
        <f>VLOOKUP(A199,'Paste #BBall'!$A$204:$C$233,3,)</f>
        <v>#N/A</v>
      </c>
      <c r="D199" s="12" t="str">
        <f>VLOOKUP(A199,'Paste #BBall'!$A$204:$B$233,2,)</f>
        <v>#N/A</v>
      </c>
      <c r="E199" s="12" t="str">
        <f t="shared" si="1"/>
        <v>#N/A</v>
      </c>
      <c r="F199" s="12">
        <v>194.0</v>
      </c>
      <c r="G199" s="25"/>
      <c r="H199" s="25"/>
      <c r="I199" s="25"/>
      <c r="J199" s="23"/>
      <c r="K199" s="23"/>
      <c r="L199" s="26"/>
      <c r="M199" s="26"/>
      <c r="N199" s="26"/>
      <c r="O199" s="26"/>
      <c r="P199" s="26"/>
      <c r="Q199" s="27"/>
      <c r="R199" s="26"/>
      <c r="S199" s="26"/>
      <c r="T199" s="26"/>
      <c r="U199" s="26"/>
      <c r="V199" s="26"/>
      <c r="W199" s="25"/>
      <c r="X199" s="25"/>
      <c r="Y199" s="25"/>
      <c r="Z199" s="25"/>
      <c r="AA199" s="25"/>
      <c r="AB199" s="25"/>
      <c r="AC199" s="25"/>
      <c r="AD199" s="25"/>
      <c r="AE199" s="25"/>
    </row>
    <row r="200">
      <c r="A200" s="12" t="str">
        <f>IF(VLOOKUP(H200,'Paste #BBall'!$C$2:$Q$201,3,)="BRO","BKN",IF(VLOOKUP(H200,'Paste #BBall'!$C$2:$Q$201,3,)="OKL","OKC",VLOOKUP(H200,'Paste #BBall'!$C$2:$Q$201,3,)))</f>
        <v>#N/A</v>
      </c>
      <c r="B200" s="12" t="str">
        <f>VLOOKUP(A200,'Paste #BBall'!$A$204:$D$233,4,)</f>
        <v>#N/A</v>
      </c>
      <c r="C200" s="12" t="str">
        <f>VLOOKUP(A200,'Paste #BBall'!$A$204:$C$233,3,)</f>
        <v>#N/A</v>
      </c>
      <c r="D200" s="12" t="str">
        <f>VLOOKUP(A200,'Paste #BBall'!$A$204:$B$233,2,)</f>
        <v>#N/A</v>
      </c>
      <c r="E200" s="12" t="str">
        <f t="shared" si="1"/>
        <v>#N/A</v>
      </c>
      <c r="F200" s="12">
        <v>195.0</v>
      </c>
      <c r="G200" s="25"/>
      <c r="H200" s="25"/>
      <c r="I200" s="25"/>
      <c r="J200" s="23"/>
      <c r="K200" s="23"/>
      <c r="L200" s="26"/>
      <c r="M200" s="26"/>
      <c r="N200" s="26"/>
      <c r="O200" s="26"/>
      <c r="P200" s="26"/>
      <c r="Q200" s="27"/>
      <c r="R200" s="26"/>
      <c r="S200" s="26"/>
      <c r="T200" s="26"/>
      <c r="U200" s="26"/>
      <c r="V200" s="26"/>
      <c r="W200" s="25"/>
      <c r="X200" s="25"/>
      <c r="Y200" s="25"/>
      <c r="Z200" s="25"/>
      <c r="AA200" s="25"/>
      <c r="AB200" s="25"/>
      <c r="AC200" s="25"/>
      <c r="AD200" s="25"/>
      <c r="AE200" s="25"/>
    </row>
    <row r="201">
      <c r="A201" s="12" t="str">
        <f>IF(VLOOKUP(H201,'Paste #BBall'!$C$2:$Q$201,3,)="BRO","BKN",IF(VLOOKUP(H201,'Paste #BBall'!$C$2:$Q$201,3,)="OKL","OKC",VLOOKUP(H201,'Paste #BBall'!$C$2:$Q$201,3,)))</f>
        <v>#N/A</v>
      </c>
      <c r="B201" s="12" t="str">
        <f>VLOOKUP(A201,'Paste #BBall'!$A$204:$D$233,4,)</f>
        <v>#N/A</v>
      </c>
      <c r="C201" s="12" t="str">
        <f>VLOOKUP(A201,'Paste #BBall'!$A$204:$C$233,3,)</f>
        <v>#N/A</v>
      </c>
      <c r="D201" s="12" t="str">
        <f>VLOOKUP(A201,'Paste #BBall'!$A$204:$B$233,2,)</f>
        <v>#N/A</v>
      </c>
      <c r="E201" s="12" t="str">
        <f t="shared" si="1"/>
        <v>#N/A</v>
      </c>
      <c r="F201" s="12">
        <v>196.0</v>
      </c>
      <c r="G201" s="25"/>
      <c r="H201" s="25"/>
      <c r="I201" s="25"/>
      <c r="J201" s="23"/>
      <c r="K201" s="23"/>
      <c r="L201" s="26"/>
      <c r="M201" s="26"/>
      <c r="N201" s="26"/>
      <c r="O201" s="26"/>
      <c r="P201" s="26"/>
      <c r="Q201" s="27"/>
      <c r="R201" s="26"/>
      <c r="S201" s="26"/>
      <c r="T201" s="26"/>
      <c r="U201" s="26"/>
      <c r="V201" s="26"/>
      <c r="W201" s="25"/>
      <c r="X201" s="25"/>
      <c r="Y201" s="25"/>
      <c r="Z201" s="25"/>
      <c r="AA201" s="25"/>
      <c r="AB201" s="25"/>
      <c r="AC201" s="25"/>
      <c r="AD201" s="25"/>
      <c r="AE201" s="25"/>
    </row>
    <row r="202">
      <c r="A202" s="12" t="str">
        <f>IF(VLOOKUP(H202,'Paste #BBall'!$C$2:$Q$201,3,)="BRO","BKN",IF(VLOOKUP(H202,'Paste #BBall'!$C$2:$Q$201,3,)="OKL","OKC",VLOOKUP(H202,'Paste #BBall'!$C$2:$Q$201,3,)))</f>
        <v>#N/A</v>
      </c>
      <c r="B202" s="12" t="str">
        <f>VLOOKUP(A202,'Paste #BBall'!$A$204:$D$233,4,)</f>
        <v>#N/A</v>
      </c>
      <c r="C202" s="12" t="str">
        <f>VLOOKUP(A202,'Paste #BBall'!$A$204:$C$233,3,)</f>
        <v>#N/A</v>
      </c>
      <c r="D202" s="12" t="str">
        <f>VLOOKUP(A202,'Paste #BBall'!$A$204:$B$233,2,)</f>
        <v>#N/A</v>
      </c>
      <c r="E202" s="12" t="str">
        <f t="shared" si="1"/>
        <v>#N/A</v>
      </c>
      <c r="F202" s="12">
        <v>197.0</v>
      </c>
      <c r="G202" s="25"/>
      <c r="H202" s="25"/>
      <c r="I202" s="25"/>
      <c r="J202" s="23"/>
      <c r="K202" s="23"/>
      <c r="L202" s="26"/>
      <c r="M202" s="26"/>
      <c r="N202" s="26"/>
      <c r="O202" s="26"/>
      <c r="P202" s="26"/>
      <c r="Q202" s="27"/>
      <c r="R202" s="26"/>
      <c r="S202" s="26"/>
      <c r="T202" s="26"/>
      <c r="U202" s="26"/>
      <c r="V202" s="26"/>
      <c r="W202" s="25"/>
      <c r="X202" s="25"/>
      <c r="Y202" s="25"/>
      <c r="Z202" s="25"/>
      <c r="AA202" s="25"/>
      <c r="AB202" s="25"/>
      <c r="AC202" s="25"/>
      <c r="AD202" s="25"/>
      <c r="AE202" s="25"/>
    </row>
    <row r="203">
      <c r="A203" s="12" t="str">
        <f>IF(VLOOKUP(H203,'Paste #BBall'!$C$2:$Q$201,3,)="BRO","BKN",IF(VLOOKUP(H203,'Paste #BBall'!$C$2:$Q$201,3,)="OKL","OKC",VLOOKUP(H203,'Paste #BBall'!$C$2:$Q$201,3,)))</f>
        <v>#N/A</v>
      </c>
      <c r="B203" s="12" t="str">
        <f>VLOOKUP(A203,'Paste #BBall'!$A$204:$D$233,4,)</f>
        <v>#N/A</v>
      </c>
      <c r="C203" s="12" t="str">
        <f>VLOOKUP(A203,'Paste #BBall'!$A$204:$C$233,3,)</f>
        <v>#N/A</v>
      </c>
      <c r="D203" s="12" t="str">
        <f>VLOOKUP(A203,'Paste #BBall'!$A$204:$B$233,2,)</f>
        <v>#N/A</v>
      </c>
      <c r="E203" s="12" t="str">
        <f t="shared" si="1"/>
        <v>#N/A</v>
      </c>
      <c r="F203" s="12">
        <v>198.0</v>
      </c>
      <c r="G203" s="25"/>
      <c r="H203" s="25"/>
      <c r="I203" s="25"/>
      <c r="J203" s="23"/>
      <c r="K203" s="23"/>
      <c r="L203" s="26"/>
      <c r="M203" s="26"/>
      <c r="N203" s="26"/>
      <c r="O203" s="26"/>
      <c r="P203" s="26"/>
      <c r="Q203" s="27"/>
      <c r="R203" s="26"/>
      <c r="S203" s="26"/>
      <c r="T203" s="26"/>
      <c r="U203" s="26"/>
      <c r="V203" s="26"/>
      <c r="W203" s="25"/>
      <c r="X203" s="25"/>
      <c r="Y203" s="25"/>
      <c r="Z203" s="25"/>
      <c r="AA203" s="25"/>
      <c r="AB203" s="25"/>
      <c r="AC203" s="25"/>
      <c r="AD203" s="25"/>
      <c r="AE203" s="25"/>
    </row>
    <row r="204">
      <c r="A204" s="12" t="str">
        <f>IF(VLOOKUP(H204,'Paste #BBall'!$C$2:$Q$201,3,)="BRO","BKN",IF(VLOOKUP(H204,'Paste #BBall'!$C$2:$Q$201,3,)="OKL","OKC",VLOOKUP(H204,'Paste #BBall'!$C$2:$Q$201,3,)))</f>
        <v>#N/A</v>
      </c>
      <c r="B204" s="12" t="str">
        <f>VLOOKUP(A204,'Paste #BBall'!$A$204:$D$233,4,)</f>
        <v>#N/A</v>
      </c>
      <c r="C204" s="12" t="str">
        <f>VLOOKUP(A204,'Paste #BBall'!$A$204:$C$233,3,)</f>
        <v>#N/A</v>
      </c>
      <c r="D204" s="12" t="str">
        <f>VLOOKUP(A204,'Paste #BBall'!$A$204:$B$233,2,)</f>
        <v>#N/A</v>
      </c>
      <c r="E204" s="12" t="str">
        <f t="shared" si="1"/>
        <v>#N/A</v>
      </c>
      <c r="F204" s="12">
        <v>199.0</v>
      </c>
      <c r="G204" s="25"/>
      <c r="H204" s="25"/>
      <c r="I204" s="25"/>
      <c r="J204" s="23"/>
      <c r="K204" s="23"/>
      <c r="L204" s="26"/>
      <c r="M204" s="26"/>
      <c r="N204" s="26"/>
      <c r="O204" s="26"/>
      <c r="P204" s="26"/>
      <c r="Q204" s="27"/>
      <c r="R204" s="26"/>
      <c r="S204" s="26"/>
      <c r="T204" s="26"/>
      <c r="U204" s="26"/>
      <c r="V204" s="26"/>
      <c r="W204" s="25"/>
      <c r="X204" s="25"/>
      <c r="Y204" s="25"/>
      <c r="Z204" s="25"/>
      <c r="AA204" s="25"/>
      <c r="AB204" s="25"/>
      <c r="AC204" s="25"/>
      <c r="AD204" s="25"/>
      <c r="AE204" s="25"/>
    </row>
    <row r="205">
      <c r="A205" s="12" t="str">
        <f>IF(VLOOKUP(H205,'Paste #BBall'!$C$2:$Q$201,3,)="BRO","BKN",IF(VLOOKUP(H205,'Paste #BBall'!$C$2:$Q$201,3,)="OKL","OKC",VLOOKUP(H205,'Paste #BBall'!$C$2:$Q$201,3,)))</f>
        <v>#N/A</v>
      </c>
      <c r="B205" s="12" t="str">
        <f>VLOOKUP(A205,'Paste #BBall'!$A$204:$D$233,4,)</f>
        <v>#N/A</v>
      </c>
      <c r="C205" s="12" t="str">
        <f>VLOOKUP(A205,'Paste #BBall'!$A$204:$C$233,3,)</f>
        <v>#N/A</v>
      </c>
      <c r="D205" s="12" t="str">
        <f>VLOOKUP(A205,'Paste #BBall'!$A$204:$B$233,2,)</f>
        <v>#N/A</v>
      </c>
      <c r="E205" s="12" t="str">
        <f t="shared" si="1"/>
        <v>#N/A</v>
      </c>
      <c r="F205" s="12">
        <v>200.0</v>
      </c>
      <c r="G205" s="25"/>
      <c r="H205" s="25"/>
      <c r="I205" s="25"/>
      <c r="J205" s="23"/>
      <c r="K205" s="23"/>
      <c r="L205" s="26"/>
      <c r="M205" s="26"/>
      <c r="N205" s="26"/>
      <c r="O205" s="26"/>
      <c r="P205" s="26"/>
      <c r="Q205" s="27"/>
      <c r="R205" s="26"/>
      <c r="S205" s="26"/>
      <c r="T205" s="26"/>
      <c r="U205" s="26"/>
      <c r="V205" s="26"/>
      <c r="W205" s="25"/>
      <c r="X205" s="25"/>
      <c r="Y205" s="25"/>
      <c r="Z205" s="25"/>
      <c r="AA205" s="25"/>
      <c r="AB205" s="25"/>
      <c r="AC205" s="25"/>
      <c r="AD205" s="25"/>
      <c r="AE205" s="25"/>
    </row>
    <row r="206">
      <c r="A206" s="76"/>
      <c r="B206" s="76"/>
      <c r="C206" s="76"/>
      <c r="D206" s="76"/>
      <c r="E206" s="76"/>
      <c r="F206" s="12">
        <v>201.0</v>
      </c>
      <c r="G206" s="25"/>
      <c r="H206" s="25"/>
      <c r="I206" s="25"/>
      <c r="J206" s="23"/>
      <c r="K206" s="23"/>
      <c r="L206" s="26"/>
      <c r="M206" s="26"/>
      <c r="N206" s="26"/>
      <c r="O206" s="26"/>
      <c r="P206" s="26"/>
      <c r="Q206" s="27"/>
      <c r="R206" s="26"/>
      <c r="S206" s="26"/>
      <c r="T206" s="26"/>
      <c r="U206" s="26"/>
      <c r="V206" s="26"/>
      <c r="W206" s="25"/>
      <c r="X206" s="25"/>
      <c r="Y206" s="25"/>
      <c r="Z206" s="25"/>
      <c r="AA206" s="25"/>
      <c r="AB206" s="25"/>
      <c r="AC206" s="25"/>
      <c r="AD206" s="25"/>
      <c r="AE206" s="25"/>
    </row>
    <row r="207">
      <c r="A207" s="76"/>
      <c r="B207" s="76"/>
      <c r="C207" s="76"/>
      <c r="D207" s="76"/>
      <c r="E207" s="76"/>
      <c r="F207" s="12">
        <v>202.0</v>
      </c>
      <c r="G207" s="25"/>
      <c r="H207" s="25"/>
      <c r="I207" s="25"/>
      <c r="J207" s="23"/>
      <c r="K207" s="23"/>
      <c r="L207" s="26"/>
      <c r="M207" s="26"/>
      <c r="N207" s="26"/>
      <c r="O207" s="26"/>
      <c r="P207" s="26"/>
      <c r="Q207" s="27"/>
      <c r="R207" s="26"/>
      <c r="S207" s="26"/>
      <c r="T207" s="26"/>
      <c r="U207" s="26"/>
      <c r="V207" s="26"/>
      <c r="W207" s="25"/>
      <c r="X207" s="25"/>
      <c r="Y207" s="25"/>
      <c r="Z207" s="25"/>
      <c r="AA207" s="25"/>
      <c r="AB207" s="25"/>
      <c r="AC207" s="25"/>
      <c r="AD207" s="25"/>
      <c r="AE207" s="25"/>
    </row>
    <row r="208">
      <c r="A208" s="76"/>
      <c r="B208" s="76"/>
      <c r="C208" s="76"/>
      <c r="D208" s="76"/>
      <c r="E208" s="76"/>
      <c r="F208" s="12">
        <v>203.0</v>
      </c>
      <c r="G208" s="25"/>
      <c r="H208" s="25"/>
      <c r="I208" s="25"/>
      <c r="J208" s="23"/>
      <c r="K208" s="23"/>
      <c r="L208" s="26"/>
      <c r="M208" s="26"/>
      <c r="N208" s="26"/>
      <c r="O208" s="26"/>
      <c r="P208" s="26"/>
      <c r="Q208" s="27"/>
      <c r="R208" s="26"/>
      <c r="S208" s="26"/>
      <c r="T208" s="26"/>
      <c r="U208" s="26"/>
      <c r="V208" s="26"/>
      <c r="W208" s="25"/>
      <c r="X208" s="25"/>
      <c r="Y208" s="25"/>
      <c r="Z208" s="25"/>
      <c r="AA208" s="25"/>
      <c r="AB208" s="25"/>
      <c r="AC208" s="25"/>
      <c r="AD208" s="25"/>
      <c r="AE208" s="25"/>
    </row>
    <row r="209">
      <c r="A209" s="76"/>
      <c r="B209" s="76"/>
      <c r="C209" s="76"/>
      <c r="D209" s="76"/>
      <c r="E209" s="76"/>
      <c r="F209" s="12">
        <v>204.0</v>
      </c>
      <c r="G209" s="25"/>
      <c r="H209" s="25"/>
      <c r="I209" s="25"/>
      <c r="J209" s="23"/>
      <c r="K209" s="23"/>
      <c r="L209" s="26"/>
      <c r="M209" s="26"/>
      <c r="N209" s="26"/>
      <c r="O209" s="26"/>
      <c r="P209" s="26"/>
      <c r="Q209" s="27"/>
      <c r="R209" s="26"/>
      <c r="S209" s="26"/>
      <c r="T209" s="26"/>
      <c r="U209" s="26"/>
      <c r="V209" s="26"/>
      <c r="W209" s="25"/>
      <c r="X209" s="25"/>
      <c r="Y209" s="25"/>
      <c r="Z209" s="25"/>
      <c r="AA209" s="25"/>
      <c r="AB209" s="25"/>
      <c r="AC209" s="25"/>
      <c r="AD209" s="25"/>
      <c r="AE209" s="25"/>
    </row>
    <row r="210">
      <c r="A210" s="76"/>
      <c r="B210" s="76"/>
      <c r="C210" s="76"/>
      <c r="D210" s="76"/>
      <c r="E210" s="76"/>
      <c r="F210" s="12">
        <v>205.0</v>
      </c>
      <c r="G210" s="25"/>
      <c r="H210" s="25"/>
      <c r="I210" s="25"/>
      <c r="J210" s="23"/>
      <c r="K210" s="23"/>
      <c r="L210" s="26"/>
      <c r="M210" s="26"/>
      <c r="N210" s="26"/>
      <c r="O210" s="26"/>
      <c r="P210" s="26"/>
      <c r="Q210" s="27"/>
      <c r="R210" s="26"/>
      <c r="S210" s="26"/>
      <c r="T210" s="26"/>
      <c r="U210" s="26"/>
      <c r="V210" s="26"/>
      <c r="W210" s="25"/>
      <c r="X210" s="25"/>
      <c r="Y210" s="25"/>
      <c r="Z210" s="25"/>
      <c r="AA210" s="25"/>
      <c r="AB210" s="25"/>
      <c r="AC210" s="25"/>
      <c r="AD210" s="25"/>
      <c r="AE210" s="25"/>
    </row>
    <row r="211">
      <c r="A211" s="76"/>
      <c r="B211" s="76"/>
      <c r="C211" s="76"/>
      <c r="D211" s="76"/>
      <c r="E211" s="76"/>
      <c r="F211" s="12">
        <v>206.0</v>
      </c>
      <c r="G211" s="25"/>
      <c r="H211" s="25"/>
      <c r="I211" s="25"/>
      <c r="J211" s="23"/>
      <c r="K211" s="23"/>
      <c r="L211" s="26"/>
      <c r="M211" s="26"/>
      <c r="N211" s="26"/>
      <c r="O211" s="26"/>
      <c r="P211" s="26"/>
      <c r="Q211" s="27"/>
      <c r="R211" s="26"/>
      <c r="S211" s="26"/>
      <c r="T211" s="26"/>
      <c r="U211" s="26"/>
      <c r="V211" s="26"/>
      <c r="W211" s="25"/>
      <c r="X211" s="25"/>
      <c r="Y211" s="25"/>
      <c r="Z211" s="25"/>
      <c r="AA211" s="25"/>
      <c r="AB211" s="25"/>
      <c r="AC211" s="25"/>
      <c r="AD211" s="25"/>
      <c r="AE211" s="25"/>
    </row>
    <row r="212">
      <c r="A212" s="76"/>
      <c r="B212" s="76"/>
      <c r="C212" s="76"/>
      <c r="D212" s="76"/>
      <c r="E212" s="76"/>
      <c r="F212" s="12">
        <v>207.0</v>
      </c>
      <c r="G212" s="25"/>
      <c r="H212" s="25"/>
      <c r="I212" s="25"/>
      <c r="J212" s="23"/>
      <c r="K212" s="23"/>
      <c r="L212" s="26"/>
      <c r="M212" s="26"/>
      <c r="N212" s="26"/>
      <c r="O212" s="26"/>
      <c r="P212" s="26"/>
      <c r="Q212" s="27"/>
      <c r="R212" s="26"/>
      <c r="S212" s="26"/>
      <c r="T212" s="26"/>
      <c r="U212" s="26"/>
      <c r="V212" s="26"/>
      <c r="W212" s="25"/>
      <c r="X212" s="25"/>
      <c r="Y212" s="25"/>
      <c r="Z212" s="25"/>
      <c r="AA212" s="25"/>
      <c r="AB212" s="25"/>
      <c r="AC212" s="25"/>
      <c r="AD212" s="25"/>
      <c r="AE212" s="25"/>
    </row>
    <row r="213">
      <c r="A213" s="76"/>
      <c r="B213" s="76"/>
      <c r="C213" s="76"/>
      <c r="D213" s="76"/>
      <c r="E213" s="76"/>
      <c r="F213" s="12">
        <v>208.0</v>
      </c>
      <c r="G213" s="25"/>
      <c r="H213" s="25"/>
      <c r="I213" s="25"/>
      <c r="J213" s="23"/>
      <c r="K213" s="23"/>
      <c r="L213" s="26"/>
      <c r="M213" s="26"/>
      <c r="N213" s="26"/>
      <c r="O213" s="26"/>
      <c r="P213" s="26"/>
      <c r="Q213" s="27"/>
      <c r="R213" s="26"/>
      <c r="S213" s="26"/>
      <c r="T213" s="26"/>
      <c r="U213" s="26"/>
      <c r="V213" s="26"/>
      <c r="W213" s="25"/>
      <c r="X213" s="25"/>
      <c r="Y213" s="25"/>
      <c r="Z213" s="25"/>
      <c r="AA213" s="25"/>
      <c r="AB213" s="25"/>
      <c r="AC213" s="25"/>
      <c r="AD213" s="25"/>
      <c r="AE213" s="25"/>
    </row>
    <row r="214">
      <c r="A214" s="76"/>
      <c r="B214" s="76"/>
      <c r="C214" s="76"/>
      <c r="D214" s="76"/>
      <c r="E214" s="76"/>
      <c r="F214" s="12">
        <v>209.0</v>
      </c>
      <c r="G214" s="25"/>
      <c r="H214" s="25"/>
      <c r="I214" s="25"/>
      <c r="J214" s="23"/>
      <c r="K214" s="23"/>
      <c r="L214" s="26"/>
      <c r="M214" s="26"/>
      <c r="N214" s="26"/>
      <c r="O214" s="26"/>
      <c r="P214" s="26"/>
      <c r="Q214" s="27"/>
      <c r="R214" s="26"/>
      <c r="S214" s="26"/>
      <c r="T214" s="26"/>
      <c r="U214" s="26"/>
      <c r="V214" s="26"/>
      <c r="W214" s="25"/>
      <c r="X214" s="25"/>
      <c r="Y214" s="25"/>
      <c r="Z214" s="25"/>
      <c r="AA214" s="25"/>
      <c r="AB214" s="25"/>
      <c r="AC214" s="25"/>
      <c r="AD214" s="25"/>
      <c r="AE214" s="25"/>
    </row>
    <row r="215">
      <c r="A215" s="76"/>
      <c r="B215" s="76"/>
      <c r="C215" s="76"/>
      <c r="D215" s="76"/>
      <c r="E215" s="76"/>
      <c r="F215" s="12">
        <v>210.0</v>
      </c>
      <c r="G215" s="25"/>
      <c r="H215" s="25"/>
      <c r="I215" s="25"/>
      <c r="J215" s="23"/>
      <c r="K215" s="23"/>
      <c r="L215" s="26"/>
      <c r="M215" s="26"/>
      <c r="N215" s="26"/>
      <c r="O215" s="26"/>
      <c r="P215" s="26"/>
      <c r="Q215" s="27"/>
      <c r="R215" s="26"/>
      <c r="S215" s="26"/>
      <c r="T215" s="26"/>
      <c r="U215" s="26"/>
      <c r="V215" s="26"/>
      <c r="W215" s="25"/>
      <c r="X215" s="25"/>
      <c r="Y215" s="25"/>
      <c r="Z215" s="25"/>
      <c r="AA215" s="25"/>
      <c r="AB215" s="25"/>
      <c r="AC215" s="25"/>
      <c r="AD215" s="25"/>
      <c r="AE215" s="25"/>
    </row>
    <row r="216">
      <c r="A216" s="76"/>
      <c r="B216" s="76"/>
      <c r="C216" s="76"/>
      <c r="D216" s="76"/>
      <c r="E216" s="76"/>
      <c r="F216" s="12">
        <v>211.0</v>
      </c>
      <c r="G216" s="25"/>
      <c r="H216" s="25"/>
      <c r="I216" s="25"/>
      <c r="J216" s="23"/>
      <c r="K216" s="23"/>
      <c r="L216" s="26"/>
      <c r="M216" s="26"/>
      <c r="N216" s="26"/>
      <c r="O216" s="26"/>
      <c r="P216" s="26"/>
      <c r="Q216" s="27"/>
      <c r="R216" s="26"/>
      <c r="S216" s="26"/>
      <c r="T216" s="26"/>
      <c r="U216" s="26"/>
      <c r="V216" s="26"/>
      <c r="W216" s="25"/>
      <c r="X216" s="25"/>
      <c r="Y216" s="25"/>
      <c r="Z216" s="25"/>
      <c r="AA216" s="25"/>
      <c r="AB216" s="25"/>
      <c r="AC216" s="25"/>
      <c r="AD216" s="25"/>
      <c r="AE216" s="25"/>
    </row>
    <row r="217">
      <c r="A217" s="76"/>
      <c r="B217" s="76"/>
      <c r="C217" s="76"/>
      <c r="D217" s="76"/>
      <c r="E217" s="76"/>
      <c r="F217" s="12">
        <v>212.0</v>
      </c>
      <c r="G217" s="25"/>
      <c r="H217" s="25"/>
      <c r="I217" s="25"/>
      <c r="J217" s="23"/>
      <c r="K217" s="23"/>
      <c r="L217" s="26"/>
      <c r="M217" s="26"/>
      <c r="N217" s="26"/>
      <c r="O217" s="26"/>
      <c r="P217" s="26"/>
      <c r="Q217" s="27"/>
      <c r="R217" s="26"/>
      <c r="S217" s="26"/>
      <c r="T217" s="26"/>
      <c r="U217" s="26"/>
      <c r="V217" s="26"/>
      <c r="W217" s="25"/>
      <c r="X217" s="25"/>
      <c r="Y217" s="25"/>
      <c r="Z217" s="25"/>
      <c r="AA217" s="25"/>
      <c r="AB217" s="25"/>
      <c r="AC217" s="25"/>
      <c r="AD217" s="25"/>
      <c r="AE217" s="25"/>
    </row>
    <row r="218">
      <c r="A218" s="76"/>
      <c r="B218" s="76"/>
      <c r="C218" s="76"/>
      <c r="D218" s="76"/>
      <c r="E218" s="76"/>
      <c r="F218" s="12">
        <v>213.0</v>
      </c>
      <c r="G218" s="25"/>
      <c r="H218" s="25"/>
      <c r="I218" s="25"/>
      <c r="J218" s="23"/>
      <c r="K218" s="23"/>
      <c r="L218" s="26"/>
      <c r="M218" s="26"/>
      <c r="N218" s="26"/>
      <c r="O218" s="26"/>
      <c r="P218" s="26"/>
      <c r="Q218" s="27"/>
      <c r="R218" s="26"/>
      <c r="S218" s="26"/>
      <c r="T218" s="26"/>
      <c r="U218" s="26"/>
      <c r="V218" s="26"/>
      <c r="W218" s="25"/>
      <c r="X218" s="25"/>
      <c r="Y218" s="25"/>
      <c r="Z218" s="25"/>
      <c r="AA218" s="25"/>
      <c r="AB218" s="25"/>
      <c r="AC218" s="25"/>
      <c r="AD218" s="25"/>
      <c r="AE218" s="25"/>
    </row>
    <row r="219">
      <c r="A219" s="76"/>
      <c r="B219" s="76"/>
      <c r="C219" s="76"/>
      <c r="D219" s="76"/>
      <c r="E219" s="76"/>
      <c r="F219" s="12">
        <v>214.0</v>
      </c>
      <c r="G219" s="25"/>
      <c r="H219" s="25"/>
      <c r="I219" s="25"/>
      <c r="J219" s="23"/>
      <c r="K219" s="23"/>
      <c r="L219" s="26"/>
      <c r="M219" s="26"/>
      <c r="N219" s="26"/>
      <c r="O219" s="26"/>
      <c r="P219" s="26"/>
      <c r="Q219" s="27"/>
      <c r="R219" s="26"/>
      <c r="S219" s="26"/>
      <c r="T219" s="26"/>
      <c r="U219" s="26"/>
      <c r="V219" s="26"/>
      <c r="W219" s="25"/>
      <c r="X219" s="25"/>
      <c r="Y219" s="25"/>
      <c r="Z219" s="25"/>
      <c r="AA219" s="25"/>
      <c r="AB219" s="25"/>
      <c r="AC219" s="25"/>
      <c r="AD219" s="25"/>
      <c r="AE219" s="25"/>
    </row>
    <row r="220">
      <c r="A220" s="76"/>
      <c r="B220" s="76"/>
      <c r="C220" s="76"/>
      <c r="D220" s="76"/>
      <c r="E220" s="76"/>
      <c r="F220" s="12">
        <v>215.0</v>
      </c>
      <c r="G220" s="25"/>
      <c r="H220" s="25"/>
      <c r="I220" s="25"/>
      <c r="J220" s="23"/>
      <c r="K220" s="23"/>
      <c r="L220" s="26"/>
      <c r="M220" s="26"/>
      <c r="N220" s="26"/>
      <c r="O220" s="26"/>
      <c r="P220" s="26"/>
      <c r="Q220" s="27"/>
      <c r="R220" s="26"/>
      <c r="S220" s="26"/>
      <c r="T220" s="26"/>
      <c r="U220" s="26"/>
      <c r="V220" s="26"/>
      <c r="W220" s="25"/>
      <c r="X220" s="25"/>
      <c r="Y220" s="25"/>
      <c r="Z220" s="25"/>
      <c r="AA220" s="25"/>
      <c r="AB220" s="25"/>
      <c r="AC220" s="25"/>
      <c r="AD220" s="25"/>
      <c r="AE220" s="25"/>
    </row>
    <row r="221">
      <c r="A221" s="76"/>
      <c r="B221" s="76"/>
      <c r="C221" s="76"/>
      <c r="D221" s="76"/>
      <c r="E221" s="76"/>
      <c r="F221" s="12">
        <v>216.0</v>
      </c>
      <c r="G221" s="25"/>
      <c r="H221" s="25"/>
      <c r="I221" s="25"/>
      <c r="J221" s="23"/>
      <c r="K221" s="23"/>
      <c r="L221" s="26"/>
      <c r="M221" s="26"/>
      <c r="N221" s="26"/>
      <c r="O221" s="26"/>
      <c r="P221" s="26"/>
      <c r="Q221" s="27"/>
      <c r="R221" s="26"/>
      <c r="S221" s="26"/>
      <c r="T221" s="26"/>
      <c r="U221" s="26"/>
      <c r="V221" s="26"/>
      <c r="W221" s="25"/>
      <c r="X221" s="25"/>
      <c r="Y221" s="25"/>
      <c r="Z221" s="25"/>
      <c r="AA221" s="25"/>
      <c r="AB221" s="25"/>
      <c r="AC221" s="25"/>
      <c r="AD221" s="25"/>
      <c r="AE221" s="25"/>
    </row>
    <row r="222">
      <c r="A222" s="76"/>
      <c r="B222" s="76"/>
      <c r="C222" s="76"/>
      <c r="D222" s="76"/>
      <c r="E222" s="76"/>
      <c r="F222" s="12">
        <v>217.0</v>
      </c>
      <c r="G222" s="25"/>
      <c r="H222" s="25"/>
      <c r="I222" s="25"/>
      <c r="J222" s="23"/>
      <c r="K222" s="23"/>
      <c r="L222" s="26"/>
      <c r="M222" s="26"/>
      <c r="N222" s="26"/>
      <c r="O222" s="26"/>
      <c r="P222" s="26"/>
      <c r="Q222" s="27"/>
      <c r="R222" s="26"/>
      <c r="S222" s="26"/>
      <c r="T222" s="26"/>
      <c r="U222" s="26"/>
      <c r="V222" s="26"/>
      <c r="W222" s="25"/>
      <c r="X222" s="25"/>
      <c r="Y222" s="25"/>
      <c r="Z222" s="25"/>
      <c r="AA222" s="25"/>
      <c r="AB222" s="25"/>
      <c r="AC222" s="25"/>
      <c r="AD222" s="25"/>
      <c r="AE222" s="25"/>
    </row>
    <row r="223">
      <c r="A223" s="76"/>
      <c r="B223" s="76"/>
      <c r="C223" s="76"/>
      <c r="D223" s="76"/>
      <c r="E223" s="76"/>
      <c r="F223" s="12">
        <v>218.0</v>
      </c>
      <c r="G223" s="25"/>
      <c r="H223" s="25"/>
      <c r="I223" s="25"/>
      <c r="J223" s="23"/>
      <c r="K223" s="23"/>
      <c r="L223" s="26"/>
      <c r="M223" s="26"/>
      <c r="N223" s="26"/>
      <c r="O223" s="26"/>
      <c r="P223" s="26"/>
      <c r="Q223" s="27"/>
      <c r="R223" s="26"/>
      <c r="S223" s="26"/>
      <c r="T223" s="26"/>
      <c r="U223" s="26"/>
      <c r="V223" s="26"/>
      <c r="W223" s="25"/>
      <c r="X223" s="25"/>
      <c r="Y223" s="25"/>
      <c r="Z223" s="25"/>
      <c r="AA223" s="25"/>
      <c r="AB223" s="25"/>
      <c r="AC223" s="25"/>
      <c r="AD223" s="25"/>
      <c r="AE223" s="25"/>
    </row>
    <row r="224">
      <c r="A224" s="76"/>
      <c r="B224" s="76"/>
      <c r="C224" s="76"/>
      <c r="D224" s="76"/>
      <c r="E224" s="76"/>
      <c r="F224" s="12">
        <v>219.0</v>
      </c>
      <c r="G224" s="25"/>
      <c r="H224" s="25"/>
      <c r="I224" s="25"/>
      <c r="J224" s="23"/>
      <c r="K224" s="23"/>
      <c r="L224" s="26"/>
      <c r="M224" s="26"/>
      <c r="N224" s="26"/>
      <c r="O224" s="26"/>
      <c r="P224" s="26"/>
      <c r="Q224" s="27"/>
      <c r="R224" s="26"/>
      <c r="S224" s="26"/>
      <c r="T224" s="26"/>
      <c r="U224" s="26"/>
      <c r="V224" s="26"/>
      <c r="W224" s="25"/>
      <c r="X224" s="25"/>
      <c r="Y224" s="25"/>
      <c r="Z224" s="25"/>
      <c r="AA224" s="25"/>
      <c r="AB224" s="25"/>
      <c r="AC224" s="25"/>
      <c r="AD224" s="25"/>
      <c r="AE224" s="25"/>
    </row>
    <row r="225">
      <c r="A225" s="76"/>
      <c r="B225" s="76"/>
      <c r="C225" s="76"/>
      <c r="D225" s="76"/>
      <c r="E225" s="76"/>
      <c r="F225" s="12">
        <v>220.0</v>
      </c>
      <c r="G225" s="25"/>
      <c r="H225" s="25"/>
      <c r="I225" s="25"/>
      <c r="J225" s="23"/>
      <c r="K225" s="23"/>
      <c r="L225" s="26"/>
      <c r="M225" s="26"/>
      <c r="N225" s="26"/>
      <c r="O225" s="26"/>
      <c r="P225" s="26"/>
      <c r="Q225" s="27"/>
      <c r="R225" s="26"/>
      <c r="S225" s="26"/>
      <c r="T225" s="26"/>
      <c r="U225" s="26"/>
      <c r="V225" s="26"/>
      <c r="W225" s="25"/>
      <c r="X225" s="25"/>
      <c r="Y225" s="25"/>
      <c r="Z225" s="25"/>
      <c r="AA225" s="25"/>
      <c r="AB225" s="25"/>
      <c r="AC225" s="25"/>
      <c r="AD225" s="25"/>
      <c r="AE225" s="25"/>
    </row>
    <row r="226">
      <c r="A226" s="76"/>
      <c r="B226" s="76"/>
      <c r="C226" s="76"/>
      <c r="D226" s="76"/>
      <c r="E226" s="76"/>
      <c r="F226" s="12">
        <v>221.0</v>
      </c>
      <c r="G226" s="25"/>
      <c r="H226" s="25"/>
      <c r="I226" s="25"/>
      <c r="J226" s="23"/>
      <c r="K226" s="23"/>
      <c r="L226" s="26"/>
      <c r="M226" s="26"/>
      <c r="N226" s="26"/>
      <c r="O226" s="26"/>
      <c r="P226" s="26"/>
      <c r="Q226" s="27"/>
      <c r="R226" s="26"/>
      <c r="S226" s="26"/>
      <c r="T226" s="26"/>
      <c r="U226" s="26"/>
      <c r="V226" s="26"/>
      <c r="W226" s="25"/>
      <c r="X226" s="25"/>
      <c r="Y226" s="25"/>
      <c r="Z226" s="25"/>
      <c r="AA226" s="25"/>
      <c r="AB226" s="25"/>
      <c r="AC226" s="25"/>
      <c r="AD226" s="25"/>
      <c r="AE226" s="25"/>
    </row>
    <row r="227">
      <c r="A227" s="76"/>
      <c r="B227" s="76"/>
      <c r="C227" s="76"/>
      <c r="D227" s="76"/>
      <c r="E227" s="76"/>
      <c r="F227" s="12">
        <v>222.0</v>
      </c>
      <c r="G227" s="25"/>
      <c r="H227" s="25"/>
      <c r="I227" s="25"/>
      <c r="J227" s="23"/>
      <c r="K227" s="23"/>
      <c r="L227" s="26"/>
      <c r="M227" s="26"/>
      <c r="N227" s="26"/>
      <c r="O227" s="26"/>
      <c r="P227" s="26"/>
      <c r="Q227" s="27"/>
      <c r="R227" s="26"/>
      <c r="S227" s="26"/>
      <c r="T227" s="26"/>
      <c r="U227" s="26"/>
      <c r="V227" s="26"/>
      <c r="W227" s="25"/>
      <c r="X227" s="25"/>
      <c r="Y227" s="25"/>
      <c r="Z227" s="25"/>
      <c r="AA227" s="25"/>
      <c r="AB227" s="25"/>
      <c r="AC227" s="25"/>
      <c r="AD227" s="25"/>
      <c r="AE227" s="25"/>
    </row>
    <row r="228">
      <c r="A228" s="76"/>
      <c r="B228" s="76"/>
      <c r="C228" s="76"/>
      <c r="D228" s="76"/>
      <c r="E228" s="76"/>
      <c r="F228" s="12">
        <v>223.0</v>
      </c>
      <c r="G228" s="25"/>
      <c r="H228" s="25"/>
      <c r="I228" s="25"/>
      <c r="J228" s="23"/>
      <c r="K228" s="23"/>
      <c r="L228" s="26"/>
      <c r="M228" s="26"/>
      <c r="N228" s="26"/>
      <c r="O228" s="26"/>
      <c r="P228" s="26"/>
      <c r="Q228" s="27"/>
      <c r="R228" s="26"/>
      <c r="S228" s="26"/>
      <c r="T228" s="26"/>
      <c r="U228" s="26"/>
      <c r="V228" s="26"/>
      <c r="W228" s="25"/>
      <c r="X228" s="25"/>
      <c r="Y228" s="25"/>
      <c r="Z228" s="25"/>
      <c r="AA228" s="25"/>
      <c r="AB228" s="25"/>
      <c r="AC228" s="25"/>
      <c r="AD228" s="25"/>
      <c r="AE228" s="25"/>
    </row>
    <row r="229">
      <c r="A229" s="76"/>
      <c r="B229" s="76"/>
      <c r="C229" s="76"/>
      <c r="D229" s="76"/>
      <c r="E229" s="76"/>
      <c r="F229" s="12">
        <v>224.0</v>
      </c>
      <c r="G229" s="25"/>
      <c r="H229" s="25"/>
      <c r="I229" s="25"/>
      <c r="J229" s="23"/>
      <c r="K229" s="23"/>
      <c r="L229" s="26"/>
      <c r="M229" s="26"/>
      <c r="N229" s="26"/>
      <c r="O229" s="26"/>
      <c r="P229" s="26"/>
      <c r="Q229" s="27"/>
      <c r="R229" s="26"/>
      <c r="S229" s="26"/>
      <c r="T229" s="26"/>
      <c r="U229" s="26"/>
      <c r="V229" s="26"/>
      <c r="W229" s="25"/>
      <c r="X229" s="25"/>
      <c r="Y229" s="25"/>
      <c r="Z229" s="25"/>
      <c r="AA229" s="25"/>
      <c r="AB229" s="25"/>
      <c r="AC229" s="25"/>
      <c r="AD229" s="25"/>
      <c r="AE229" s="25"/>
    </row>
    <row r="230">
      <c r="A230" s="76"/>
      <c r="B230" s="76"/>
      <c r="C230" s="76"/>
      <c r="D230" s="76"/>
      <c r="E230" s="76"/>
      <c r="F230" s="12">
        <v>225.0</v>
      </c>
      <c r="G230" s="25"/>
      <c r="H230" s="25"/>
      <c r="I230" s="25"/>
      <c r="J230" s="23"/>
      <c r="K230" s="23"/>
      <c r="L230" s="26"/>
      <c r="M230" s="26"/>
      <c r="N230" s="26"/>
      <c r="O230" s="26"/>
      <c r="P230" s="26"/>
      <c r="Q230" s="27"/>
      <c r="R230" s="26"/>
      <c r="S230" s="26"/>
      <c r="T230" s="26"/>
      <c r="U230" s="26"/>
      <c r="V230" s="26"/>
      <c r="W230" s="25"/>
      <c r="X230" s="25"/>
      <c r="Y230" s="25"/>
      <c r="Z230" s="25"/>
      <c r="AA230" s="25"/>
      <c r="AB230" s="25"/>
      <c r="AC230" s="25"/>
      <c r="AD230" s="25"/>
      <c r="AE230" s="25"/>
    </row>
    <row r="231">
      <c r="A231" s="76"/>
      <c r="B231" s="76"/>
      <c r="C231" s="76"/>
      <c r="D231" s="76"/>
      <c r="E231" s="76"/>
      <c r="F231" s="12">
        <v>226.0</v>
      </c>
      <c r="G231" s="25"/>
      <c r="H231" s="25"/>
      <c r="I231" s="25"/>
      <c r="J231" s="23"/>
      <c r="K231" s="23"/>
      <c r="L231" s="26"/>
      <c r="M231" s="26"/>
      <c r="N231" s="26"/>
      <c r="O231" s="26"/>
      <c r="P231" s="26"/>
      <c r="Q231" s="27"/>
      <c r="R231" s="26"/>
      <c r="S231" s="26"/>
      <c r="T231" s="26"/>
      <c r="U231" s="26"/>
      <c r="V231" s="26"/>
      <c r="W231" s="25"/>
      <c r="X231" s="25"/>
      <c r="Y231" s="25"/>
      <c r="Z231" s="25"/>
      <c r="AA231" s="25"/>
      <c r="AB231" s="25"/>
      <c r="AC231" s="25"/>
      <c r="AD231" s="25"/>
      <c r="AE231" s="25"/>
    </row>
    <row r="232">
      <c r="A232" s="76"/>
      <c r="B232" s="76"/>
      <c r="C232" s="76"/>
      <c r="D232" s="76"/>
      <c r="E232" s="76"/>
      <c r="F232" s="12">
        <v>227.0</v>
      </c>
      <c r="G232" s="25"/>
      <c r="H232" s="25"/>
      <c r="I232" s="25"/>
      <c r="J232" s="23"/>
      <c r="K232" s="23"/>
      <c r="L232" s="26"/>
      <c r="M232" s="26"/>
      <c r="N232" s="26"/>
      <c r="O232" s="26"/>
      <c r="P232" s="26"/>
      <c r="Q232" s="27"/>
      <c r="R232" s="26"/>
      <c r="S232" s="26"/>
      <c r="T232" s="26"/>
      <c r="U232" s="26"/>
      <c r="V232" s="26"/>
      <c r="W232" s="25"/>
      <c r="X232" s="25"/>
      <c r="Y232" s="25"/>
      <c r="Z232" s="25"/>
      <c r="AA232" s="25"/>
      <c r="AB232" s="25"/>
      <c r="AC232" s="25"/>
      <c r="AD232" s="25"/>
      <c r="AE232" s="25"/>
    </row>
    <row r="233">
      <c r="A233" s="76"/>
      <c r="B233" s="76"/>
      <c r="C233" s="76"/>
      <c r="D233" s="76"/>
      <c r="E233" s="76"/>
      <c r="F233" s="12">
        <v>228.0</v>
      </c>
      <c r="G233" s="25"/>
      <c r="H233" s="25"/>
      <c r="I233" s="25"/>
      <c r="J233" s="23"/>
      <c r="K233" s="23"/>
      <c r="L233" s="26"/>
      <c r="M233" s="26"/>
      <c r="N233" s="26"/>
      <c r="O233" s="26"/>
      <c r="P233" s="26"/>
      <c r="Q233" s="27"/>
      <c r="R233" s="26"/>
      <c r="S233" s="26"/>
      <c r="T233" s="26"/>
      <c r="U233" s="26"/>
      <c r="V233" s="26"/>
      <c r="W233" s="25"/>
      <c r="X233" s="25"/>
      <c r="Y233" s="25"/>
      <c r="Z233" s="25"/>
      <c r="AA233" s="25"/>
      <c r="AB233" s="25"/>
      <c r="AC233" s="25"/>
      <c r="AD233" s="25"/>
      <c r="AE233" s="25"/>
    </row>
    <row r="234">
      <c r="A234" s="76"/>
      <c r="B234" s="76"/>
      <c r="C234" s="76"/>
      <c r="D234" s="76"/>
      <c r="E234" s="76"/>
      <c r="F234" s="12">
        <v>229.0</v>
      </c>
      <c r="G234" s="25"/>
      <c r="H234" s="25"/>
      <c r="I234" s="25"/>
      <c r="J234" s="23"/>
      <c r="K234" s="23"/>
      <c r="L234" s="26"/>
      <c r="M234" s="26"/>
      <c r="N234" s="26"/>
      <c r="O234" s="26"/>
      <c r="P234" s="26"/>
      <c r="Q234" s="27"/>
      <c r="R234" s="26"/>
      <c r="S234" s="26"/>
      <c r="T234" s="26"/>
      <c r="U234" s="26"/>
      <c r="V234" s="26"/>
      <c r="W234" s="25"/>
      <c r="X234" s="25"/>
      <c r="Y234" s="25"/>
      <c r="Z234" s="25"/>
      <c r="AA234" s="25"/>
      <c r="AB234" s="25"/>
      <c r="AC234" s="25"/>
      <c r="AD234" s="25"/>
      <c r="AE234" s="25"/>
    </row>
    <row r="235">
      <c r="A235" s="76"/>
      <c r="B235" s="76"/>
      <c r="C235" s="76"/>
      <c r="D235" s="76"/>
      <c r="E235" s="76"/>
      <c r="F235" s="12">
        <v>230.0</v>
      </c>
      <c r="G235" s="25"/>
      <c r="H235" s="25"/>
      <c r="I235" s="25"/>
      <c r="J235" s="23"/>
      <c r="K235" s="23"/>
      <c r="L235" s="26"/>
      <c r="M235" s="26"/>
      <c r="N235" s="26"/>
      <c r="O235" s="26"/>
      <c r="P235" s="26"/>
      <c r="Q235" s="27"/>
      <c r="R235" s="26"/>
      <c r="S235" s="26"/>
      <c r="T235" s="26"/>
      <c r="U235" s="26"/>
      <c r="V235" s="26"/>
      <c r="W235" s="25"/>
      <c r="X235" s="25"/>
      <c r="Y235" s="25"/>
      <c r="Z235" s="25"/>
      <c r="AA235" s="25"/>
      <c r="AB235" s="25"/>
      <c r="AC235" s="25"/>
      <c r="AD235" s="25"/>
      <c r="AE235" s="25"/>
    </row>
    <row r="236">
      <c r="A236" s="76"/>
      <c r="B236" s="76"/>
      <c r="C236" s="76"/>
      <c r="D236" s="76"/>
      <c r="E236" s="76"/>
      <c r="F236" s="12">
        <v>231.0</v>
      </c>
      <c r="G236" s="25"/>
      <c r="H236" s="25"/>
      <c r="I236" s="25"/>
      <c r="J236" s="23"/>
      <c r="K236" s="23"/>
      <c r="L236" s="26"/>
      <c r="M236" s="26"/>
      <c r="N236" s="26"/>
      <c r="O236" s="26"/>
      <c r="P236" s="26"/>
      <c r="Q236" s="27"/>
      <c r="R236" s="26"/>
      <c r="S236" s="26"/>
      <c r="T236" s="26"/>
      <c r="U236" s="26"/>
      <c r="V236" s="26"/>
      <c r="W236" s="25"/>
      <c r="X236" s="25"/>
      <c r="Y236" s="25"/>
      <c r="Z236" s="25"/>
      <c r="AA236" s="25"/>
      <c r="AB236" s="25"/>
      <c r="AC236" s="25"/>
      <c r="AD236" s="25"/>
      <c r="AE236" s="25"/>
    </row>
    <row r="237">
      <c r="A237" s="76"/>
      <c r="B237" s="76"/>
      <c r="C237" s="76"/>
      <c r="D237" s="76"/>
      <c r="E237" s="76"/>
      <c r="F237" s="12">
        <v>232.0</v>
      </c>
      <c r="G237" s="25"/>
      <c r="H237" s="25"/>
      <c r="I237" s="25"/>
      <c r="J237" s="23"/>
      <c r="K237" s="23"/>
      <c r="L237" s="26"/>
      <c r="M237" s="26"/>
      <c r="N237" s="26"/>
      <c r="O237" s="26"/>
      <c r="P237" s="26"/>
      <c r="Q237" s="27"/>
      <c r="R237" s="26"/>
      <c r="S237" s="26"/>
      <c r="T237" s="26"/>
      <c r="U237" s="26"/>
      <c r="V237" s="26"/>
      <c r="W237" s="25"/>
      <c r="X237" s="25"/>
      <c r="Y237" s="25"/>
      <c r="Z237" s="25"/>
      <c r="AA237" s="25"/>
      <c r="AB237" s="25"/>
      <c r="AC237" s="25"/>
      <c r="AD237" s="25"/>
      <c r="AE237" s="25"/>
    </row>
    <row r="238">
      <c r="A238" s="76"/>
      <c r="B238" s="76"/>
      <c r="C238" s="76"/>
      <c r="D238" s="76"/>
      <c r="E238" s="76"/>
      <c r="F238" s="12">
        <v>233.0</v>
      </c>
      <c r="G238" s="25"/>
      <c r="H238" s="25"/>
      <c r="I238" s="25"/>
      <c r="J238" s="23"/>
      <c r="K238" s="23"/>
      <c r="L238" s="26"/>
      <c r="M238" s="26"/>
      <c r="N238" s="26"/>
      <c r="O238" s="26"/>
      <c r="P238" s="26"/>
      <c r="Q238" s="27"/>
      <c r="R238" s="26"/>
      <c r="S238" s="26"/>
      <c r="T238" s="26"/>
      <c r="U238" s="26"/>
      <c r="V238" s="26"/>
      <c r="W238" s="25"/>
      <c r="X238" s="25"/>
      <c r="Y238" s="25"/>
      <c r="Z238" s="25"/>
      <c r="AA238" s="25"/>
      <c r="AB238" s="25"/>
      <c r="AC238" s="25"/>
      <c r="AD238" s="25"/>
      <c r="AE238" s="25"/>
    </row>
    <row r="239">
      <c r="A239" s="76"/>
      <c r="B239" s="76"/>
      <c r="C239" s="76"/>
      <c r="D239" s="76"/>
      <c r="E239" s="76"/>
      <c r="F239" s="12">
        <v>234.0</v>
      </c>
      <c r="G239" s="25"/>
      <c r="H239" s="25"/>
      <c r="I239" s="25"/>
      <c r="J239" s="23"/>
      <c r="K239" s="23"/>
      <c r="L239" s="26"/>
      <c r="M239" s="26"/>
      <c r="N239" s="26"/>
      <c r="O239" s="26"/>
      <c r="P239" s="26"/>
      <c r="Q239" s="27"/>
      <c r="R239" s="26"/>
      <c r="S239" s="26"/>
      <c r="T239" s="26"/>
      <c r="U239" s="26"/>
      <c r="V239" s="26"/>
      <c r="W239" s="25"/>
      <c r="X239" s="25"/>
      <c r="Y239" s="25"/>
      <c r="Z239" s="25"/>
      <c r="AA239" s="25"/>
      <c r="AB239" s="25"/>
      <c r="AC239" s="25"/>
      <c r="AD239" s="25"/>
      <c r="AE239" s="25"/>
    </row>
    <row r="240">
      <c r="A240" s="76"/>
      <c r="B240" s="76"/>
      <c r="C240" s="76"/>
      <c r="D240" s="76"/>
      <c r="E240" s="76"/>
      <c r="F240" s="12">
        <v>235.0</v>
      </c>
      <c r="G240" s="25"/>
      <c r="H240" s="25"/>
      <c r="I240" s="25"/>
      <c r="J240" s="23"/>
      <c r="K240" s="23"/>
      <c r="L240" s="26"/>
      <c r="M240" s="26"/>
      <c r="N240" s="26"/>
      <c r="O240" s="26"/>
      <c r="P240" s="26"/>
      <c r="Q240" s="27"/>
      <c r="R240" s="26"/>
      <c r="S240" s="26"/>
      <c r="T240" s="26"/>
      <c r="U240" s="26"/>
      <c r="V240" s="26"/>
      <c r="W240" s="25"/>
      <c r="X240" s="25"/>
      <c r="Y240" s="25"/>
      <c r="Z240" s="25"/>
      <c r="AA240" s="25"/>
      <c r="AB240" s="25"/>
      <c r="AC240" s="25"/>
      <c r="AD240" s="25"/>
      <c r="AE240" s="25"/>
    </row>
    <row r="241">
      <c r="A241" s="76"/>
      <c r="B241" s="76"/>
      <c r="C241" s="76"/>
      <c r="D241" s="76"/>
      <c r="E241" s="76"/>
      <c r="F241" s="12">
        <v>236.0</v>
      </c>
      <c r="G241" s="25"/>
      <c r="H241" s="25"/>
      <c r="I241" s="25"/>
      <c r="J241" s="23"/>
      <c r="K241" s="23"/>
      <c r="L241" s="26"/>
      <c r="M241" s="26"/>
      <c r="N241" s="26"/>
      <c r="O241" s="26"/>
      <c r="P241" s="26"/>
      <c r="Q241" s="27"/>
      <c r="R241" s="26"/>
      <c r="S241" s="26"/>
      <c r="T241" s="26"/>
      <c r="U241" s="26"/>
      <c r="V241" s="26"/>
      <c r="W241" s="25"/>
      <c r="X241" s="25"/>
      <c r="Y241" s="25"/>
      <c r="Z241" s="25"/>
      <c r="AA241" s="25"/>
      <c r="AB241" s="25"/>
      <c r="AC241" s="25"/>
      <c r="AD241" s="25"/>
      <c r="AE241" s="25"/>
    </row>
    <row r="242">
      <c r="A242" s="76"/>
      <c r="B242" s="76"/>
      <c r="C242" s="76"/>
      <c r="D242" s="76"/>
      <c r="E242" s="76"/>
      <c r="F242" s="12">
        <v>237.0</v>
      </c>
      <c r="G242" s="25"/>
      <c r="H242" s="25"/>
      <c r="I242" s="25"/>
      <c r="J242" s="23"/>
      <c r="K242" s="23"/>
      <c r="L242" s="26"/>
      <c r="M242" s="26"/>
      <c r="N242" s="26"/>
      <c r="O242" s="26"/>
      <c r="P242" s="26"/>
      <c r="Q242" s="27"/>
      <c r="R242" s="26"/>
      <c r="S242" s="26"/>
      <c r="T242" s="26"/>
      <c r="U242" s="26"/>
      <c r="V242" s="26"/>
      <c r="W242" s="25"/>
      <c r="X242" s="25"/>
      <c r="Y242" s="25"/>
      <c r="Z242" s="25"/>
      <c r="AA242" s="25"/>
      <c r="AB242" s="25"/>
      <c r="AC242" s="25"/>
      <c r="AD242" s="25"/>
      <c r="AE242" s="25"/>
    </row>
    <row r="243">
      <c r="A243" s="76"/>
      <c r="B243" s="76"/>
      <c r="C243" s="76"/>
      <c r="D243" s="76"/>
      <c r="E243" s="76"/>
      <c r="F243" s="12">
        <v>238.0</v>
      </c>
      <c r="G243" s="25"/>
      <c r="H243" s="25"/>
      <c r="I243" s="25"/>
      <c r="J243" s="23"/>
      <c r="K243" s="23"/>
      <c r="L243" s="26"/>
      <c r="M243" s="26"/>
      <c r="N243" s="26"/>
      <c r="O243" s="26"/>
      <c r="P243" s="26"/>
      <c r="Q243" s="27"/>
      <c r="R243" s="26"/>
      <c r="S243" s="26"/>
      <c r="T243" s="26"/>
      <c r="U243" s="26"/>
      <c r="V243" s="26"/>
      <c r="W243" s="25"/>
      <c r="X243" s="25"/>
      <c r="Y243" s="25"/>
      <c r="Z243" s="25"/>
      <c r="AA243" s="25"/>
      <c r="AB243" s="25"/>
      <c r="AC243" s="25"/>
      <c r="AD243" s="25"/>
      <c r="AE243" s="25"/>
    </row>
    <row r="244">
      <c r="A244" s="76"/>
      <c r="B244" s="76"/>
      <c r="C244" s="76"/>
      <c r="D244" s="76"/>
      <c r="E244" s="76"/>
      <c r="F244" s="12">
        <v>239.0</v>
      </c>
      <c r="G244" s="25"/>
      <c r="H244" s="25"/>
      <c r="I244" s="25"/>
      <c r="J244" s="23"/>
      <c r="K244" s="23"/>
      <c r="L244" s="26"/>
      <c r="M244" s="26"/>
      <c r="N244" s="26"/>
      <c r="O244" s="26"/>
      <c r="P244" s="26"/>
      <c r="Q244" s="27"/>
      <c r="R244" s="26"/>
      <c r="S244" s="26"/>
      <c r="T244" s="26"/>
      <c r="U244" s="26"/>
      <c r="V244" s="26"/>
      <c r="W244" s="25"/>
      <c r="X244" s="25"/>
      <c r="Y244" s="25"/>
      <c r="Z244" s="25"/>
      <c r="AA244" s="25"/>
      <c r="AB244" s="25"/>
      <c r="AC244" s="25"/>
      <c r="AD244" s="25"/>
      <c r="AE244" s="25"/>
    </row>
    <row r="245">
      <c r="A245" s="76"/>
      <c r="B245" s="76"/>
      <c r="C245" s="76"/>
      <c r="D245" s="76"/>
      <c r="E245" s="76"/>
      <c r="F245" s="12">
        <v>240.0</v>
      </c>
      <c r="G245" s="25"/>
      <c r="H245" s="25"/>
      <c r="I245" s="25"/>
      <c r="J245" s="23"/>
      <c r="K245" s="23"/>
      <c r="L245" s="26"/>
      <c r="M245" s="26"/>
      <c r="N245" s="26"/>
      <c r="O245" s="26"/>
      <c r="P245" s="26"/>
      <c r="Q245" s="27"/>
      <c r="R245" s="26"/>
      <c r="S245" s="26"/>
      <c r="T245" s="26"/>
      <c r="U245" s="26"/>
      <c r="V245" s="26"/>
      <c r="W245" s="25"/>
      <c r="X245" s="25"/>
      <c r="Y245" s="25"/>
      <c r="Z245" s="25"/>
      <c r="AA245" s="25"/>
      <c r="AB245" s="25"/>
      <c r="AC245" s="25"/>
      <c r="AD245" s="25"/>
      <c r="AE245" s="25"/>
    </row>
    <row r="246">
      <c r="A246" s="76"/>
      <c r="B246" s="76"/>
      <c r="C246" s="76"/>
      <c r="D246" s="76"/>
      <c r="E246" s="76"/>
      <c r="F246" s="12">
        <v>241.0</v>
      </c>
      <c r="G246" s="25"/>
      <c r="H246" s="25"/>
      <c r="I246" s="25"/>
      <c r="J246" s="23"/>
      <c r="K246" s="23"/>
      <c r="L246" s="26"/>
      <c r="M246" s="26"/>
      <c r="N246" s="26"/>
      <c r="O246" s="26"/>
      <c r="P246" s="26"/>
      <c r="Q246" s="27"/>
      <c r="R246" s="26"/>
      <c r="S246" s="26"/>
      <c r="T246" s="26"/>
      <c r="U246" s="26"/>
      <c r="V246" s="26"/>
      <c r="W246" s="25"/>
      <c r="X246" s="25"/>
      <c r="Y246" s="25"/>
      <c r="Z246" s="25"/>
      <c r="AA246" s="25"/>
      <c r="AB246" s="25"/>
      <c r="AC246" s="25"/>
      <c r="AD246" s="25"/>
      <c r="AE246" s="25"/>
    </row>
    <row r="247">
      <c r="A247" s="76"/>
      <c r="B247" s="76"/>
      <c r="C247" s="76"/>
      <c r="D247" s="76"/>
      <c r="E247" s="76"/>
      <c r="F247" s="12">
        <v>242.0</v>
      </c>
      <c r="G247" s="25"/>
      <c r="H247" s="25"/>
      <c r="I247" s="25"/>
      <c r="J247" s="23"/>
      <c r="K247" s="23"/>
      <c r="L247" s="26"/>
      <c r="M247" s="26"/>
      <c r="N247" s="26"/>
      <c r="O247" s="26"/>
      <c r="P247" s="26"/>
      <c r="Q247" s="27"/>
      <c r="R247" s="26"/>
      <c r="S247" s="26"/>
      <c r="T247" s="26"/>
      <c r="U247" s="26"/>
      <c r="V247" s="26"/>
      <c r="W247" s="25"/>
      <c r="X247" s="25"/>
      <c r="Y247" s="25"/>
      <c r="Z247" s="25"/>
      <c r="AA247" s="25"/>
      <c r="AB247" s="25"/>
      <c r="AC247" s="25"/>
      <c r="AD247" s="25"/>
      <c r="AE247" s="25"/>
    </row>
    <row r="248">
      <c r="A248" s="76"/>
      <c r="B248" s="76"/>
      <c r="C248" s="76"/>
      <c r="D248" s="76"/>
      <c r="E248" s="76"/>
      <c r="F248" s="12">
        <v>243.0</v>
      </c>
      <c r="G248" s="25"/>
      <c r="H248" s="25"/>
      <c r="I248" s="25"/>
      <c r="J248" s="23"/>
      <c r="K248" s="23"/>
      <c r="L248" s="26"/>
      <c r="M248" s="26"/>
      <c r="N248" s="26"/>
      <c r="O248" s="26"/>
      <c r="P248" s="26"/>
      <c r="Q248" s="27"/>
      <c r="R248" s="26"/>
      <c r="S248" s="26"/>
      <c r="T248" s="26"/>
      <c r="U248" s="26"/>
      <c r="V248" s="26"/>
      <c r="W248" s="25"/>
      <c r="X248" s="25"/>
      <c r="Y248" s="25"/>
      <c r="Z248" s="25"/>
      <c r="AA248" s="25"/>
      <c r="AB248" s="25"/>
      <c r="AC248" s="25"/>
      <c r="AD248" s="25"/>
      <c r="AE248" s="25"/>
    </row>
    <row r="249">
      <c r="A249" s="76"/>
      <c r="B249" s="76"/>
      <c r="C249" s="76"/>
      <c r="D249" s="76"/>
      <c r="E249" s="76"/>
      <c r="F249" s="12">
        <v>244.0</v>
      </c>
      <c r="G249" s="25"/>
      <c r="H249" s="25"/>
      <c r="I249" s="25"/>
      <c r="J249" s="23"/>
      <c r="K249" s="23"/>
      <c r="L249" s="26"/>
      <c r="M249" s="26"/>
      <c r="N249" s="26"/>
      <c r="O249" s="26"/>
      <c r="P249" s="26"/>
      <c r="Q249" s="27"/>
      <c r="R249" s="26"/>
      <c r="S249" s="26"/>
      <c r="T249" s="26"/>
      <c r="U249" s="26"/>
      <c r="V249" s="26"/>
      <c r="W249" s="25"/>
      <c r="X249" s="25"/>
      <c r="Y249" s="25"/>
      <c r="Z249" s="25"/>
      <c r="AA249" s="25"/>
      <c r="AB249" s="25"/>
      <c r="AC249" s="25"/>
      <c r="AD249" s="25"/>
      <c r="AE249" s="25"/>
    </row>
    <row r="250">
      <c r="A250" s="76"/>
      <c r="B250" s="76"/>
      <c r="C250" s="76"/>
      <c r="D250" s="76"/>
      <c r="E250" s="76"/>
      <c r="F250" s="12">
        <v>245.0</v>
      </c>
      <c r="G250" s="25"/>
      <c r="H250" s="25"/>
      <c r="I250" s="25"/>
      <c r="J250" s="23"/>
      <c r="K250" s="23"/>
      <c r="L250" s="26"/>
      <c r="M250" s="26"/>
      <c r="N250" s="26"/>
      <c r="O250" s="26"/>
      <c r="P250" s="26"/>
      <c r="Q250" s="27"/>
      <c r="R250" s="26"/>
      <c r="S250" s="26"/>
      <c r="T250" s="26"/>
      <c r="U250" s="26"/>
      <c r="V250" s="26"/>
      <c r="W250" s="25"/>
      <c r="X250" s="25"/>
      <c r="Y250" s="25"/>
      <c r="Z250" s="25"/>
      <c r="AA250" s="25"/>
      <c r="AB250" s="25"/>
      <c r="AC250" s="25"/>
      <c r="AD250" s="25"/>
      <c r="AE250" s="25"/>
    </row>
    <row r="251">
      <c r="A251" s="76"/>
      <c r="B251" s="76"/>
      <c r="C251" s="76"/>
      <c r="D251" s="76"/>
      <c r="E251" s="76"/>
      <c r="F251" s="12">
        <v>246.0</v>
      </c>
      <c r="G251" s="25"/>
      <c r="H251" s="25"/>
      <c r="I251" s="25"/>
      <c r="J251" s="23"/>
      <c r="K251" s="23"/>
      <c r="L251" s="26"/>
      <c r="M251" s="26"/>
      <c r="N251" s="26"/>
      <c r="O251" s="26"/>
      <c r="P251" s="26"/>
      <c r="Q251" s="27"/>
      <c r="R251" s="26"/>
      <c r="S251" s="26"/>
      <c r="T251" s="26"/>
      <c r="U251" s="26"/>
      <c r="V251" s="26"/>
      <c r="W251" s="25"/>
      <c r="X251" s="25"/>
      <c r="Y251" s="25"/>
      <c r="Z251" s="25"/>
      <c r="AA251" s="25"/>
      <c r="AB251" s="25"/>
      <c r="AC251" s="25"/>
      <c r="AD251" s="25"/>
      <c r="AE251" s="25"/>
    </row>
    <row r="252">
      <c r="A252" s="76"/>
      <c r="B252" s="76"/>
      <c r="C252" s="76"/>
      <c r="D252" s="76"/>
      <c r="E252" s="76"/>
      <c r="F252" s="12">
        <v>247.0</v>
      </c>
      <c r="G252" s="25"/>
      <c r="H252" s="25"/>
      <c r="I252" s="25"/>
      <c r="J252" s="23"/>
      <c r="K252" s="23"/>
      <c r="L252" s="26"/>
      <c r="M252" s="26"/>
      <c r="N252" s="26"/>
      <c r="O252" s="26"/>
      <c r="P252" s="26"/>
      <c r="Q252" s="27"/>
      <c r="R252" s="26"/>
      <c r="S252" s="26"/>
      <c r="T252" s="26"/>
      <c r="U252" s="26"/>
      <c r="V252" s="26"/>
      <c r="W252" s="25"/>
      <c r="X252" s="25"/>
      <c r="Y252" s="25"/>
      <c r="Z252" s="25"/>
      <c r="AA252" s="25"/>
      <c r="AB252" s="25"/>
      <c r="AC252" s="25"/>
      <c r="AD252" s="25"/>
      <c r="AE252" s="25"/>
    </row>
    <row r="253">
      <c r="A253" s="76"/>
      <c r="B253" s="76"/>
      <c r="C253" s="76"/>
      <c r="D253" s="76"/>
      <c r="E253" s="76"/>
      <c r="F253" s="12">
        <v>248.0</v>
      </c>
      <c r="G253" s="25"/>
      <c r="H253" s="25"/>
      <c r="I253" s="25"/>
      <c r="J253" s="23"/>
      <c r="K253" s="23"/>
      <c r="L253" s="26"/>
      <c r="M253" s="26"/>
      <c r="N253" s="26"/>
      <c r="O253" s="26"/>
      <c r="P253" s="26"/>
      <c r="Q253" s="27"/>
      <c r="R253" s="26"/>
      <c r="S253" s="26"/>
      <c r="T253" s="26"/>
      <c r="U253" s="26"/>
      <c r="V253" s="26"/>
      <c r="W253" s="25"/>
      <c r="X253" s="25"/>
      <c r="Y253" s="25"/>
      <c r="Z253" s="25"/>
      <c r="AA253" s="25"/>
      <c r="AB253" s="25"/>
      <c r="AC253" s="25"/>
      <c r="AD253" s="25"/>
      <c r="AE253" s="25"/>
    </row>
    <row r="254">
      <c r="A254" s="76"/>
      <c r="B254" s="76"/>
      <c r="C254" s="76"/>
      <c r="D254" s="76"/>
      <c r="E254" s="76"/>
      <c r="F254" s="12">
        <v>249.0</v>
      </c>
      <c r="G254" s="25"/>
      <c r="H254" s="25"/>
      <c r="I254" s="25"/>
      <c r="J254" s="23"/>
      <c r="K254" s="23"/>
      <c r="L254" s="26"/>
      <c r="M254" s="26"/>
      <c r="N254" s="26"/>
      <c r="O254" s="26"/>
      <c r="P254" s="26"/>
      <c r="Q254" s="27"/>
      <c r="R254" s="26"/>
      <c r="S254" s="26"/>
      <c r="T254" s="26"/>
      <c r="U254" s="26"/>
      <c r="V254" s="26"/>
      <c r="W254" s="25"/>
      <c r="X254" s="25"/>
      <c r="Y254" s="25"/>
      <c r="Z254" s="25"/>
      <c r="AA254" s="25"/>
      <c r="AB254" s="25"/>
      <c r="AC254" s="25"/>
      <c r="AD254" s="25"/>
      <c r="AE254" s="25"/>
    </row>
    <row r="255">
      <c r="A255" s="76"/>
      <c r="B255" s="76"/>
      <c r="C255" s="76"/>
      <c r="D255" s="76"/>
      <c r="E255" s="76"/>
      <c r="F255" s="12">
        <v>250.0</v>
      </c>
      <c r="G255" s="25"/>
      <c r="H255" s="25"/>
      <c r="I255" s="25"/>
      <c r="J255" s="23"/>
      <c r="K255" s="23"/>
      <c r="L255" s="26"/>
      <c r="M255" s="26"/>
      <c r="N255" s="26"/>
      <c r="O255" s="26"/>
      <c r="P255" s="26"/>
      <c r="Q255" s="27"/>
      <c r="R255" s="26"/>
      <c r="S255" s="26"/>
      <c r="T255" s="26"/>
      <c r="U255" s="26"/>
      <c r="V255" s="26"/>
      <c r="W255" s="25"/>
      <c r="X255" s="25"/>
      <c r="Y255" s="25"/>
      <c r="Z255" s="25"/>
      <c r="AA255" s="25"/>
      <c r="AB255" s="25"/>
      <c r="AC255" s="25"/>
      <c r="AD255" s="25"/>
      <c r="AE255" s="25"/>
    </row>
    <row r="256">
      <c r="A256" s="76"/>
      <c r="B256" s="76"/>
      <c r="C256" s="76"/>
      <c r="D256" s="76"/>
      <c r="E256" s="76"/>
      <c r="F256" s="12">
        <v>251.0</v>
      </c>
      <c r="G256" s="25"/>
      <c r="H256" s="25"/>
      <c r="I256" s="25"/>
      <c r="J256" s="23"/>
      <c r="K256" s="23"/>
      <c r="L256" s="26"/>
      <c r="M256" s="26"/>
      <c r="N256" s="26"/>
      <c r="O256" s="26"/>
      <c r="P256" s="26"/>
      <c r="Q256" s="27"/>
      <c r="R256" s="26"/>
      <c r="S256" s="26"/>
      <c r="T256" s="26"/>
      <c r="U256" s="26"/>
      <c r="V256" s="26"/>
      <c r="W256" s="25"/>
      <c r="X256" s="25"/>
      <c r="Y256" s="25"/>
      <c r="Z256" s="25"/>
      <c r="AA256" s="25"/>
      <c r="AB256" s="25"/>
      <c r="AC256" s="25"/>
      <c r="AD256" s="25"/>
      <c r="AE256" s="25"/>
    </row>
    <row r="257">
      <c r="A257" s="76"/>
      <c r="B257" s="76"/>
      <c r="C257" s="76"/>
      <c r="D257" s="76"/>
      <c r="E257" s="76"/>
      <c r="F257" s="12">
        <v>252.0</v>
      </c>
      <c r="G257" s="25"/>
      <c r="H257" s="25"/>
      <c r="I257" s="25"/>
      <c r="J257" s="23"/>
      <c r="K257" s="23"/>
      <c r="L257" s="26"/>
      <c r="M257" s="26"/>
      <c r="N257" s="26"/>
      <c r="O257" s="26"/>
      <c r="P257" s="26"/>
      <c r="Q257" s="27"/>
      <c r="R257" s="26"/>
      <c r="S257" s="26"/>
      <c r="T257" s="26"/>
      <c r="U257" s="26"/>
      <c r="V257" s="26"/>
      <c r="W257" s="25"/>
      <c r="X257" s="25"/>
      <c r="Y257" s="25"/>
      <c r="Z257" s="25"/>
      <c r="AA257" s="25"/>
      <c r="AB257" s="25"/>
      <c r="AC257" s="25"/>
      <c r="AD257" s="25"/>
      <c r="AE257" s="25"/>
    </row>
    <row r="258">
      <c r="A258" s="76"/>
      <c r="B258" s="76"/>
      <c r="C258" s="76"/>
      <c r="D258" s="76"/>
      <c r="E258" s="76"/>
      <c r="F258" s="12">
        <v>253.0</v>
      </c>
      <c r="G258" s="25"/>
      <c r="H258" s="25"/>
      <c r="I258" s="25"/>
      <c r="J258" s="23"/>
      <c r="K258" s="23"/>
      <c r="L258" s="26"/>
      <c r="M258" s="26"/>
      <c r="N258" s="26"/>
      <c r="O258" s="26"/>
      <c r="P258" s="26"/>
      <c r="Q258" s="27"/>
      <c r="R258" s="26"/>
      <c r="S258" s="26"/>
      <c r="T258" s="26"/>
      <c r="U258" s="26"/>
      <c r="V258" s="26"/>
      <c r="W258" s="25"/>
      <c r="X258" s="25"/>
      <c r="Y258" s="25"/>
      <c r="Z258" s="25"/>
      <c r="AA258" s="25"/>
      <c r="AB258" s="25"/>
      <c r="AC258" s="25"/>
      <c r="AD258" s="25"/>
      <c r="AE258" s="25"/>
    </row>
    <row r="259">
      <c r="A259" s="76"/>
      <c r="B259" s="76"/>
      <c r="C259" s="76"/>
      <c r="D259" s="76"/>
      <c r="E259" s="76"/>
      <c r="F259" s="12">
        <v>254.0</v>
      </c>
      <c r="G259" s="25"/>
      <c r="H259" s="25"/>
      <c r="I259" s="25"/>
      <c r="J259" s="23"/>
      <c r="K259" s="23"/>
      <c r="L259" s="26"/>
      <c r="M259" s="26"/>
      <c r="N259" s="26"/>
      <c r="O259" s="26"/>
      <c r="P259" s="26"/>
      <c r="Q259" s="27"/>
      <c r="R259" s="26"/>
      <c r="S259" s="26"/>
      <c r="T259" s="26"/>
      <c r="U259" s="26"/>
      <c r="V259" s="26"/>
      <c r="W259" s="25"/>
      <c r="X259" s="25"/>
      <c r="Y259" s="25"/>
      <c r="Z259" s="25"/>
      <c r="AA259" s="25"/>
      <c r="AB259" s="25"/>
      <c r="AC259" s="25"/>
      <c r="AD259" s="25"/>
      <c r="AE259" s="25"/>
    </row>
    <row r="260">
      <c r="A260" s="76"/>
      <c r="B260" s="76"/>
      <c r="C260" s="76"/>
      <c r="D260" s="76"/>
      <c r="E260" s="76"/>
      <c r="F260" s="12">
        <v>255.0</v>
      </c>
      <c r="G260" s="25"/>
      <c r="H260" s="25"/>
      <c r="I260" s="25"/>
      <c r="J260" s="23"/>
      <c r="K260" s="23"/>
      <c r="L260" s="26"/>
      <c r="M260" s="26"/>
      <c r="N260" s="26"/>
      <c r="O260" s="26"/>
      <c r="P260" s="26"/>
      <c r="Q260" s="27"/>
      <c r="R260" s="26"/>
      <c r="S260" s="26"/>
      <c r="T260" s="26"/>
      <c r="U260" s="26"/>
      <c r="V260" s="26"/>
      <c r="W260" s="25"/>
      <c r="X260" s="25"/>
      <c r="Y260" s="25"/>
      <c r="Z260" s="25"/>
      <c r="AA260" s="25"/>
      <c r="AB260" s="25"/>
      <c r="AC260" s="25"/>
      <c r="AD260" s="25"/>
      <c r="AE260" s="25"/>
    </row>
    <row r="261">
      <c r="A261" s="76"/>
      <c r="B261" s="76"/>
      <c r="C261" s="76"/>
      <c r="D261" s="76"/>
      <c r="E261" s="76"/>
      <c r="F261" s="12">
        <v>256.0</v>
      </c>
      <c r="G261" s="25"/>
      <c r="H261" s="25"/>
      <c r="I261" s="25"/>
      <c r="J261" s="23"/>
      <c r="K261" s="23"/>
      <c r="L261" s="26"/>
      <c r="M261" s="26"/>
      <c r="N261" s="26"/>
      <c r="O261" s="26"/>
      <c r="P261" s="26"/>
      <c r="Q261" s="27"/>
      <c r="R261" s="26"/>
      <c r="S261" s="26"/>
      <c r="T261" s="26"/>
      <c r="U261" s="26"/>
      <c r="V261" s="26"/>
      <c r="W261" s="25"/>
      <c r="X261" s="25"/>
      <c r="Y261" s="25"/>
      <c r="Z261" s="25"/>
      <c r="AA261" s="25"/>
      <c r="AB261" s="25"/>
      <c r="AC261" s="25"/>
      <c r="AD261" s="25"/>
      <c r="AE261" s="25"/>
    </row>
    <row r="262">
      <c r="A262" s="76"/>
      <c r="B262" s="76"/>
      <c r="C262" s="76"/>
      <c r="D262" s="76"/>
      <c r="E262" s="76"/>
      <c r="F262" s="12">
        <v>257.0</v>
      </c>
      <c r="G262" s="25"/>
      <c r="H262" s="25"/>
      <c r="I262" s="25"/>
      <c r="J262" s="23"/>
      <c r="K262" s="23"/>
      <c r="L262" s="26"/>
      <c r="M262" s="26"/>
      <c r="N262" s="26"/>
      <c r="O262" s="26"/>
      <c r="P262" s="26"/>
      <c r="Q262" s="27"/>
      <c r="R262" s="26"/>
      <c r="S262" s="26"/>
      <c r="T262" s="26"/>
      <c r="U262" s="26"/>
      <c r="V262" s="26"/>
      <c r="W262" s="25"/>
      <c r="X262" s="25"/>
      <c r="Y262" s="25"/>
      <c r="Z262" s="25"/>
      <c r="AA262" s="25"/>
      <c r="AB262" s="25"/>
      <c r="AC262" s="25"/>
      <c r="AD262" s="25"/>
      <c r="AE262" s="25"/>
    </row>
    <row r="263">
      <c r="A263" s="76"/>
      <c r="B263" s="76"/>
      <c r="C263" s="76"/>
      <c r="D263" s="76"/>
      <c r="E263" s="76"/>
      <c r="F263" s="12">
        <v>258.0</v>
      </c>
      <c r="G263" s="25"/>
      <c r="H263" s="25"/>
      <c r="I263" s="25"/>
      <c r="J263" s="23"/>
      <c r="K263" s="23"/>
      <c r="L263" s="26"/>
      <c r="M263" s="26"/>
      <c r="N263" s="26"/>
      <c r="O263" s="26"/>
      <c r="P263" s="26"/>
      <c r="Q263" s="27"/>
      <c r="R263" s="26"/>
      <c r="S263" s="26"/>
      <c r="T263" s="26"/>
      <c r="U263" s="26"/>
      <c r="V263" s="26"/>
      <c r="W263" s="25"/>
      <c r="X263" s="25"/>
      <c r="Y263" s="25"/>
      <c r="Z263" s="25"/>
      <c r="AA263" s="25"/>
      <c r="AB263" s="25"/>
      <c r="AC263" s="25"/>
      <c r="AD263" s="25"/>
      <c r="AE263" s="25"/>
    </row>
    <row r="264">
      <c r="A264" s="76"/>
      <c r="B264" s="76"/>
      <c r="C264" s="76"/>
      <c r="D264" s="76"/>
      <c r="E264" s="76"/>
      <c r="F264" s="12">
        <v>259.0</v>
      </c>
      <c r="G264" s="25"/>
      <c r="H264" s="25"/>
      <c r="I264" s="25"/>
      <c r="J264" s="23"/>
      <c r="K264" s="23"/>
      <c r="L264" s="26"/>
      <c r="M264" s="26"/>
      <c r="N264" s="26"/>
      <c r="O264" s="26"/>
      <c r="P264" s="26"/>
      <c r="Q264" s="27"/>
      <c r="R264" s="26"/>
      <c r="S264" s="26"/>
      <c r="T264" s="26"/>
      <c r="U264" s="26"/>
      <c r="V264" s="26"/>
      <c r="W264" s="25"/>
      <c r="X264" s="25"/>
      <c r="Y264" s="25"/>
      <c r="Z264" s="25"/>
      <c r="AA264" s="25"/>
      <c r="AB264" s="25"/>
      <c r="AC264" s="25"/>
      <c r="AD264" s="25"/>
      <c r="AE264" s="25"/>
    </row>
    <row r="265">
      <c r="A265" s="76"/>
      <c r="B265" s="76"/>
      <c r="C265" s="76"/>
      <c r="D265" s="76"/>
      <c r="E265" s="76"/>
      <c r="F265" s="12">
        <v>260.0</v>
      </c>
      <c r="G265" s="25"/>
      <c r="H265" s="25"/>
      <c r="I265" s="25"/>
      <c r="J265" s="23"/>
      <c r="K265" s="23"/>
      <c r="L265" s="26"/>
      <c r="M265" s="26"/>
      <c r="N265" s="26"/>
      <c r="O265" s="26"/>
      <c r="P265" s="26"/>
      <c r="Q265" s="27"/>
      <c r="R265" s="26"/>
      <c r="S265" s="26"/>
      <c r="T265" s="26"/>
      <c r="U265" s="26"/>
      <c r="V265" s="26"/>
      <c r="W265" s="25"/>
      <c r="X265" s="25"/>
      <c r="Y265" s="25"/>
      <c r="Z265" s="25"/>
      <c r="AA265" s="25"/>
      <c r="AB265" s="25"/>
      <c r="AC265" s="25"/>
      <c r="AD265" s="25"/>
      <c r="AE265" s="25"/>
    </row>
    <row r="266">
      <c r="A266" s="76"/>
      <c r="B266" s="76"/>
      <c r="C266" s="76"/>
      <c r="D266" s="76"/>
      <c r="E266" s="76"/>
      <c r="F266" s="12">
        <v>261.0</v>
      </c>
      <c r="G266" s="25"/>
      <c r="H266" s="25"/>
      <c r="I266" s="25"/>
      <c r="J266" s="23"/>
      <c r="K266" s="23"/>
      <c r="L266" s="26"/>
      <c r="M266" s="26"/>
      <c r="N266" s="26"/>
      <c r="O266" s="26"/>
      <c r="P266" s="26"/>
      <c r="Q266" s="27"/>
      <c r="R266" s="26"/>
      <c r="S266" s="26"/>
      <c r="T266" s="26"/>
      <c r="U266" s="26"/>
      <c r="V266" s="26"/>
      <c r="W266" s="25"/>
      <c r="X266" s="25"/>
      <c r="Y266" s="25"/>
      <c r="Z266" s="25"/>
      <c r="AA266" s="25"/>
      <c r="AB266" s="25"/>
      <c r="AC266" s="25"/>
      <c r="AD266" s="25"/>
      <c r="AE266" s="25"/>
    </row>
    <row r="267">
      <c r="A267" s="76"/>
      <c r="B267" s="76"/>
      <c r="C267" s="76"/>
      <c r="D267" s="76"/>
      <c r="E267" s="76"/>
      <c r="F267" s="12">
        <v>262.0</v>
      </c>
      <c r="G267" s="25"/>
      <c r="H267" s="25"/>
      <c r="I267" s="25"/>
      <c r="J267" s="23"/>
      <c r="K267" s="23"/>
      <c r="L267" s="26"/>
      <c r="M267" s="26"/>
      <c r="N267" s="26"/>
      <c r="O267" s="26"/>
      <c r="P267" s="26"/>
      <c r="Q267" s="27"/>
      <c r="R267" s="26"/>
      <c r="S267" s="26"/>
      <c r="T267" s="26"/>
      <c r="U267" s="26"/>
      <c r="V267" s="26"/>
      <c r="W267" s="25"/>
      <c r="X267" s="25"/>
      <c r="Y267" s="25"/>
      <c r="Z267" s="25"/>
      <c r="AA267" s="25"/>
      <c r="AB267" s="25"/>
      <c r="AC267" s="25"/>
      <c r="AD267" s="25"/>
      <c r="AE267" s="25"/>
    </row>
    <row r="268">
      <c r="A268" s="76"/>
      <c r="B268" s="76"/>
      <c r="C268" s="76"/>
      <c r="D268" s="76"/>
      <c r="E268" s="76"/>
      <c r="F268" s="12">
        <v>263.0</v>
      </c>
      <c r="G268" s="25"/>
      <c r="H268" s="25"/>
      <c r="I268" s="25"/>
      <c r="J268" s="23"/>
      <c r="K268" s="23"/>
      <c r="L268" s="26"/>
      <c r="M268" s="26"/>
      <c r="N268" s="26"/>
      <c r="O268" s="26"/>
      <c r="P268" s="26"/>
      <c r="Q268" s="27"/>
      <c r="R268" s="26"/>
      <c r="S268" s="26"/>
      <c r="T268" s="26"/>
      <c r="U268" s="26"/>
      <c r="V268" s="26"/>
      <c r="W268" s="25"/>
      <c r="X268" s="25"/>
      <c r="Y268" s="25"/>
      <c r="Z268" s="25"/>
      <c r="AA268" s="25"/>
      <c r="AB268" s="25"/>
      <c r="AC268" s="25"/>
      <c r="AD268" s="25"/>
      <c r="AE268" s="25"/>
    </row>
    <row r="269">
      <c r="A269" s="76"/>
      <c r="B269" s="76"/>
      <c r="C269" s="76"/>
      <c r="D269" s="76"/>
      <c r="E269" s="76"/>
      <c r="F269" s="12">
        <v>264.0</v>
      </c>
      <c r="G269" s="25"/>
      <c r="H269" s="25"/>
      <c r="I269" s="25"/>
      <c r="J269" s="23"/>
      <c r="K269" s="23"/>
      <c r="L269" s="26"/>
      <c r="M269" s="26"/>
      <c r="N269" s="26"/>
      <c r="O269" s="26"/>
      <c r="P269" s="26"/>
      <c r="Q269" s="27"/>
      <c r="R269" s="26"/>
      <c r="S269" s="26"/>
      <c r="T269" s="26"/>
      <c r="U269" s="26"/>
      <c r="V269" s="26"/>
      <c r="W269" s="25"/>
      <c r="X269" s="25"/>
      <c r="Y269" s="25"/>
      <c r="Z269" s="25"/>
      <c r="AA269" s="25"/>
      <c r="AB269" s="25"/>
      <c r="AC269" s="25"/>
      <c r="AD269" s="25"/>
      <c r="AE269" s="25"/>
    </row>
    <row r="270">
      <c r="A270" s="76"/>
      <c r="B270" s="76"/>
      <c r="C270" s="76"/>
      <c r="D270" s="76"/>
      <c r="E270" s="76"/>
      <c r="F270" s="12">
        <v>265.0</v>
      </c>
      <c r="G270" s="25"/>
      <c r="H270" s="25"/>
      <c r="I270" s="25"/>
      <c r="J270" s="23"/>
      <c r="K270" s="23"/>
      <c r="L270" s="26"/>
      <c r="M270" s="26"/>
      <c r="N270" s="26"/>
      <c r="O270" s="26"/>
      <c r="P270" s="26"/>
      <c r="Q270" s="27"/>
      <c r="R270" s="26"/>
      <c r="S270" s="26"/>
      <c r="T270" s="26"/>
      <c r="U270" s="26"/>
      <c r="V270" s="26"/>
      <c r="W270" s="25"/>
      <c r="X270" s="25"/>
      <c r="Y270" s="25"/>
      <c r="Z270" s="25"/>
      <c r="AA270" s="25"/>
      <c r="AB270" s="25"/>
      <c r="AC270" s="25"/>
      <c r="AD270" s="25"/>
      <c r="AE270" s="25"/>
    </row>
    <row r="271">
      <c r="A271" s="76"/>
      <c r="B271" s="76"/>
      <c r="C271" s="76"/>
      <c r="D271" s="76"/>
      <c r="E271" s="76"/>
      <c r="F271" s="12">
        <v>266.0</v>
      </c>
      <c r="G271" s="25"/>
      <c r="H271" s="25"/>
      <c r="I271" s="25"/>
      <c r="J271" s="23"/>
      <c r="K271" s="23"/>
      <c r="L271" s="26"/>
      <c r="M271" s="26"/>
      <c r="N271" s="26"/>
      <c r="O271" s="26"/>
      <c r="P271" s="26"/>
      <c r="Q271" s="27"/>
      <c r="R271" s="26"/>
      <c r="S271" s="26"/>
      <c r="T271" s="26"/>
      <c r="U271" s="26"/>
      <c r="V271" s="26"/>
      <c r="W271" s="25"/>
      <c r="X271" s="25"/>
      <c r="Y271" s="25"/>
      <c r="Z271" s="25"/>
      <c r="AA271" s="25"/>
      <c r="AB271" s="25"/>
      <c r="AC271" s="25"/>
      <c r="AD271" s="25"/>
      <c r="AE271" s="25"/>
    </row>
    <row r="272">
      <c r="A272" s="76"/>
      <c r="B272" s="76"/>
      <c r="C272" s="76"/>
      <c r="D272" s="76"/>
      <c r="E272" s="76"/>
      <c r="F272" s="12">
        <v>267.0</v>
      </c>
      <c r="G272" s="25"/>
      <c r="H272" s="25"/>
      <c r="I272" s="25"/>
      <c r="J272" s="23"/>
      <c r="K272" s="23"/>
      <c r="L272" s="26"/>
      <c r="M272" s="26"/>
      <c r="N272" s="26"/>
      <c r="O272" s="26"/>
      <c r="P272" s="26"/>
      <c r="Q272" s="27"/>
      <c r="R272" s="26"/>
      <c r="S272" s="26"/>
      <c r="T272" s="26"/>
      <c r="U272" s="26"/>
      <c r="V272" s="26"/>
      <c r="W272" s="25"/>
      <c r="X272" s="25"/>
      <c r="Y272" s="25"/>
      <c r="Z272" s="25"/>
      <c r="AA272" s="25"/>
      <c r="AB272" s="25"/>
      <c r="AC272" s="25"/>
      <c r="AD272" s="25"/>
      <c r="AE272" s="25"/>
    </row>
    <row r="273">
      <c r="A273" s="76"/>
      <c r="B273" s="76"/>
      <c r="C273" s="76"/>
      <c r="D273" s="76"/>
      <c r="E273" s="76"/>
      <c r="F273" s="12">
        <v>268.0</v>
      </c>
      <c r="G273" s="25"/>
      <c r="H273" s="25"/>
      <c r="I273" s="25"/>
      <c r="J273" s="23"/>
      <c r="K273" s="23"/>
      <c r="L273" s="26"/>
      <c r="M273" s="26"/>
      <c r="N273" s="26"/>
      <c r="O273" s="26"/>
      <c r="P273" s="26"/>
      <c r="Q273" s="27"/>
      <c r="R273" s="26"/>
      <c r="S273" s="26"/>
      <c r="T273" s="26"/>
      <c r="U273" s="26"/>
      <c r="V273" s="26"/>
      <c r="W273" s="25"/>
      <c r="X273" s="25"/>
      <c r="Y273" s="25"/>
      <c r="Z273" s="25"/>
      <c r="AA273" s="25"/>
      <c r="AB273" s="25"/>
      <c r="AC273" s="25"/>
      <c r="AD273" s="25"/>
      <c r="AE273" s="25"/>
    </row>
    <row r="274">
      <c r="A274" s="76"/>
      <c r="B274" s="76"/>
      <c r="C274" s="76"/>
      <c r="D274" s="76"/>
      <c r="E274" s="76"/>
      <c r="F274" s="12">
        <v>269.0</v>
      </c>
      <c r="G274" s="25"/>
      <c r="H274" s="25"/>
      <c r="I274" s="25"/>
      <c r="J274" s="23"/>
      <c r="K274" s="23"/>
      <c r="L274" s="26"/>
      <c r="M274" s="26"/>
      <c r="N274" s="26"/>
      <c r="O274" s="26"/>
      <c r="P274" s="26"/>
      <c r="Q274" s="27"/>
      <c r="R274" s="26"/>
      <c r="S274" s="26"/>
      <c r="T274" s="26"/>
      <c r="U274" s="26"/>
      <c r="V274" s="26"/>
      <c r="W274" s="25"/>
      <c r="X274" s="25"/>
      <c r="Y274" s="25"/>
      <c r="Z274" s="25"/>
      <c r="AA274" s="25"/>
      <c r="AB274" s="25"/>
      <c r="AC274" s="25"/>
      <c r="AD274" s="25"/>
      <c r="AE274" s="25"/>
    </row>
    <row r="275">
      <c r="A275" s="76"/>
      <c r="B275" s="76"/>
      <c r="C275" s="76"/>
      <c r="D275" s="76"/>
      <c r="E275" s="76"/>
      <c r="F275" s="12">
        <v>270.0</v>
      </c>
      <c r="G275" s="25"/>
      <c r="H275" s="25"/>
      <c r="I275" s="25"/>
      <c r="J275" s="23"/>
      <c r="K275" s="23"/>
      <c r="L275" s="26"/>
      <c r="M275" s="26"/>
      <c r="N275" s="26"/>
      <c r="O275" s="26"/>
      <c r="P275" s="26"/>
      <c r="Q275" s="27"/>
      <c r="R275" s="26"/>
      <c r="S275" s="26"/>
      <c r="T275" s="26"/>
      <c r="U275" s="26"/>
      <c r="V275" s="26"/>
      <c r="W275" s="25"/>
      <c r="X275" s="25"/>
      <c r="Y275" s="25"/>
      <c r="Z275" s="25"/>
      <c r="AA275" s="25"/>
      <c r="AB275" s="25"/>
      <c r="AC275" s="25"/>
      <c r="AD275" s="25"/>
      <c r="AE275" s="25"/>
    </row>
    <row r="276">
      <c r="A276" s="76"/>
      <c r="B276" s="76"/>
      <c r="C276" s="76"/>
      <c r="D276" s="76"/>
      <c r="E276" s="76"/>
      <c r="F276" s="12">
        <v>271.0</v>
      </c>
      <c r="G276" s="25"/>
      <c r="H276" s="25"/>
      <c r="I276" s="25"/>
      <c r="J276" s="23"/>
      <c r="K276" s="23"/>
      <c r="L276" s="26"/>
      <c r="M276" s="26"/>
      <c r="N276" s="26"/>
      <c r="O276" s="26"/>
      <c r="P276" s="26"/>
      <c r="Q276" s="27"/>
      <c r="R276" s="26"/>
      <c r="S276" s="26"/>
      <c r="T276" s="26"/>
      <c r="U276" s="26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</row>
    <row r="277">
      <c r="A277" s="76"/>
      <c r="B277" s="76"/>
      <c r="C277" s="76"/>
      <c r="D277" s="76"/>
      <c r="E277" s="76"/>
      <c r="F277" s="12">
        <v>272.0</v>
      </c>
      <c r="G277" s="25"/>
      <c r="H277" s="25"/>
      <c r="I277" s="25"/>
      <c r="J277" s="23"/>
      <c r="K277" s="23"/>
      <c r="L277" s="26"/>
      <c r="M277" s="26"/>
      <c r="N277" s="26"/>
      <c r="O277" s="26"/>
      <c r="P277" s="26"/>
      <c r="Q277" s="27"/>
      <c r="R277" s="26"/>
      <c r="S277" s="26"/>
      <c r="T277" s="26"/>
      <c r="U277" s="26"/>
      <c r="V277" s="26"/>
      <c r="W277" s="25"/>
      <c r="X277" s="25"/>
      <c r="Y277" s="25"/>
      <c r="Z277" s="25"/>
      <c r="AA277" s="25"/>
      <c r="AB277" s="25"/>
      <c r="AC277" s="25"/>
      <c r="AD277" s="25"/>
      <c r="AE277" s="25"/>
    </row>
    <row r="278">
      <c r="A278" s="76"/>
      <c r="B278" s="76"/>
      <c r="C278" s="76"/>
      <c r="D278" s="76"/>
      <c r="E278" s="76"/>
      <c r="F278" s="12">
        <v>273.0</v>
      </c>
      <c r="G278" s="25"/>
      <c r="H278" s="25"/>
      <c r="I278" s="25"/>
      <c r="J278" s="23"/>
      <c r="K278" s="23"/>
      <c r="L278" s="26"/>
      <c r="M278" s="26"/>
      <c r="N278" s="26"/>
      <c r="O278" s="26"/>
      <c r="P278" s="26"/>
      <c r="Q278" s="27"/>
      <c r="R278" s="26"/>
      <c r="S278" s="26"/>
      <c r="T278" s="26"/>
      <c r="U278" s="26"/>
      <c r="V278" s="26"/>
      <c r="W278" s="25"/>
      <c r="X278" s="25"/>
      <c r="Y278" s="25"/>
      <c r="Z278" s="25"/>
      <c r="AA278" s="25"/>
      <c r="AB278" s="25"/>
      <c r="AC278" s="25"/>
      <c r="AD278" s="25"/>
      <c r="AE278" s="25"/>
    </row>
    <row r="279">
      <c r="A279" s="76"/>
      <c r="B279" s="76"/>
      <c r="C279" s="76"/>
      <c r="D279" s="76"/>
      <c r="E279" s="76"/>
      <c r="F279" s="12">
        <v>274.0</v>
      </c>
      <c r="G279" s="25"/>
      <c r="H279" s="25"/>
      <c r="I279" s="25"/>
      <c r="J279" s="23"/>
      <c r="K279" s="23"/>
      <c r="L279" s="26"/>
      <c r="M279" s="26"/>
      <c r="N279" s="26"/>
      <c r="O279" s="26"/>
      <c r="P279" s="26"/>
      <c r="Q279" s="27"/>
      <c r="R279" s="26"/>
      <c r="S279" s="26"/>
      <c r="T279" s="26"/>
      <c r="U279" s="26"/>
      <c r="V279" s="26"/>
      <c r="W279" s="25"/>
      <c r="X279" s="25"/>
      <c r="Y279" s="25"/>
      <c r="Z279" s="25"/>
      <c r="AA279" s="25"/>
      <c r="AB279" s="25"/>
      <c r="AC279" s="25"/>
      <c r="AD279" s="25"/>
      <c r="AE279" s="25"/>
    </row>
    <row r="280">
      <c r="A280" s="76"/>
      <c r="B280" s="76"/>
      <c r="C280" s="76"/>
      <c r="D280" s="76"/>
      <c r="E280" s="76"/>
      <c r="F280" s="12">
        <v>275.0</v>
      </c>
      <c r="G280" s="25"/>
      <c r="H280" s="25"/>
      <c r="I280" s="25"/>
      <c r="J280" s="23"/>
      <c r="K280" s="23"/>
      <c r="L280" s="26"/>
      <c r="M280" s="26"/>
      <c r="N280" s="26"/>
      <c r="O280" s="26"/>
      <c r="P280" s="26"/>
      <c r="Q280" s="27"/>
      <c r="R280" s="26"/>
      <c r="S280" s="26"/>
      <c r="T280" s="26"/>
      <c r="U280" s="26"/>
      <c r="V280" s="26"/>
      <c r="W280" s="25"/>
      <c r="X280" s="25"/>
      <c r="Y280" s="25"/>
      <c r="Z280" s="25"/>
      <c r="AA280" s="25"/>
      <c r="AB280" s="25"/>
      <c r="AC280" s="25"/>
      <c r="AD280" s="25"/>
      <c r="AE280" s="25"/>
    </row>
    <row r="281">
      <c r="A281" s="76"/>
      <c r="B281" s="76"/>
      <c r="C281" s="76"/>
      <c r="D281" s="76"/>
      <c r="E281" s="76"/>
      <c r="F281" s="12">
        <v>276.0</v>
      </c>
      <c r="G281" s="25"/>
      <c r="H281" s="25"/>
      <c r="I281" s="25"/>
      <c r="J281" s="23"/>
      <c r="K281" s="23"/>
      <c r="L281" s="26"/>
      <c r="M281" s="26"/>
      <c r="N281" s="26"/>
      <c r="O281" s="26"/>
      <c r="P281" s="26"/>
      <c r="Q281" s="27"/>
      <c r="R281" s="26"/>
      <c r="S281" s="26"/>
      <c r="T281" s="26"/>
      <c r="U281" s="26"/>
      <c r="V281" s="26"/>
      <c r="W281" s="25"/>
      <c r="X281" s="25"/>
      <c r="Y281" s="25"/>
      <c r="Z281" s="25"/>
      <c r="AA281" s="25"/>
      <c r="AB281" s="25"/>
      <c r="AC281" s="25"/>
      <c r="AD281" s="25"/>
      <c r="AE281" s="25"/>
    </row>
    <row r="282">
      <c r="A282" s="76"/>
      <c r="B282" s="76"/>
      <c r="C282" s="76"/>
      <c r="D282" s="76"/>
      <c r="E282" s="76"/>
      <c r="F282" s="12">
        <v>277.0</v>
      </c>
      <c r="G282" s="25"/>
      <c r="H282" s="25"/>
      <c r="I282" s="25"/>
      <c r="J282" s="23"/>
      <c r="K282" s="23"/>
      <c r="L282" s="26"/>
      <c r="M282" s="26"/>
      <c r="N282" s="26"/>
      <c r="O282" s="26"/>
      <c r="P282" s="26"/>
      <c r="Q282" s="27"/>
      <c r="R282" s="26"/>
      <c r="S282" s="26"/>
      <c r="T282" s="26"/>
      <c r="U282" s="26"/>
      <c r="V282" s="26"/>
      <c r="W282" s="25"/>
      <c r="X282" s="25"/>
      <c r="Y282" s="25"/>
      <c r="Z282" s="25"/>
      <c r="AA282" s="25"/>
      <c r="AB282" s="25"/>
      <c r="AC282" s="25"/>
      <c r="AD282" s="25"/>
      <c r="AE282" s="25"/>
    </row>
    <row r="283">
      <c r="A283" s="76"/>
      <c r="B283" s="76"/>
      <c r="C283" s="76"/>
      <c r="D283" s="76"/>
      <c r="E283" s="76"/>
      <c r="F283" s="12">
        <v>278.0</v>
      </c>
      <c r="G283" s="25"/>
      <c r="H283" s="25"/>
      <c r="I283" s="25"/>
      <c r="J283" s="23"/>
      <c r="K283" s="23"/>
      <c r="L283" s="26"/>
      <c r="M283" s="26"/>
      <c r="N283" s="26"/>
      <c r="O283" s="26"/>
      <c r="P283" s="26"/>
      <c r="Q283" s="27"/>
      <c r="R283" s="26"/>
      <c r="S283" s="26"/>
      <c r="T283" s="26"/>
      <c r="U283" s="26"/>
      <c r="V283" s="26"/>
      <c r="W283" s="25"/>
      <c r="X283" s="25"/>
      <c r="Y283" s="25"/>
      <c r="Z283" s="25"/>
      <c r="AA283" s="25"/>
      <c r="AB283" s="25"/>
      <c r="AC283" s="25"/>
      <c r="AD283" s="25"/>
      <c r="AE283" s="25"/>
    </row>
    <row r="284">
      <c r="A284" s="76"/>
      <c r="B284" s="76"/>
      <c r="C284" s="76"/>
      <c r="D284" s="76"/>
      <c r="E284" s="76"/>
      <c r="F284" s="12">
        <v>279.0</v>
      </c>
      <c r="G284" s="25"/>
      <c r="H284" s="25"/>
      <c r="I284" s="25"/>
      <c r="J284" s="23"/>
      <c r="K284" s="23"/>
      <c r="L284" s="26"/>
      <c r="M284" s="26"/>
      <c r="N284" s="26"/>
      <c r="O284" s="26"/>
      <c r="P284" s="26"/>
      <c r="Q284" s="27"/>
      <c r="R284" s="26"/>
      <c r="S284" s="26"/>
      <c r="T284" s="26"/>
      <c r="U284" s="26"/>
      <c r="V284" s="26"/>
      <c r="W284" s="25"/>
      <c r="X284" s="25"/>
      <c r="Y284" s="25"/>
      <c r="Z284" s="25"/>
      <c r="AA284" s="25"/>
      <c r="AB284" s="25"/>
      <c r="AC284" s="25"/>
      <c r="AD284" s="25"/>
      <c r="AE284" s="25"/>
    </row>
    <row r="285">
      <c r="A285" s="76"/>
      <c r="B285" s="76"/>
      <c r="C285" s="76"/>
      <c r="D285" s="76"/>
      <c r="E285" s="76"/>
      <c r="F285" s="12">
        <v>280.0</v>
      </c>
      <c r="G285" s="25"/>
      <c r="H285" s="25"/>
      <c r="I285" s="25"/>
      <c r="J285" s="23"/>
      <c r="K285" s="23"/>
      <c r="L285" s="26"/>
      <c r="M285" s="26"/>
      <c r="N285" s="26"/>
      <c r="O285" s="26"/>
      <c r="P285" s="26"/>
      <c r="Q285" s="27"/>
      <c r="R285" s="26"/>
      <c r="S285" s="26"/>
      <c r="T285" s="26"/>
      <c r="U285" s="26"/>
      <c r="V285" s="26"/>
      <c r="W285" s="25"/>
      <c r="X285" s="25"/>
      <c r="Y285" s="25"/>
      <c r="Z285" s="25"/>
      <c r="AA285" s="25"/>
      <c r="AB285" s="25"/>
      <c r="AC285" s="25"/>
      <c r="AD285" s="25"/>
      <c r="AE285" s="25"/>
    </row>
    <row r="286">
      <c r="A286" s="76"/>
      <c r="B286" s="76"/>
      <c r="C286" s="76"/>
      <c r="D286" s="76"/>
      <c r="E286" s="76"/>
      <c r="F286" s="12">
        <v>281.0</v>
      </c>
      <c r="G286" s="25"/>
      <c r="H286" s="25"/>
      <c r="I286" s="25"/>
      <c r="J286" s="23"/>
      <c r="K286" s="23"/>
      <c r="L286" s="26"/>
      <c r="M286" s="26"/>
      <c r="N286" s="26"/>
      <c r="O286" s="26"/>
      <c r="P286" s="26"/>
      <c r="Q286" s="27"/>
      <c r="R286" s="26"/>
      <c r="S286" s="26"/>
      <c r="T286" s="26"/>
      <c r="U286" s="26"/>
      <c r="V286" s="26"/>
      <c r="W286" s="25"/>
      <c r="X286" s="25"/>
      <c r="Y286" s="25"/>
      <c r="Z286" s="25"/>
      <c r="AA286" s="25"/>
      <c r="AB286" s="25"/>
      <c r="AC286" s="25"/>
      <c r="AD286" s="25"/>
      <c r="AE286" s="25"/>
    </row>
    <row r="287">
      <c r="A287" s="76"/>
      <c r="B287" s="76"/>
      <c r="C287" s="76"/>
      <c r="D287" s="76"/>
      <c r="E287" s="76"/>
      <c r="F287" s="12">
        <v>282.0</v>
      </c>
      <c r="G287" s="25"/>
      <c r="H287" s="25"/>
      <c r="I287" s="25"/>
      <c r="J287" s="23"/>
      <c r="K287" s="23"/>
      <c r="L287" s="26"/>
      <c r="M287" s="26"/>
      <c r="N287" s="26"/>
      <c r="O287" s="26"/>
      <c r="P287" s="26"/>
      <c r="Q287" s="27"/>
      <c r="R287" s="26"/>
      <c r="S287" s="26"/>
      <c r="T287" s="26"/>
      <c r="U287" s="26"/>
      <c r="V287" s="26"/>
      <c r="W287" s="25"/>
      <c r="X287" s="25"/>
      <c r="Y287" s="25"/>
      <c r="Z287" s="25"/>
      <c r="AA287" s="25"/>
      <c r="AB287" s="25"/>
      <c r="AC287" s="25"/>
      <c r="AD287" s="25"/>
      <c r="AE287" s="25"/>
    </row>
    <row r="288">
      <c r="A288" s="76"/>
      <c r="B288" s="76"/>
      <c r="C288" s="76"/>
      <c r="D288" s="76"/>
      <c r="E288" s="76"/>
      <c r="F288" s="12">
        <v>283.0</v>
      </c>
      <c r="G288" s="25"/>
      <c r="H288" s="25"/>
      <c r="I288" s="25"/>
      <c r="J288" s="23"/>
      <c r="K288" s="23"/>
      <c r="L288" s="26"/>
      <c r="M288" s="26"/>
      <c r="N288" s="26"/>
      <c r="O288" s="26"/>
      <c r="P288" s="26"/>
      <c r="Q288" s="27"/>
      <c r="R288" s="26"/>
      <c r="S288" s="26"/>
      <c r="T288" s="26"/>
      <c r="U288" s="26"/>
      <c r="V288" s="26"/>
      <c r="W288" s="25"/>
      <c r="X288" s="25"/>
      <c r="Y288" s="25"/>
      <c r="Z288" s="25"/>
      <c r="AA288" s="25"/>
      <c r="AB288" s="25"/>
      <c r="AC288" s="25"/>
      <c r="AD288" s="25"/>
      <c r="AE288" s="25"/>
    </row>
    <row r="289">
      <c r="A289" s="76"/>
      <c r="B289" s="76"/>
      <c r="C289" s="76"/>
      <c r="D289" s="76"/>
      <c r="E289" s="76"/>
      <c r="F289" s="12">
        <v>284.0</v>
      </c>
      <c r="G289" s="25"/>
      <c r="H289" s="25"/>
      <c r="I289" s="25"/>
      <c r="J289" s="23"/>
      <c r="K289" s="23"/>
      <c r="L289" s="26"/>
      <c r="M289" s="26"/>
      <c r="N289" s="26"/>
      <c r="O289" s="26"/>
      <c r="P289" s="26"/>
      <c r="Q289" s="27"/>
      <c r="R289" s="26"/>
      <c r="S289" s="26"/>
      <c r="T289" s="26"/>
      <c r="U289" s="26"/>
      <c r="V289" s="26"/>
      <c r="W289" s="25"/>
      <c r="X289" s="25"/>
      <c r="Y289" s="25"/>
      <c r="Z289" s="25"/>
      <c r="AA289" s="25"/>
      <c r="AB289" s="25"/>
      <c r="AC289" s="25"/>
      <c r="AD289" s="25"/>
      <c r="AE289" s="25"/>
    </row>
    <row r="290">
      <c r="A290" s="76"/>
      <c r="B290" s="76"/>
      <c r="C290" s="76"/>
      <c r="D290" s="76"/>
      <c r="E290" s="76"/>
      <c r="F290" s="12">
        <v>285.0</v>
      </c>
      <c r="G290" s="25"/>
      <c r="H290" s="25"/>
      <c r="I290" s="25"/>
      <c r="J290" s="23"/>
      <c r="K290" s="23"/>
      <c r="L290" s="26"/>
      <c r="M290" s="26"/>
      <c r="N290" s="26"/>
      <c r="O290" s="26"/>
      <c r="P290" s="26"/>
      <c r="Q290" s="27"/>
      <c r="R290" s="26"/>
      <c r="S290" s="26"/>
      <c r="T290" s="26"/>
      <c r="U290" s="26"/>
      <c r="V290" s="26"/>
      <c r="W290" s="25"/>
      <c r="X290" s="25"/>
      <c r="Y290" s="25"/>
      <c r="Z290" s="25"/>
      <c r="AA290" s="25"/>
      <c r="AB290" s="25"/>
      <c r="AC290" s="25"/>
      <c r="AD290" s="25"/>
      <c r="AE290" s="25"/>
    </row>
    <row r="291">
      <c r="A291" s="76"/>
      <c r="B291" s="76"/>
      <c r="C291" s="76"/>
      <c r="D291" s="76"/>
      <c r="E291" s="76"/>
      <c r="F291" s="12">
        <v>286.0</v>
      </c>
      <c r="G291" s="25"/>
      <c r="H291" s="25"/>
      <c r="I291" s="25"/>
      <c r="J291" s="23"/>
      <c r="K291" s="23"/>
      <c r="L291" s="26"/>
      <c r="M291" s="26"/>
      <c r="N291" s="26"/>
      <c r="O291" s="26"/>
      <c r="P291" s="26"/>
      <c r="Q291" s="27"/>
      <c r="R291" s="26"/>
      <c r="S291" s="26"/>
      <c r="T291" s="26"/>
      <c r="U291" s="26"/>
      <c r="V291" s="26"/>
      <c r="W291" s="25"/>
      <c r="X291" s="25"/>
      <c r="Y291" s="25"/>
      <c r="Z291" s="25"/>
      <c r="AA291" s="25"/>
      <c r="AB291" s="25"/>
      <c r="AC291" s="25"/>
      <c r="AD291" s="25"/>
      <c r="AE291" s="25"/>
    </row>
    <row r="292">
      <c r="A292" s="76"/>
      <c r="B292" s="76"/>
      <c r="C292" s="76"/>
      <c r="D292" s="76"/>
      <c r="E292" s="76"/>
      <c r="F292" s="12">
        <v>287.0</v>
      </c>
      <c r="G292" s="25"/>
      <c r="H292" s="25"/>
      <c r="I292" s="25"/>
      <c r="J292" s="23"/>
      <c r="K292" s="23"/>
      <c r="L292" s="26"/>
      <c r="M292" s="26"/>
      <c r="N292" s="26"/>
      <c r="O292" s="26"/>
      <c r="P292" s="26"/>
      <c r="Q292" s="27"/>
      <c r="R292" s="26"/>
      <c r="S292" s="26"/>
      <c r="T292" s="26"/>
      <c r="U292" s="26"/>
      <c r="V292" s="26"/>
      <c r="W292" s="25"/>
      <c r="X292" s="25"/>
      <c r="Y292" s="25"/>
      <c r="Z292" s="25"/>
      <c r="AA292" s="25"/>
      <c r="AB292" s="25"/>
      <c r="AC292" s="25"/>
      <c r="AD292" s="25"/>
      <c r="AE292" s="25"/>
    </row>
    <row r="293">
      <c r="A293" s="76"/>
      <c r="B293" s="76"/>
      <c r="C293" s="76"/>
      <c r="D293" s="76"/>
      <c r="E293" s="76"/>
      <c r="F293" s="12">
        <v>288.0</v>
      </c>
      <c r="G293" s="25"/>
      <c r="H293" s="25"/>
      <c r="I293" s="25"/>
      <c r="J293" s="23"/>
      <c r="K293" s="23"/>
      <c r="L293" s="26"/>
      <c r="M293" s="26"/>
      <c r="N293" s="26"/>
      <c r="O293" s="26"/>
      <c r="P293" s="26"/>
      <c r="Q293" s="27"/>
      <c r="R293" s="26"/>
      <c r="S293" s="26"/>
      <c r="T293" s="26"/>
      <c r="U293" s="26"/>
      <c r="V293" s="26"/>
      <c r="W293" s="25"/>
      <c r="X293" s="25"/>
      <c r="Y293" s="25"/>
      <c r="Z293" s="25"/>
      <c r="AA293" s="25"/>
      <c r="AB293" s="25"/>
      <c r="AC293" s="25"/>
      <c r="AD293" s="25"/>
      <c r="AE293" s="25"/>
    </row>
    <row r="294">
      <c r="A294" s="76"/>
      <c r="B294" s="76"/>
      <c r="C294" s="76"/>
      <c r="D294" s="76"/>
      <c r="E294" s="76"/>
      <c r="F294" s="12">
        <v>289.0</v>
      </c>
      <c r="G294" s="25"/>
      <c r="H294" s="25"/>
      <c r="I294" s="25"/>
      <c r="J294" s="23"/>
      <c r="K294" s="23"/>
      <c r="L294" s="26"/>
      <c r="M294" s="26"/>
      <c r="N294" s="26"/>
      <c r="O294" s="26"/>
      <c r="P294" s="26"/>
      <c r="Q294" s="27"/>
      <c r="R294" s="26"/>
      <c r="S294" s="26"/>
      <c r="T294" s="26"/>
      <c r="U294" s="26"/>
      <c r="V294" s="26"/>
      <c r="W294" s="25"/>
      <c r="X294" s="25"/>
      <c r="Y294" s="25"/>
      <c r="Z294" s="25"/>
      <c r="AA294" s="25"/>
      <c r="AB294" s="25"/>
      <c r="AC294" s="25"/>
      <c r="AD294" s="25"/>
      <c r="AE294" s="25"/>
    </row>
    <row r="295">
      <c r="A295" s="76"/>
      <c r="B295" s="76"/>
      <c r="C295" s="76"/>
      <c r="D295" s="76"/>
      <c r="E295" s="76"/>
      <c r="F295" s="12">
        <v>290.0</v>
      </c>
      <c r="G295" s="25"/>
      <c r="H295" s="25"/>
      <c r="I295" s="25"/>
      <c r="J295" s="23"/>
      <c r="K295" s="23"/>
      <c r="L295" s="26"/>
      <c r="M295" s="26"/>
      <c r="N295" s="26"/>
      <c r="O295" s="26"/>
      <c r="P295" s="26"/>
      <c r="Q295" s="27"/>
      <c r="R295" s="26"/>
      <c r="S295" s="26"/>
      <c r="T295" s="26"/>
      <c r="U295" s="26"/>
      <c r="V295" s="26"/>
      <c r="W295" s="25"/>
      <c r="X295" s="25"/>
      <c r="Y295" s="25"/>
      <c r="Z295" s="25"/>
      <c r="AA295" s="25"/>
      <c r="AB295" s="25"/>
      <c r="AC295" s="25"/>
      <c r="AD295" s="25"/>
      <c r="AE295" s="25"/>
    </row>
    <row r="296">
      <c r="A296" s="76"/>
      <c r="B296" s="76"/>
      <c r="C296" s="76"/>
      <c r="D296" s="76"/>
      <c r="E296" s="76"/>
      <c r="F296" s="12">
        <v>291.0</v>
      </c>
      <c r="G296" s="25"/>
      <c r="H296" s="25"/>
      <c r="I296" s="25"/>
      <c r="J296" s="23"/>
      <c r="K296" s="23"/>
      <c r="L296" s="26"/>
      <c r="M296" s="26"/>
      <c r="N296" s="26"/>
      <c r="O296" s="26"/>
      <c r="P296" s="26"/>
      <c r="Q296" s="27"/>
      <c r="R296" s="26"/>
      <c r="S296" s="26"/>
      <c r="T296" s="26"/>
      <c r="U296" s="26"/>
      <c r="V296" s="26"/>
      <c r="W296" s="25"/>
      <c r="X296" s="25"/>
      <c r="Y296" s="25"/>
      <c r="Z296" s="25"/>
      <c r="AA296" s="25"/>
      <c r="AB296" s="25"/>
      <c r="AC296" s="25"/>
      <c r="AD296" s="25"/>
      <c r="AE296" s="25"/>
    </row>
    <row r="297">
      <c r="A297" s="76"/>
      <c r="B297" s="76"/>
      <c r="C297" s="76"/>
      <c r="D297" s="76"/>
      <c r="E297" s="76"/>
      <c r="F297" s="12">
        <v>292.0</v>
      </c>
      <c r="G297" s="25"/>
      <c r="H297" s="25"/>
      <c r="I297" s="25"/>
      <c r="J297" s="23"/>
      <c r="K297" s="23"/>
      <c r="L297" s="26"/>
      <c r="M297" s="26"/>
      <c r="N297" s="26"/>
      <c r="O297" s="26"/>
      <c r="P297" s="26"/>
      <c r="Q297" s="27"/>
      <c r="R297" s="26"/>
      <c r="S297" s="26"/>
      <c r="T297" s="26"/>
      <c r="U297" s="26"/>
      <c r="V297" s="26"/>
      <c r="W297" s="25"/>
      <c r="X297" s="25"/>
      <c r="Y297" s="25"/>
      <c r="Z297" s="25"/>
      <c r="AA297" s="25"/>
      <c r="AB297" s="25"/>
      <c r="AC297" s="25"/>
      <c r="AD297" s="25"/>
      <c r="AE297" s="25"/>
    </row>
    <row r="298">
      <c r="A298" s="76"/>
      <c r="B298" s="76"/>
      <c r="C298" s="76"/>
      <c r="D298" s="76"/>
      <c r="E298" s="76"/>
      <c r="F298" s="12">
        <v>293.0</v>
      </c>
      <c r="G298" s="25"/>
      <c r="H298" s="25"/>
      <c r="I298" s="25"/>
      <c r="J298" s="23"/>
      <c r="K298" s="23"/>
      <c r="L298" s="26"/>
      <c r="M298" s="26"/>
      <c r="N298" s="26"/>
      <c r="O298" s="26"/>
      <c r="P298" s="26"/>
      <c r="Q298" s="27"/>
      <c r="R298" s="26"/>
      <c r="S298" s="26"/>
      <c r="T298" s="26"/>
      <c r="U298" s="26"/>
      <c r="V298" s="26"/>
      <c r="W298" s="25"/>
      <c r="X298" s="25"/>
      <c r="Y298" s="25"/>
      <c r="Z298" s="25"/>
      <c r="AA298" s="25"/>
      <c r="AB298" s="25"/>
      <c r="AC298" s="25"/>
      <c r="AD298" s="25"/>
      <c r="AE298" s="25"/>
    </row>
    <row r="299">
      <c r="A299" s="76"/>
      <c r="B299" s="76"/>
      <c r="C299" s="76"/>
      <c r="D299" s="76"/>
      <c r="E299" s="76"/>
      <c r="F299" s="12">
        <v>294.0</v>
      </c>
      <c r="G299" s="25"/>
      <c r="H299" s="25"/>
      <c r="I299" s="25"/>
      <c r="J299" s="23"/>
      <c r="K299" s="23"/>
      <c r="L299" s="26"/>
      <c r="M299" s="26"/>
      <c r="N299" s="26"/>
      <c r="O299" s="26"/>
      <c r="P299" s="26"/>
      <c r="Q299" s="27"/>
      <c r="R299" s="26"/>
      <c r="S299" s="26"/>
      <c r="T299" s="26"/>
      <c r="U299" s="26"/>
      <c r="V299" s="26"/>
      <c r="W299" s="25"/>
      <c r="X299" s="25"/>
      <c r="Y299" s="25"/>
      <c r="Z299" s="25"/>
      <c r="AA299" s="25"/>
      <c r="AB299" s="25"/>
      <c r="AC299" s="25"/>
      <c r="AD299" s="25"/>
      <c r="AE299" s="25"/>
    </row>
    <row r="300">
      <c r="A300" s="76"/>
      <c r="B300" s="76"/>
      <c r="C300" s="76"/>
      <c r="D300" s="76"/>
      <c r="E300" s="76"/>
      <c r="F300" s="12">
        <v>295.0</v>
      </c>
      <c r="G300" s="25"/>
      <c r="H300" s="25"/>
      <c r="I300" s="25"/>
      <c r="J300" s="23"/>
      <c r="K300" s="23"/>
      <c r="L300" s="26"/>
      <c r="M300" s="26"/>
      <c r="N300" s="26"/>
      <c r="O300" s="26"/>
      <c r="P300" s="26"/>
      <c r="Q300" s="27"/>
      <c r="R300" s="26"/>
      <c r="S300" s="26"/>
      <c r="T300" s="26"/>
      <c r="U300" s="26"/>
      <c r="V300" s="26"/>
      <c r="W300" s="25"/>
      <c r="X300" s="25"/>
      <c r="Y300" s="25"/>
      <c r="Z300" s="25"/>
      <c r="AA300" s="25"/>
      <c r="AB300" s="25"/>
      <c r="AC300" s="25"/>
      <c r="AD300" s="25"/>
      <c r="AE300" s="25"/>
    </row>
    <row r="301">
      <c r="A301" s="76"/>
      <c r="B301" s="76"/>
      <c r="C301" s="76"/>
      <c r="D301" s="76"/>
      <c r="E301" s="76"/>
      <c r="F301" s="12">
        <v>296.0</v>
      </c>
      <c r="G301" s="25"/>
      <c r="H301" s="25"/>
      <c r="I301" s="25"/>
      <c r="J301" s="23"/>
      <c r="K301" s="23"/>
      <c r="L301" s="26"/>
      <c r="M301" s="26"/>
      <c r="N301" s="26"/>
      <c r="O301" s="26"/>
      <c r="P301" s="26"/>
      <c r="Q301" s="27"/>
      <c r="R301" s="26"/>
      <c r="S301" s="26"/>
      <c r="T301" s="26"/>
      <c r="U301" s="26"/>
      <c r="V301" s="26"/>
      <c r="W301" s="25"/>
      <c r="X301" s="25"/>
      <c r="Y301" s="25"/>
      <c r="Z301" s="25"/>
      <c r="AA301" s="25"/>
      <c r="AB301" s="25"/>
      <c r="AC301" s="25"/>
      <c r="AD301" s="25"/>
      <c r="AE301" s="25"/>
    </row>
    <row r="302">
      <c r="A302" s="76"/>
      <c r="B302" s="76"/>
      <c r="C302" s="76"/>
      <c r="D302" s="76"/>
      <c r="E302" s="76"/>
      <c r="F302" s="12">
        <v>297.0</v>
      </c>
      <c r="G302" s="25"/>
      <c r="H302" s="25"/>
      <c r="I302" s="25"/>
      <c r="J302" s="23"/>
      <c r="K302" s="23"/>
      <c r="L302" s="26"/>
      <c r="M302" s="26"/>
      <c r="N302" s="26"/>
      <c r="O302" s="26"/>
      <c r="P302" s="26"/>
      <c r="Q302" s="27"/>
      <c r="R302" s="26"/>
      <c r="S302" s="26"/>
      <c r="T302" s="26"/>
      <c r="U302" s="26"/>
      <c r="V302" s="26"/>
      <c r="W302" s="25"/>
      <c r="X302" s="25"/>
      <c r="Y302" s="25"/>
      <c r="Z302" s="25"/>
      <c r="AA302" s="25"/>
      <c r="AB302" s="25"/>
      <c r="AC302" s="25"/>
      <c r="AD302" s="25"/>
      <c r="AE302" s="25"/>
    </row>
    <row r="303">
      <c r="A303" s="76"/>
      <c r="B303" s="76"/>
      <c r="C303" s="76"/>
      <c r="D303" s="76"/>
      <c r="E303" s="76"/>
      <c r="F303" s="12">
        <v>298.0</v>
      </c>
      <c r="G303" s="25"/>
      <c r="H303" s="25"/>
      <c r="I303" s="25"/>
      <c r="J303" s="23"/>
      <c r="K303" s="23"/>
      <c r="L303" s="26"/>
      <c r="M303" s="26"/>
      <c r="N303" s="26"/>
      <c r="O303" s="26"/>
      <c r="P303" s="26"/>
      <c r="Q303" s="27"/>
      <c r="R303" s="26"/>
      <c r="S303" s="26"/>
      <c r="T303" s="26"/>
      <c r="U303" s="26"/>
      <c r="V303" s="26"/>
      <c r="W303" s="25"/>
      <c r="X303" s="25"/>
      <c r="Y303" s="25"/>
      <c r="Z303" s="25"/>
      <c r="AA303" s="25"/>
      <c r="AB303" s="25"/>
      <c r="AC303" s="25"/>
      <c r="AD303" s="25"/>
      <c r="AE303" s="25"/>
    </row>
    <row r="304">
      <c r="A304" s="76"/>
      <c r="B304" s="76"/>
      <c r="C304" s="76"/>
      <c r="D304" s="76"/>
      <c r="E304" s="76"/>
      <c r="F304" s="12">
        <v>299.0</v>
      </c>
      <c r="G304" s="25"/>
      <c r="H304" s="25"/>
      <c r="I304" s="25"/>
      <c r="J304" s="23"/>
      <c r="K304" s="23"/>
      <c r="L304" s="26"/>
      <c r="M304" s="26"/>
      <c r="N304" s="26"/>
      <c r="O304" s="26"/>
      <c r="P304" s="26"/>
      <c r="Q304" s="27"/>
      <c r="R304" s="26"/>
      <c r="S304" s="26"/>
      <c r="T304" s="26"/>
      <c r="U304" s="26"/>
      <c r="V304" s="26"/>
      <c r="W304" s="25"/>
      <c r="X304" s="25"/>
      <c r="Y304" s="25"/>
      <c r="Z304" s="25"/>
      <c r="AA304" s="25"/>
      <c r="AB304" s="25"/>
      <c r="AC304" s="25"/>
      <c r="AD304" s="25"/>
      <c r="AE304" s="25"/>
    </row>
    <row r="305">
      <c r="A305" s="76"/>
      <c r="B305" s="76"/>
      <c r="C305" s="76"/>
      <c r="D305" s="76"/>
      <c r="E305" s="76"/>
      <c r="F305" s="12">
        <v>300.0</v>
      </c>
      <c r="G305" s="25"/>
      <c r="H305" s="25"/>
      <c r="I305" s="25"/>
      <c r="J305" s="23"/>
      <c r="K305" s="23"/>
      <c r="L305" s="26"/>
      <c r="M305" s="26"/>
      <c r="N305" s="26"/>
      <c r="O305" s="26"/>
      <c r="P305" s="26"/>
      <c r="Q305" s="27"/>
      <c r="R305" s="26"/>
      <c r="S305" s="26"/>
      <c r="T305" s="26"/>
      <c r="U305" s="26"/>
      <c r="V305" s="26"/>
      <c r="W305" s="25"/>
      <c r="X305" s="25"/>
      <c r="Y305" s="25"/>
      <c r="Z305" s="25"/>
      <c r="AA305" s="25"/>
      <c r="AB305" s="25"/>
      <c r="AC305" s="25"/>
      <c r="AD305" s="25"/>
      <c r="AE305" s="25"/>
    </row>
    <row r="306">
      <c r="A306" s="76"/>
      <c r="B306" s="76"/>
      <c r="C306" s="76"/>
      <c r="D306" s="76"/>
      <c r="E306" s="76"/>
      <c r="F306" s="12">
        <v>301.0</v>
      </c>
      <c r="G306" s="25"/>
      <c r="H306" s="25"/>
      <c r="I306" s="25"/>
      <c r="J306" s="23"/>
      <c r="K306" s="23"/>
      <c r="L306" s="26"/>
      <c r="M306" s="26"/>
      <c r="N306" s="26"/>
      <c r="O306" s="26"/>
      <c r="P306" s="26"/>
      <c r="Q306" s="27"/>
      <c r="R306" s="26"/>
      <c r="S306" s="26"/>
      <c r="T306" s="26"/>
      <c r="U306" s="26"/>
      <c r="V306" s="26"/>
      <c r="W306" s="25"/>
      <c r="X306" s="25"/>
      <c r="Y306" s="25"/>
      <c r="Z306" s="25"/>
      <c r="AA306" s="25"/>
      <c r="AB306" s="25"/>
      <c r="AC306" s="25"/>
      <c r="AD306" s="25"/>
      <c r="AE306" s="25"/>
    </row>
    <row r="307">
      <c r="A307" s="76"/>
      <c r="B307" s="76"/>
      <c r="C307" s="76"/>
      <c r="D307" s="76"/>
      <c r="E307" s="76"/>
      <c r="F307" s="12">
        <v>302.0</v>
      </c>
      <c r="G307" s="25"/>
      <c r="H307" s="25"/>
      <c r="I307" s="25"/>
      <c r="J307" s="23"/>
      <c r="K307" s="23"/>
      <c r="L307" s="26"/>
      <c r="M307" s="26"/>
      <c r="N307" s="26"/>
      <c r="O307" s="26"/>
      <c r="P307" s="26"/>
      <c r="Q307" s="27"/>
      <c r="R307" s="26"/>
      <c r="S307" s="26"/>
      <c r="T307" s="26"/>
      <c r="U307" s="26"/>
      <c r="V307" s="26"/>
      <c r="W307" s="25"/>
      <c r="X307" s="25"/>
      <c r="Y307" s="25"/>
      <c r="Z307" s="25"/>
      <c r="AA307" s="25"/>
      <c r="AB307" s="25"/>
      <c r="AC307" s="25"/>
      <c r="AD307" s="25"/>
      <c r="AE307" s="25"/>
    </row>
    <row r="308">
      <c r="A308" s="76"/>
      <c r="B308" s="76"/>
      <c r="C308" s="76"/>
      <c r="D308" s="76"/>
      <c r="E308" s="76"/>
      <c r="F308" s="12">
        <v>303.0</v>
      </c>
      <c r="G308" s="25"/>
      <c r="H308" s="25"/>
      <c r="I308" s="25"/>
      <c r="J308" s="23"/>
      <c r="K308" s="23"/>
      <c r="L308" s="26"/>
      <c r="M308" s="26"/>
      <c r="N308" s="26"/>
      <c r="O308" s="26"/>
      <c r="P308" s="26"/>
      <c r="Q308" s="27"/>
      <c r="R308" s="26"/>
      <c r="S308" s="26"/>
      <c r="T308" s="26"/>
      <c r="U308" s="26"/>
      <c r="V308" s="26"/>
      <c r="W308" s="25"/>
      <c r="X308" s="25"/>
      <c r="Y308" s="25"/>
      <c r="Z308" s="25"/>
      <c r="AA308" s="25"/>
      <c r="AB308" s="25"/>
      <c r="AC308" s="25"/>
      <c r="AD308" s="25"/>
      <c r="AE308" s="25"/>
    </row>
    <row r="309">
      <c r="A309" s="76"/>
      <c r="B309" s="76"/>
      <c r="C309" s="76"/>
      <c r="D309" s="76"/>
      <c r="E309" s="76"/>
      <c r="F309" s="12">
        <v>304.0</v>
      </c>
      <c r="G309" s="25"/>
      <c r="H309" s="25"/>
      <c r="I309" s="25"/>
      <c r="J309" s="23"/>
      <c r="K309" s="23"/>
      <c r="L309" s="26"/>
      <c r="M309" s="26"/>
      <c r="N309" s="26"/>
      <c r="O309" s="26"/>
      <c r="P309" s="26"/>
      <c r="Q309" s="27"/>
      <c r="R309" s="26"/>
      <c r="S309" s="26"/>
      <c r="T309" s="26"/>
      <c r="U309" s="26"/>
      <c r="V309" s="26"/>
      <c r="W309" s="25"/>
      <c r="X309" s="25"/>
      <c r="Y309" s="25"/>
      <c r="Z309" s="25"/>
      <c r="AA309" s="25"/>
      <c r="AB309" s="25"/>
      <c r="AC309" s="25"/>
      <c r="AD309" s="25"/>
      <c r="AE309" s="25"/>
    </row>
    <row r="310">
      <c r="A310" s="76"/>
      <c r="B310" s="76"/>
      <c r="C310" s="76"/>
      <c r="D310" s="76"/>
      <c r="E310" s="76"/>
      <c r="F310" s="12">
        <v>305.0</v>
      </c>
      <c r="G310" s="25"/>
      <c r="H310" s="25"/>
      <c r="I310" s="25"/>
      <c r="J310" s="23"/>
      <c r="K310" s="23"/>
      <c r="L310" s="26"/>
      <c r="M310" s="26"/>
      <c r="N310" s="26"/>
      <c r="O310" s="26"/>
      <c r="P310" s="26"/>
      <c r="Q310" s="27"/>
      <c r="R310" s="26"/>
      <c r="S310" s="26"/>
      <c r="T310" s="26"/>
      <c r="U310" s="26"/>
      <c r="V310" s="26"/>
      <c r="W310" s="25"/>
      <c r="X310" s="25"/>
      <c r="Y310" s="25"/>
      <c r="Z310" s="25"/>
      <c r="AA310" s="25"/>
      <c r="AB310" s="25"/>
      <c r="AC310" s="25"/>
      <c r="AD310" s="25"/>
      <c r="AE310" s="25"/>
    </row>
    <row r="311">
      <c r="A311" s="76"/>
      <c r="B311" s="76"/>
      <c r="C311" s="76"/>
      <c r="D311" s="76"/>
      <c r="E311" s="76"/>
      <c r="F311" s="12">
        <v>306.0</v>
      </c>
      <c r="G311" s="25"/>
      <c r="H311" s="25"/>
      <c r="I311" s="25"/>
      <c r="J311" s="23"/>
      <c r="K311" s="23"/>
      <c r="L311" s="26"/>
      <c r="M311" s="26"/>
      <c r="N311" s="26"/>
      <c r="O311" s="26"/>
      <c r="P311" s="26"/>
      <c r="Q311" s="27"/>
      <c r="R311" s="26"/>
      <c r="S311" s="26"/>
      <c r="T311" s="26"/>
      <c r="U311" s="26"/>
      <c r="V311" s="26"/>
      <c r="W311" s="25"/>
      <c r="X311" s="25"/>
      <c r="Y311" s="25"/>
      <c r="Z311" s="25"/>
      <c r="AA311" s="25"/>
      <c r="AB311" s="25"/>
      <c r="AC311" s="25"/>
      <c r="AD311" s="25"/>
      <c r="AE311" s="25"/>
    </row>
    <row r="312">
      <c r="A312" s="76"/>
      <c r="B312" s="76"/>
      <c r="C312" s="76"/>
      <c r="D312" s="76"/>
      <c r="E312" s="76"/>
      <c r="F312" s="12">
        <v>307.0</v>
      </c>
      <c r="G312" s="25"/>
      <c r="H312" s="25"/>
      <c r="I312" s="25"/>
      <c r="J312" s="23"/>
      <c r="K312" s="23"/>
      <c r="L312" s="26"/>
      <c r="M312" s="26"/>
      <c r="N312" s="26"/>
      <c r="O312" s="26"/>
      <c r="P312" s="26"/>
      <c r="Q312" s="27"/>
      <c r="R312" s="26"/>
      <c r="S312" s="26"/>
      <c r="T312" s="26"/>
      <c r="U312" s="26"/>
      <c r="V312" s="26"/>
      <c r="W312" s="25"/>
      <c r="X312" s="25"/>
      <c r="Y312" s="25"/>
      <c r="Z312" s="25"/>
      <c r="AA312" s="25"/>
      <c r="AB312" s="25"/>
      <c r="AC312" s="25"/>
      <c r="AD312" s="25"/>
      <c r="AE312" s="25"/>
    </row>
    <row r="313">
      <c r="A313" s="76"/>
      <c r="B313" s="76"/>
      <c r="C313" s="76"/>
      <c r="D313" s="76"/>
      <c r="E313" s="76"/>
      <c r="F313" s="12">
        <v>308.0</v>
      </c>
      <c r="G313" s="25"/>
      <c r="H313" s="25"/>
      <c r="I313" s="25"/>
      <c r="J313" s="23"/>
      <c r="K313" s="23"/>
      <c r="L313" s="26"/>
      <c r="M313" s="26"/>
      <c r="N313" s="26"/>
      <c r="O313" s="26"/>
      <c r="P313" s="26"/>
      <c r="Q313" s="27"/>
      <c r="R313" s="26"/>
      <c r="S313" s="26"/>
      <c r="T313" s="26"/>
      <c r="U313" s="26"/>
      <c r="V313" s="26"/>
      <c r="W313" s="25"/>
      <c r="X313" s="25"/>
      <c r="Y313" s="25"/>
      <c r="Z313" s="25"/>
      <c r="AA313" s="25"/>
      <c r="AB313" s="25"/>
      <c r="AC313" s="25"/>
      <c r="AD313" s="25"/>
      <c r="AE313" s="25"/>
    </row>
    <row r="314">
      <c r="A314" s="76"/>
      <c r="B314" s="76"/>
      <c r="C314" s="76"/>
      <c r="D314" s="76"/>
      <c r="E314" s="76"/>
      <c r="F314" s="12">
        <v>309.0</v>
      </c>
      <c r="G314" s="25"/>
      <c r="H314" s="25"/>
      <c r="I314" s="25"/>
      <c r="J314" s="23"/>
      <c r="K314" s="23"/>
      <c r="L314" s="26"/>
      <c r="M314" s="26"/>
      <c r="N314" s="26"/>
      <c r="O314" s="26"/>
      <c r="P314" s="26"/>
      <c r="Q314" s="27"/>
      <c r="R314" s="26"/>
      <c r="S314" s="26"/>
      <c r="T314" s="26"/>
      <c r="U314" s="26"/>
      <c r="V314" s="26"/>
      <c r="W314" s="25"/>
      <c r="X314" s="25"/>
      <c r="Y314" s="25"/>
      <c r="Z314" s="25"/>
      <c r="AA314" s="25"/>
      <c r="AB314" s="25"/>
      <c r="AC314" s="25"/>
      <c r="AD314" s="25"/>
      <c r="AE314" s="25"/>
    </row>
    <row r="315">
      <c r="A315" s="76"/>
      <c r="B315" s="76"/>
      <c r="C315" s="76"/>
      <c r="D315" s="76"/>
      <c r="E315" s="76"/>
      <c r="F315" s="12">
        <v>310.0</v>
      </c>
      <c r="G315" s="25"/>
      <c r="H315" s="25"/>
      <c r="I315" s="25"/>
      <c r="J315" s="23"/>
      <c r="K315" s="23"/>
      <c r="L315" s="26"/>
      <c r="M315" s="26"/>
      <c r="N315" s="26"/>
      <c r="O315" s="26"/>
      <c r="P315" s="26"/>
      <c r="Q315" s="27"/>
      <c r="R315" s="26"/>
      <c r="S315" s="26"/>
      <c r="T315" s="26"/>
      <c r="U315" s="26"/>
      <c r="V315" s="26"/>
      <c r="W315" s="25"/>
      <c r="X315" s="25"/>
      <c r="Y315" s="25"/>
      <c r="Z315" s="25"/>
      <c r="AA315" s="25"/>
      <c r="AB315" s="25"/>
      <c r="AC315" s="25"/>
      <c r="AD315" s="25"/>
      <c r="AE315" s="25"/>
    </row>
    <row r="316">
      <c r="A316" s="76"/>
      <c r="B316" s="76"/>
      <c r="C316" s="76"/>
      <c r="D316" s="76"/>
      <c r="E316" s="76"/>
      <c r="F316" s="12">
        <v>311.0</v>
      </c>
      <c r="G316" s="25"/>
      <c r="H316" s="25"/>
      <c r="I316" s="25"/>
      <c r="J316" s="23"/>
      <c r="K316" s="23"/>
      <c r="L316" s="26"/>
      <c r="M316" s="26"/>
      <c r="N316" s="26"/>
      <c r="O316" s="26"/>
      <c r="P316" s="26"/>
      <c r="Q316" s="27"/>
      <c r="R316" s="26"/>
      <c r="S316" s="26"/>
      <c r="T316" s="26"/>
      <c r="U316" s="26"/>
      <c r="V316" s="26"/>
      <c r="W316" s="25"/>
      <c r="X316" s="25"/>
      <c r="Y316" s="25"/>
      <c r="Z316" s="25"/>
      <c r="AA316" s="25"/>
      <c r="AB316" s="25"/>
      <c r="AC316" s="25"/>
      <c r="AD316" s="25"/>
      <c r="AE316" s="25"/>
    </row>
    <row r="317">
      <c r="A317" s="76"/>
      <c r="B317" s="76"/>
      <c r="C317" s="76"/>
      <c r="D317" s="76"/>
      <c r="E317" s="76"/>
      <c r="F317" s="12">
        <v>312.0</v>
      </c>
      <c r="G317" s="25"/>
      <c r="H317" s="25"/>
      <c r="I317" s="25"/>
      <c r="J317" s="23"/>
      <c r="K317" s="23"/>
      <c r="L317" s="26"/>
      <c r="M317" s="26"/>
      <c r="N317" s="26"/>
      <c r="O317" s="26"/>
      <c r="P317" s="26"/>
      <c r="Q317" s="27"/>
      <c r="R317" s="26"/>
      <c r="S317" s="26"/>
      <c r="T317" s="26"/>
      <c r="U317" s="26"/>
      <c r="V317" s="26"/>
      <c r="W317" s="25"/>
      <c r="X317" s="25"/>
      <c r="Y317" s="25"/>
      <c r="Z317" s="25"/>
      <c r="AA317" s="25"/>
      <c r="AB317" s="25"/>
      <c r="AC317" s="25"/>
      <c r="AD317" s="25"/>
      <c r="AE317" s="25"/>
    </row>
    <row r="318">
      <c r="A318" s="76"/>
      <c r="B318" s="76"/>
      <c r="C318" s="76"/>
      <c r="D318" s="76"/>
      <c r="E318" s="76"/>
      <c r="F318" s="12">
        <v>313.0</v>
      </c>
      <c r="G318" s="25"/>
      <c r="H318" s="25"/>
      <c r="I318" s="25"/>
      <c r="J318" s="23"/>
      <c r="K318" s="23"/>
      <c r="L318" s="26"/>
      <c r="M318" s="26"/>
      <c r="N318" s="26"/>
      <c r="O318" s="26"/>
      <c r="P318" s="26"/>
      <c r="Q318" s="27"/>
      <c r="R318" s="26"/>
      <c r="S318" s="26"/>
      <c r="T318" s="26"/>
      <c r="U318" s="26"/>
      <c r="V318" s="26"/>
      <c r="W318" s="25"/>
      <c r="X318" s="25"/>
      <c r="Y318" s="25"/>
      <c r="Z318" s="25"/>
      <c r="AA318" s="25"/>
      <c r="AB318" s="25"/>
      <c r="AC318" s="25"/>
      <c r="AD318" s="25"/>
      <c r="AE318" s="25"/>
    </row>
    <row r="319">
      <c r="A319" s="76"/>
      <c r="B319" s="76"/>
      <c r="C319" s="76"/>
      <c r="D319" s="76"/>
      <c r="E319" s="76"/>
      <c r="F319" s="12">
        <v>314.0</v>
      </c>
      <c r="G319" s="25"/>
      <c r="H319" s="25"/>
      <c r="I319" s="25"/>
      <c r="J319" s="23"/>
      <c r="K319" s="23"/>
      <c r="L319" s="26"/>
      <c r="M319" s="26"/>
      <c r="N319" s="26"/>
      <c r="O319" s="26"/>
      <c r="P319" s="26"/>
      <c r="Q319" s="27"/>
      <c r="R319" s="26"/>
      <c r="S319" s="26"/>
      <c r="T319" s="26"/>
      <c r="U319" s="26"/>
      <c r="V319" s="26"/>
      <c r="W319" s="25"/>
      <c r="X319" s="25"/>
      <c r="Y319" s="25"/>
      <c r="Z319" s="25"/>
      <c r="AA319" s="25"/>
      <c r="AB319" s="25"/>
      <c r="AC319" s="25"/>
      <c r="AD319" s="25"/>
      <c r="AE319" s="25"/>
    </row>
    <row r="320">
      <c r="A320" s="76"/>
      <c r="B320" s="76"/>
      <c r="C320" s="76"/>
      <c r="D320" s="76"/>
      <c r="E320" s="76"/>
      <c r="F320" s="12">
        <v>315.0</v>
      </c>
      <c r="G320" s="25"/>
      <c r="H320" s="25"/>
      <c r="I320" s="25"/>
      <c r="J320" s="23"/>
      <c r="K320" s="23"/>
      <c r="L320" s="26"/>
      <c r="M320" s="26"/>
      <c r="N320" s="26"/>
      <c r="O320" s="26"/>
      <c r="P320" s="26"/>
      <c r="Q320" s="27"/>
      <c r="R320" s="26"/>
      <c r="S320" s="26"/>
      <c r="T320" s="26"/>
      <c r="U320" s="26"/>
      <c r="V320" s="26"/>
      <c r="W320" s="25"/>
      <c r="X320" s="25"/>
      <c r="Y320" s="25"/>
      <c r="Z320" s="25"/>
      <c r="AA320" s="25"/>
      <c r="AB320" s="25"/>
      <c r="AC320" s="25"/>
      <c r="AD320" s="25"/>
      <c r="AE320" s="25"/>
    </row>
    <row r="321">
      <c r="A321" s="76"/>
      <c r="B321" s="76"/>
      <c r="C321" s="76"/>
      <c r="D321" s="76"/>
      <c r="E321" s="76"/>
      <c r="F321" s="12">
        <v>316.0</v>
      </c>
      <c r="G321" s="25"/>
      <c r="H321" s="25"/>
      <c r="I321" s="25"/>
      <c r="J321" s="23"/>
      <c r="K321" s="23"/>
      <c r="L321" s="26"/>
      <c r="M321" s="26"/>
      <c r="N321" s="26"/>
      <c r="O321" s="26"/>
      <c r="P321" s="26"/>
      <c r="Q321" s="27"/>
      <c r="R321" s="26"/>
      <c r="S321" s="26"/>
      <c r="T321" s="26"/>
      <c r="U321" s="26"/>
      <c r="V321" s="26"/>
      <c r="W321" s="25"/>
      <c r="X321" s="25"/>
      <c r="Y321" s="25"/>
      <c r="Z321" s="25"/>
      <c r="AA321" s="25"/>
      <c r="AB321" s="25"/>
      <c r="AC321" s="25"/>
      <c r="AD321" s="25"/>
      <c r="AE321" s="25"/>
    </row>
    <row r="322">
      <c r="A322" s="76"/>
      <c r="B322" s="76"/>
      <c r="C322" s="76"/>
      <c r="D322" s="76"/>
      <c r="E322" s="76"/>
      <c r="F322" s="12">
        <v>317.0</v>
      </c>
      <c r="G322" s="25"/>
      <c r="H322" s="25"/>
      <c r="I322" s="25"/>
      <c r="J322" s="23"/>
      <c r="K322" s="23"/>
      <c r="L322" s="26"/>
      <c r="M322" s="26"/>
      <c r="N322" s="26"/>
      <c r="O322" s="26"/>
      <c r="P322" s="26"/>
      <c r="Q322" s="27"/>
      <c r="R322" s="26"/>
      <c r="S322" s="26"/>
      <c r="T322" s="26"/>
      <c r="U322" s="26"/>
      <c r="V322" s="26"/>
      <c r="W322" s="25"/>
      <c r="X322" s="25"/>
      <c r="Y322" s="25"/>
      <c r="Z322" s="25"/>
      <c r="AA322" s="25"/>
      <c r="AB322" s="25"/>
      <c r="AC322" s="25"/>
      <c r="AD322" s="25"/>
      <c r="AE322" s="25"/>
    </row>
    <row r="323">
      <c r="A323" s="76"/>
      <c r="B323" s="76"/>
      <c r="C323" s="76"/>
      <c r="D323" s="76"/>
      <c r="E323" s="76"/>
      <c r="F323" s="12">
        <v>318.0</v>
      </c>
      <c r="G323" s="25"/>
      <c r="H323" s="25"/>
      <c r="I323" s="25"/>
      <c r="J323" s="23"/>
      <c r="K323" s="23"/>
      <c r="L323" s="26"/>
      <c r="M323" s="26"/>
      <c r="N323" s="26"/>
      <c r="O323" s="26"/>
      <c r="P323" s="26"/>
      <c r="Q323" s="27"/>
      <c r="R323" s="26"/>
      <c r="S323" s="26"/>
      <c r="T323" s="26"/>
      <c r="U323" s="26"/>
      <c r="V323" s="26"/>
      <c r="W323" s="25"/>
      <c r="X323" s="25"/>
      <c r="Y323" s="25"/>
      <c r="Z323" s="25"/>
      <c r="AA323" s="25"/>
      <c r="AB323" s="25"/>
      <c r="AC323" s="25"/>
      <c r="AD323" s="25"/>
      <c r="AE323" s="25"/>
    </row>
    <row r="324">
      <c r="A324" s="76"/>
      <c r="B324" s="76"/>
      <c r="C324" s="76"/>
      <c r="D324" s="76"/>
      <c r="E324" s="76"/>
      <c r="F324" s="12">
        <v>319.0</v>
      </c>
      <c r="G324" s="25"/>
      <c r="H324" s="25"/>
      <c r="I324" s="25"/>
      <c r="J324" s="23"/>
      <c r="K324" s="23"/>
      <c r="L324" s="26"/>
      <c r="M324" s="26"/>
      <c r="N324" s="26"/>
      <c r="O324" s="26"/>
      <c r="P324" s="26"/>
      <c r="Q324" s="27"/>
      <c r="R324" s="26"/>
      <c r="S324" s="26"/>
      <c r="T324" s="26"/>
      <c r="U324" s="26"/>
      <c r="V324" s="26"/>
      <c r="W324" s="25"/>
      <c r="X324" s="25"/>
      <c r="Y324" s="25"/>
      <c r="Z324" s="25"/>
      <c r="AA324" s="25"/>
      <c r="AB324" s="25"/>
      <c r="AC324" s="25"/>
      <c r="AD324" s="25"/>
      <c r="AE324" s="25"/>
    </row>
    <row r="325">
      <c r="A325" s="76"/>
      <c r="B325" s="76"/>
      <c r="C325" s="76"/>
      <c r="D325" s="76"/>
      <c r="E325" s="76"/>
      <c r="F325" s="12">
        <v>320.0</v>
      </c>
      <c r="G325" s="25"/>
      <c r="H325" s="25"/>
      <c r="I325" s="25"/>
      <c r="J325" s="23"/>
      <c r="K325" s="23"/>
      <c r="L325" s="26"/>
      <c r="M325" s="26"/>
      <c r="N325" s="26"/>
      <c r="O325" s="26"/>
      <c r="P325" s="26"/>
      <c r="Q325" s="27"/>
      <c r="R325" s="26"/>
      <c r="S325" s="26"/>
      <c r="T325" s="26"/>
      <c r="U325" s="26"/>
      <c r="V325" s="26"/>
      <c r="W325" s="25"/>
      <c r="X325" s="25"/>
      <c r="Y325" s="25"/>
      <c r="Z325" s="25"/>
      <c r="AA325" s="25"/>
      <c r="AB325" s="25"/>
      <c r="AC325" s="25"/>
      <c r="AD325" s="25"/>
      <c r="AE325" s="25"/>
    </row>
    <row r="326">
      <c r="A326" s="76"/>
      <c r="B326" s="76"/>
      <c r="C326" s="76"/>
      <c r="D326" s="76"/>
      <c r="E326" s="76"/>
      <c r="F326" s="12">
        <v>321.0</v>
      </c>
      <c r="G326" s="25"/>
      <c r="H326" s="25"/>
      <c r="I326" s="25"/>
      <c r="J326" s="23"/>
      <c r="K326" s="23"/>
      <c r="L326" s="26"/>
      <c r="M326" s="26"/>
      <c r="N326" s="26"/>
      <c r="O326" s="26"/>
      <c r="P326" s="26"/>
      <c r="Q326" s="27"/>
      <c r="R326" s="26"/>
      <c r="S326" s="26"/>
      <c r="T326" s="26"/>
      <c r="U326" s="26"/>
      <c r="V326" s="26"/>
      <c r="W326" s="25"/>
      <c r="X326" s="25"/>
      <c r="Y326" s="25"/>
      <c r="Z326" s="25"/>
      <c r="AA326" s="25"/>
      <c r="AB326" s="25"/>
      <c r="AC326" s="25"/>
      <c r="AD326" s="25"/>
      <c r="AE326" s="25"/>
    </row>
    <row r="327">
      <c r="A327" s="76"/>
      <c r="B327" s="76"/>
      <c r="C327" s="76"/>
      <c r="D327" s="76"/>
      <c r="E327" s="76"/>
      <c r="F327" s="12">
        <v>322.0</v>
      </c>
      <c r="G327" s="25"/>
      <c r="H327" s="25"/>
      <c r="I327" s="25"/>
      <c r="J327" s="23"/>
      <c r="K327" s="23"/>
      <c r="L327" s="26"/>
      <c r="M327" s="26"/>
      <c r="N327" s="26"/>
      <c r="O327" s="26"/>
      <c r="P327" s="26"/>
      <c r="Q327" s="27"/>
      <c r="R327" s="26"/>
      <c r="S327" s="26"/>
      <c r="T327" s="26"/>
      <c r="U327" s="26"/>
      <c r="V327" s="26"/>
      <c r="W327" s="25"/>
      <c r="X327" s="25"/>
      <c r="Y327" s="25"/>
      <c r="Z327" s="25"/>
      <c r="AA327" s="25"/>
      <c r="AB327" s="25"/>
      <c r="AC327" s="25"/>
      <c r="AD327" s="25"/>
      <c r="AE327" s="25"/>
    </row>
    <row r="328">
      <c r="A328" s="76"/>
      <c r="B328" s="76"/>
      <c r="C328" s="76"/>
      <c r="D328" s="76"/>
      <c r="E328" s="76"/>
      <c r="F328" s="12">
        <v>323.0</v>
      </c>
      <c r="G328" s="25"/>
      <c r="H328" s="25"/>
      <c r="I328" s="25"/>
      <c r="J328" s="23"/>
      <c r="K328" s="23"/>
      <c r="L328" s="26"/>
      <c r="M328" s="26"/>
      <c r="N328" s="26"/>
      <c r="O328" s="26"/>
      <c r="P328" s="26"/>
      <c r="Q328" s="27"/>
      <c r="R328" s="26"/>
      <c r="S328" s="26"/>
      <c r="T328" s="26"/>
      <c r="U328" s="26"/>
      <c r="V328" s="26"/>
      <c r="W328" s="25"/>
      <c r="X328" s="25"/>
      <c r="Y328" s="25"/>
      <c r="Z328" s="25"/>
      <c r="AA328" s="25"/>
      <c r="AB328" s="25"/>
      <c r="AC328" s="25"/>
      <c r="AD328" s="25"/>
      <c r="AE328" s="25"/>
    </row>
    <row r="329">
      <c r="A329" s="76"/>
      <c r="B329" s="76"/>
      <c r="C329" s="76"/>
      <c r="D329" s="76"/>
      <c r="E329" s="76"/>
      <c r="F329" s="12">
        <v>324.0</v>
      </c>
      <c r="G329" s="25"/>
      <c r="H329" s="25"/>
      <c r="I329" s="25"/>
      <c r="J329" s="23"/>
      <c r="K329" s="23"/>
      <c r="L329" s="26"/>
      <c r="M329" s="26"/>
      <c r="N329" s="26"/>
      <c r="O329" s="26"/>
      <c r="P329" s="26"/>
      <c r="Q329" s="27"/>
      <c r="R329" s="26"/>
      <c r="S329" s="26"/>
      <c r="T329" s="26"/>
      <c r="U329" s="26"/>
      <c r="V329" s="26"/>
      <c r="W329" s="25"/>
      <c r="X329" s="25"/>
      <c r="Y329" s="25"/>
      <c r="Z329" s="25"/>
      <c r="AA329" s="25"/>
      <c r="AB329" s="25"/>
      <c r="AC329" s="25"/>
      <c r="AD329" s="25"/>
      <c r="AE329" s="25"/>
    </row>
    <row r="330">
      <c r="A330" s="76"/>
      <c r="B330" s="76"/>
      <c r="C330" s="76"/>
      <c r="D330" s="76"/>
      <c r="E330" s="76"/>
      <c r="F330" s="12">
        <v>325.0</v>
      </c>
      <c r="G330" s="25"/>
      <c r="H330" s="25"/>
      <c r="I330" s="25"/>
      <c r="J330" s="23"/>
      <c r="K330" s="23"/>
      <c r="L330" s="26"/>
      <c r="M330" s="26"/>
      <c r="N330" s="26"/>
      <c r="O330" s="26"/>
      <c r="P330" s="26"/>
      <c r="Q330" s="27"/>
      <c r="R330" s="26"/>
      <c r="S330" s="26"/>
      <c r="T330" s="26"/>
      <c r="U330" s="26"/>
      <c r="V330" s="26"/>
      <c r="W330" s="25"/>
      <c r="X330" s="25"/>
      <c r="Y330" s="25"/>
      <c r="Z330" s="25"/>
      <c r="AA330" s="25"/>
      <c r="AB330" s="25"/>
      <c r="AC330" s="25"/>
      <c r="AD330" s="25"/>
      <c r="AE330" s="25"/>
    </row>
    <row r="331">
      <c r="A331" s="76"/>
      <c r="B331" s="76"/>
      <c r="C331" s="76"/>
      <c r="D331" s="76"/>
      <c r="E331" s="76"/>
      <c r="F331" s="12">
        <v>326.0</v>
      </c>
      <c r="G331" s="25"/>
      <c r="H331" s="25"/>
      <c r="I331" s="25"/>
      <c r="J331" s="23"/>
      <c r="K331" s="23"/>
      <c r="L331" s="26"/>
      <c r="M331" s="26"/>
      <c r="N331" s="26"/>
      <c r="O331" s="26"/>
      <c r="P331" s="26"/>
      <c r="Q331" s="27"/>
      <c r="R331" s="26"/>
      <c r="S331" s="26"/>
      <c r="T331" s="26"/>
      <c r="U331" s="26"/>
      <c r="V331" s="26"/>
      <c r="W331" s="25"/>
      <c r="X331" s="25"/>
      <c r="Y331" s="25"/>
      <c r="Z331" s="25"/>
      <c r="AA331" s="25"/>
      <c r="AB331" s="25"/>
      <c r="AC331" s="25"/>
      <c r="AD331" s="25"/>
      <c r="AE331" s="25"/>
    </row>
    <row r="332">
      <c r="A332" s="76"/>
      <c r="B332" s="76"/>
      <c r="C332" s="76"/>
      <c r="D332" s="76"/>
      <c r="E332" s="76"/>
      <c r="F332" s="12">
        <v>327.0</v>
      </c>
      <c r="G332" s="25"/>
      <c r="H332" s="25"/>
      <c r="I332" s="25"/>
      <c r="J332" s="23"/>
      <c r="K332" s="23"/>
      <c r="L332" s="26"/>
      <c r="M332" s="26"/>
      <c r="N332" s="26"/>
      <c r="O332" s="26"/>
      <c r="P332" s="26"/>
      <c r="Q332" s="27"/>
      <c r="R332" s="26"/>
      <c r="S332" s="26"/>
      <c r="T332" s="26"/>
      <c r="U332" s="26"/>
      <c r="V332" s="26"/>
      <c r="W332" s="25"/>
      <c r="X332" s="25"/>
      <c r="Y332" s="25"/>
      <c r="Z332" s="25"/>
      <c r="AA332" s="25"/>
      <c r="AB332" s="25"/>
      <c r="AC332" s="25"/>
      <c r="AD332" s="25"/>
      <c r="AE332" s="25"/>
    </row>
    <row r="333">
      <c r="A333" s="76"/>
      <c r="B333" s="76"/>
      <c r="C333" s="76"/>
      <c r="D333" s="76"/>
      <c r="E333" s="76"/>
      <c r="F333" s="12">
        <v>328.0</v>
      </c>
      <c r="G333" s="25"/>
      <c r="H333" s="25"/>
      <c r="I333" s="25"/>
      <c r="J333" s="23"/>
      <c r="K333" s="23"/>
      <c r="L333" s="26"/>
      <c r="M333" s="26"/>
      <c r="N333" s="26"/>
      <c r="O333" s="26"/>
      <c r="P333" s="26"/>
      <c r="Q333" s="27"/>
      <c r="R333" s="26"/>
      <c r="S333" s="26"/>
      <c r="T333" s="26"/>
      <c r="U333" s="26"/>
      <c r="V333" s="26"/>
      <c r="W333" s="25"/>
      <c r="X333" s="25"/>
      <c r="Y333" s="25"/>
      <c r="Z333" s="25"/>
      <c r="AA333" s="25"/>
      <c r="AB333" s="25"/>
      <c r="AC333" s="25"/>
      <c r="AD333" s="25"/>
      <c r="AE333" s="25"/>
    </row>
    <row r="334">
      <c r="A334" s="76"/>
      <c r="B334" s="76"/>
      <c r="C334" s="76"/>
      <c r="D334" s="76"/>
      <c r="E334" s="76"/>
      <c r="F334" s="12">
        <v>329.0</v>
      </c>
      <c r="G334" s="25"/>
      <c r="H334" s="25"/>
      <c r="I334" s="25"/>
      <c r="J334" s="23"/>
      <c r="K334" s="23"/>
      <c r="L334" s="26"/>
      <c r="M334" s="26"/>
      <c r="N334" s="26"/>
      <c r="O334" s="26"/>
      <c r="P334" s="26"/>
      <c r="Q334" s="27"/>
      <c r="R334" s="26"/>
      <c r="S334" s="26"/>
      <c r="T334" s="26"/>
      <c r="U334" s="26"/>
      <c r="V334" s="26"/>
      <c r="W334" s="25"/>
      <c r="X334" s="25"/>
      <c r="Y334" s="25"/>
      <c r="Z334" s="25"/>
      <c r="AA334" s="25"/>
      <c r="AB334" s="25"/>
      <c r="AC334" s="25"/>
      <c r="AD334" s="25"/>
      <c r="AE334" s="25"/>
    </row>
    <row r="335">
      <c r="A335" s="76"/>
      <c r="B335" s="76"/>
      <c r="C335" s="76"/>
      <c r="D335" s="76"/>
      <c r="E335" s="76"/>
      <c r="F335" s="12">
        <v>330.0</v>
      </c>
      <c r="G335" s="25"/>
      <c r="H335" s="25"/>
      <c r="I335" s="25"/>
      <c r="J335" s="23"/>
      <c r="K335" s="23"/>
      <c r="L335" s="26"/>
      <c r="M335" s="26"/>
      <c r="N335" s="26"/>
      <c r="O335" s="26"/>
      <c r="P335" s="26"/>
      <c r="Q335" s="27"/>
      <c r="R335" s="26"/>
      <c r="S335" s="26"/>
      <c r="T335" s="26"/>
      <c r="U335" s="26"/>
      <c r="V335" s="26"/>
      <c r="W335" s="25"/>
      <c r="X335" s="25"/>
      <c r="Y335" s="25"/>
      <c r="Z335" s="25"/>
      <c r="AA335" s="25"/>
      <c r="AB335" s="25"/>
      <c r="AC335" s="25"/>
      <c r="AD335" s="25"/>
      <c r="AE335" s="25"/>
    </row>
    <row r="336">
      <c r="A336" s="76"/>
      <c r="B336" s="76"/>
      <c r="C336" s="76"/>
      <c r="D336" s="76"/>
      <c r="E336" s="76"/>
      <c r="F336" s="12">
        <v>331.0</v>
      </c>
      <c r="G336" s="25"/>
      <c r="H336" s="25"/>
      <c r="I336" s="25"/>
      <c r="J336" s="23"/>
      <c r="K336" s="23"/>
      <c r="L336" s="26"/>
      <c r="M336" s="26"/>
      <c r="N336" s="26"/>
      <c r="O336" s="26"/>
      <c r="P336" s="26"/>
      <c r="Q336" s="27"/>
      <c r="R336" s="26"/>
      <c r="S336" s="26"/>
      <c r="T336" s="26"/>
      <c r="U336" s="26"/>
      <c r="V336" s="26"/>
      <c r="W336" s="25"/>
      <c r="X336" s="25"/>
      <c r="Y336" s="25"/>
      <c r="Z336" s="25"/>
      <c r="AA336" s="25"/>
      <c r="AB336" s="25"/>
      <c r="AC336" s="25"/>
      <c r="AD336" s="25"/>
      <c r="AE336" s="25"/>
    </row>
    <row r="337">
      <c r="A337" s="76"/>
      <c r="B337" s="76"/>
      <c r="C337" s="76"/>
      <c r="D337" s="76"/>
      <c r="E337" s="76"/>
      <c r="F337" s="12">
        <v>332.0</v>
      </c>
      <c r="G337" s="25"/>
      <c r="H337" s="25"/>
      <c r="I337" s="25"/>
      <c r="J337" s="23"/>
      <c r="K337" s="23"/>
      <c r="L337" s="26"/>
      <c r="M337" s="26"/>
      <c r="N337" s="26"/>
      <c r="O337" s="26"/>
      <c r="P337" s="26"/>
      <c r="Q337" s="27"/>
      <c r="R337" s="26"/>
      <c r="S337" s="26"/>
      <c r="T337" s="26"/>
      <c r="U337" s="26"/>
      <c r="V337" s="26"/>
      <c r="W337" s="25"/>
      <c r="X337" s="25"/>
      <c r="Y337" s="25"/>
      <c r="Z337" s="25"/>
      <c r="AA337" s="25"/>
      <c r="AB337" s="25"/>
      <c r="AC337" s="25"/>
      <c r="AD337" s="25"/>
      <c r="AE337" s="25"/>
    </row>
    <row r="338">
      <c r="A338" s="76"/>
      <c r="B338" s="76"/>
      <c r="C338" s="76"/>
      <c r="D338" s="76"/>
      <c r="E338" s="76"/>
      <c r="F338" s="12">
        <v>333.0</v>
      </c>
      <c r="G338" s="25"/>
      <c r="H338" s="25"/>
      <c r="I338" s="25"/>
      <c r="J338" s="23"/>
      <c r="K338" s="23"/>
      <c r="L338" s="26"/>
      <c r="M338" s="26"/>
      <c r="N338" s="26"/>
      <c r="O338" s="26"/>
      <c r="P338" s="26"/>
      <c r="Q338" s="27"/>
      <c r="R338" s="26"/>
      <c r="S338" s="26"/>
      <c r="T338" s="26"/>
      <c r="U338" s="26"/>
      <c r="V338" s="26"/>
      <c r="W338" s="25"/>
      <c r="X338" s="25"/>
      <c r="Y338" s="25"/>
      <c r="Z338" s="25"/>
      <c r="AA338" s="25"/>
      <c r="AB338" s="25"/>
      <c r="AC338" s="25"/>
      <c r="AD338" s="25"/>
      <c r="AE338" s="25"/>
    </row>
    <row r="339">
      <c r="A339" s="76"/>
      <c r="B339" s="76"/>
      <c r="C339" s="76"/>
      <c r="D339" s="76"/>
      <c r="E339" s="76"/>
      <c r="F339" s="12">
        <v>334.0</v>
      </c>
      <c r="G339" s="25"/>
      <c r="H339" s="25"/>
      <c r="I339" s="25"/>
      <c r="J339" s="23"/>
      <c r="K339" s="23"/>
      <c r="L339" s="26"/>
      <c r="M339" s="26"/>
      <c r="N339" s="26"/>
      <c r="O339" s="26"/>
      <c r="P339" s="26"/>
      <c r="Q339" s="27"/>
      <c r="R339" s="26"/>
      <c r="S339" s="26"/>
      <c r="T339" s="26"/>
      <c r="U339" s="26"/>
      <c r="V339" s="26"/>
      <c r="W339" s="25"/>
      <c r="X339" s="25"/>
      <c r="Y339" s="25"/>
      <c r="Z339" s="25"/>
      <c r="AA339" s="25"/>
      <c r="AB339" s="25"/>
      <c r="AC339" s="25"/>
      <c r="AD339" s="25"/>
      <c r="AE339" s="25"/>
    </row>
    <row r="340">
      <c r="A340" s="76"/>
      <c r="B340" s="76"/>
      <c r="C340" s="76"/>
      <c r="D340" s="76"/>
      <c r="E340" s="76"/>
      <c r="F340" s="12">
        <v>335.0</v>
      </c>
      <c r="G340" s="25"/>
      <c r="H340" s="25"/>
      <c r="I340" s="25"/>
      <c r="J340" s="23"/>
      <c r="K340" s="23"/>
      <c r="L340" s="26"/>
      <c r="M340" s="26"/>
      <c r="N340" s="26"/>
      <c r="O340" s="26"/>
      <c r="P340" s="26"/>
      <c r="Q340" s="27"/>
      <c r="R340" s="26"/>
      <c r="S340" s="26"/>
      <c r="T340" s="26"/>
      <c r="U340" s="26"/>
      <c r="V340" s="26"/>
      <c r="W340" s="25"/>
      <c r="X340" s="25"/>
      <c r="Y340" s="25"/>
      <c r="Z340" s="25"/>
      <c r="AA340" s="25"/>
      <c r="AB340" s="25"/>
      <c r="AC340" s="25"/>
      <c r="AD340" s="25"/>
      <c r="AE340" s="25"/>
    </row>
    <row r="341">
      <c r="A341" s="76"/>
      <c r="B341" s="76"/>
      <c r="C341" s="76"/>
      <c r="D341" s="76"/>
      <c r="E341" s="76"/>
      <c r="F341" s="12">
        <v>336.0</v>
      </c>
      <c r="G341" s="25"/>
      <c r="H341" s="25"/>
      <c r="I341" s="25"/>
      <c r="J341" s="23"/>
      <c r="K341" s="23"/>
      <c r="L341" s="26"/>
      <c r="M341" s="26"/>
      <c r="N341" s="26"/>
      <c r="O341" s="26"/>
      <c r="P341" s="26"/>
      <c r="Q341" s="27"/>
      <c r="R341" s="26"/>
      <c r="S341" s="26"/>
      <c r="T341" s="26"/>
      <c r="U341" s="26"/>
      <c r="V341" s="26"/>
      <c r="W341" s="25"/>
      <c r="X341" s="25"/>
      <c r="Y341" s="25"/>
      <c r="Z341" s="25"/>
      <c r="AA341" s="25"/>
      <c r="AB341" s="25"/>
      <c r="AC341" s="25"/>
      <c r="AD341" s="25"/>
      <c r="AE341" s="25"/>
    </row>
    <row r="342">
      <c r="A342" s="76"/>
      <c r="B342" s="76"/>
      <c r="C342" s="76"/>
      <c r="D342" s="76"/>
      <c r="E342" s="76"/>
      <c r="F342" s="12">
        <v>337.0</v>
      </c>
      <c r="G342" s="25"/>
      <c r="H342" s="25"/>
      <c r="I342" s="25"/>
      <c r="J342" s="23"/>
      <c r="K342" s="23"/>
      <c r="L342" s="26"/>
      <c r="M342" s="26"/>
      <c r="N342" s="26"/>
      <c r="O342" s="26"/>
      <c r="P342" s="26"/>
      <c r="Q342" s="27"/>
      <c r="R342" s="26"/>
      <c r="S342" s="26"/>
      <c r="T342" s="26"/>
      <c r="U342" s="26"/>
      <c r="V342" s="26"/>
      <c r="W342" s="25"/>
      <c r="X342" s="25"/>
      <c r="Y342" s="25"/>
      <c r="Z342" s="25"/>
      <c r="AA342" s="25"/>
      <c r="AB342" s="25"/>
      <c r="AC342" s="25"/>
      <c r="AD342" s="25"/>
      <c r="AE342" s="25"/>
    </row>
    <row r="343">
      <c r="A343" s="76"/>
      <c r="B343" s="76"/>
      <c r="C343" s="76"/>
      <c r="D343" s="76"/>
      <c r="E343" s="76"/>
      <c r="F343" s="12">
        <v>338.0</v>
      </c>
      <c r="G343" s="25"/>
      <c r="H343" s="25"/>
      <c r="I343" s="25"/>
      <c r="J343" s="23"/>
      <c r="K343" s="23"/>
      <c r="L343" s="26"/>
      <c r="M343" s="26"/>
      <c r="N343" s="26"/>
      <c r="O343" s="26"/>
      <c r="P343" s="26"/>
      <c r="Q343" s="27"/>
      <c r="R343" s="26"/>
      <c r="S343" s="26"/>
      <c r="T343" s="26"/>
      <c r="U343" s="26"/>
      <c r="V343" s="26"/>
      <c r="W343" s="25"/>
      <c r="X343" s="25"/>
      <c r="Y343" s="25"/>
      <c r="Z343" s="25"/>
      <c r="AA343" s="25"/>
      <c r="AB343" s="25"/>
      <c r="AC343" s="25"/>
      <c r="AD343" s="25"/>
      <c r="AE343" s="25"/>
    </row>
    <row r="344">
      <c r="A344" s="76"/>
      <c r="B344" s="76"/>
      <c r="C344" s="76"/>
      <c r="D344" s="76"/>
      <c r="E344" s="76"/>
      <c r="F344" s="12">
        <v>339.0</v>
      </c>
      <c r="G344" s="25"/>
      <c r="H344" s="25"/>
      <c r="I344" s="25"/>
      <c r="J344" s="23"/>
      <c r="K344" s="23"/>
      <c r="L344" s="26"/>
      <c r="M344" s="26"/>
      <c r="N344" s="26"/>
      <c r="O344" s="26"/>
      <c r="P344" s="26"/>
      <c r="Q344" s="27"/>
      <c r="R344" s="26"/>
      <c r="S344" s="26"/>
      <c r="T344" s="26"/>
      <c r="U344" s="26"/>
      <c r="V344" s="26"/>
      <c r="W344" s="25"/>
      <c r="X344" s="25"/>
      <c r="Y344" s="25"/>
      <c r="Z344" s="25"/>
      <c r="AA344" s="25"/>
      <c r="AB344" s="25"/>
      <c r="AC344" s="25"/>
      <c r="AD344" s="25"/>
      <c r="AE344" s="25"/>
    </row>
    <row r="345">
      <c r="A345" s="76"/>
      <c r="B345" s="76"/>
      <c r="C345" s="76"/>
      <c r="D345" s="76"/>
      <c r="E345" s="76"/>
      <c r="F345" s="12">
        <v>340.0</v>
      </c>
      <c r="G345" s="25"/>
      <c r="H345" s="25"/>
      <c r="I345" s="25"/>
      <c r="J345" s="23"/>
      <c r="K345" s="23"/>
      <c r="L345" s="26"/>
      <c r="M345" s="26"/>
      <c r="N345" s="26"/>
      <c r="O345" s="26"/>
      <c r="P345" s="26"/>
      <c r="Q345" s="27"/>
      <c r="R345" s="26"/>
      <c r="S345" s="26"/>
      <c r="T345" s="26"/>
      <c r="U345" s="26"/>
      <c r="V345" s="26"/>
      <c r="W345" s="25"/>
      <c r="X345" s="25"/>
      <c r="Y345" s="25"/>
      <c r="Z345" s="25"/>
      <c r="AA345" s="25"/>
      <c r="AB345" s="25"/>
      <c r="AC345" s="25"/>
      <c r="AD345" s="25"/>
      <c r="AE345" s="25"/>
    </row>
    <row r="346">
      <c r="A346" s="76"/>
      <c r="B346" s="76"/>
      <c r="C346" s="76"/>
      <c r="D346" s="76"/>
      <c r="E346" s="76"/>
      <c r="F346" s="12">
        <v>341.0</v>
      </c>
      <c r="G346" s="25"/>
      <c r="H346" s="25"/>
      <c r="I346" s="25"/>
      <c r="J346" s="23"/>
      <c r="K346" s="23"/>
      <c r="L346" s="26"/>
      <c r="M346" s="26"/>
      <c r="N346" s="26"/>
      <c r="O346" s="26"/>
      <c r="P346" s="26"/>
      <c r="Q346" s="27"/>
      <c r="R346" s="26"/>
      <c r="S346" s="26"/>
      <c r="T346" s="26"/>
      <c r="U346" s="26"/>
      <c r="V346" s="26"/>
      <c r="W346" s="25"/>
      <c r="X346" s="25"/>
      <c r="Y346" s="25"/>
      <c r="Z346" s="25"/>
      <c r="AA346" s="25"/>
      <c r="AB346" s="25"/>
      <c r="AC346" s="25"/>
      <c r="AD346" s="25"/>
      <c r="AE346" s="25"/>
    </row>
    <row r="347">
      <c r="A347" s="76"/>
      <c r="B347" s="76"/>
      <c r="C347" s="76"/>
      <c r="D347" s="76"/>
      <c r="E347" s="76"/>
      <c r="F347" s="12">
        <v>342.0</v>
      </c>
      <c r="G347" s="25"/>
      <c r="H347" s="25"/>
      <c r="I347" s="25"/>
      <c r="J347" s="23"/>
      <c r="K347" s="23"/>
      <c r="L347" s="26"/>
      <c r="M347" s="26"/>
      <c r="N347" s="26"/>
      <c r="O347" s="26"/>
      <c r="P347" s="26"/>
      <c r="Q347" s="27"/>
      <c r="R347" s="26"/>
      <c r="S347" s="26"/>
      <c r="T347" s="26"/>
      <c r="U347" s="26"/>
      <c r="V347" s="26"/>
      <c r="W347" s="25"/>
      <c r="X347" s="25"/>
      <c r="Y347" s="25"/>
      <c r="Z347" s="25"/>
      <c r="AA347" s="25"/>
      <c r="AB347" s="25"/>
      <c r="AC347" s="25"/>
      <c r="AD347" s="25"/>
      <c r="AE347" s="25"/>
    </row>
    <row r="348">
      <c r="A348" s="76"/>
      <c r="B348" s="76"/>
      <c r="C348" s="76"/>
      <c r="D348" s="76"/>
      <c r="E348" s="76"/>
      <c r="F348" s="12">
        <v>343.0</v>
      </c>
      <c r="G348" s="25"/>
      <c r="H348" s="25"/>
      <c r="I348" s="25"/>
      <c r="J348" s="23"/>
      <c r="K348" s="23"/>
      <c r="L348" s="26"/>
      <c r="M348" s="26"/>
      <c r="N348" s="26"/>
      <c r="O348" s="26"/>
      <c r="P348" s="26"/>
      <c r="Q348" s="27"/>
      <c r="R348" s="26"/>
      <c r="S348" s="26"/>
      <c r="T348" s="26"/>
      <c r="U348" s="26"/>
      <c r="V348" s="26"/>
      <c r="W348" s="25"/>
      <c r="X348" s="25"/>
      <c r="Y348" s="25"/>
      <c r="Z348" s="25"/>
      <c r="AA348" s="25"/>
      <c r="AB348" s="25"/>
      <c r="AC348" s="25"/>
      <c r="AD348" s="25"/>
      <c r="AE348" s="25"/>
    </row>
    <row r="349">
      <c r="A349" s="76"/>
      <c r="B349" s="76"/>
      <c r="C349" s="76"/>
      <c r="D349" s="76"/>
      <c r="E349" s="76"/>
      <c r="F349" s="12">
        <v>344.0</v>
      </c>
      <c r="G349" s="25"/>
      <c r="H349" s="25"/>
      <c r="I349" s="25"/>
      <c r="J349" s="23"/>
      <c r="K349" s="23"/>
      <c r="L349" s="26"/>
      <c r="M349" s="26"/>
      <c r="N349" s="26"/>
      <c r="O349" s="26"/>
      <c r="P349" s="26"/>
      <c r="Q349" s="27"/>
      <c r="R349" s="26"/>
      <c r="S349" s="26"/>
      <c r="T349" s="26"/>
      <c r="U349" s="26"/>
      <c r="V349" s="26"/>
      <c r="W349" s="25"/>
      <c r="X349" s="25"/>
      <c r="Y349" s="25"/>
      <c r="Z349" s="25"/>
      <c r="AA349" s="25"/>
      <c r="AB349" s="25"/>
      <c r="AC349" s="25"/>
      <c r="AD349" s="25"/>
      <c r="AE349" s="25"/>
    </row>
    <row r="350">
      <c r="A350" s="76"/>
      <c r="B350" s="76"/>
      <c r="C350" s="76"/>
      <c r="D350" s="76"/>
      <c r="E350" s="76"/>
      <c r="F350" s="12">
        <v>345.0</v>
      </c>
      <c r="G350" s="25"/>
      <c r="H350" s="25"/>
      <c r="I350" s="25"/>
      <c r="J350" s="23"/>
      <c r="K350" s="23"/>
      <c r="L350" s="26"/>
      <c r="M350" s="26"/>
      <c r="N350" s="26"/>
      <c r="O350" s="26"/>
      <c r="P350" s="26"/>
      <c r="Q350" s="27"/>
      <c r="R350" s="26"/>
      <c r="S350" s="26"/>
      <c r="T350" s="26"/>
      <c r="U350" s="26"/>
      <c r="V350" s="26"/>
      <c r="W350" s="25"/>
      <c r="X350" s="25"/>
      <c r="Y350" s="25"/>
      <c r="Z350" s="25"/>
      <c r="AA350" s="25"/>
      <c r="AB350" s="25"/>
      <c r="AC350" s="25"/>
      <c r="AD350" s="25"/>
      <c r="AE350" s="25"/>
    </row>
    <row r="351">
      <c r="A351" s="76"/>
      <c r="B351" s="76"/>
      <c r="C351" s="76"/>
      <c r="D351" s="76"/>
      <c r="E351" s="76"/>
      <c r="F351" s="12">
        <v>346.0</v>
      </c>
      <c r="G351" s="25"/>
      <c r="H351" s="25"/>
      <c r="I351" s="25"/>
      <c r="J351" s="23"/>
      <c r="K351" s="23"/>
      <c r="L351" s="26"/>
      <c r="M351" s="26"/>
      <c r="N351" s="26"/>
      <c r="O351" s="26"/>
      <c r="P351" s="26"/>
      <c r="Q351" s="27"/>
      <c r="R351" s="26"/>
      <c r="S351" s="26"/>
      <c r="T351" s="26"/>
      <c r="U351" s="26"/>
      <c r="V351" s="26"/>
      <c r="W351" s="25"/>
      <c r="X351" s="25"/>
      <c r="Y351" s="25"/>
      <c r="Z351" s="25"/>
      <c r="AA351" s="25"/>
      <c r="AB351" s="25"/>
      <c r="AC351" s="25"/>
      <c r="AD351" s="25"/>
      <c r="AE351" s="25"/>
    </row>
    <row r="352">
      <c r="A352" s="76"/>
      <c r="B352" s="76"/>
      <c r="C352" s="76"/>
      <c r="D352" s="76"/>
      <c r="E352" s="76"/>
      <c r="F352" s="12">
        <v>347.0</v>
      </c>
      <c r="G352" s="25"/>
      <c r="H352" s="25"/>
      <c r="I352" s="25"/>
      <c r="J352" s="23"/>
      <c r="K352" s="23"/>
      <c r="L352" s="26"/>
      <c r="M352" s="26"/>
      <c r="N352" s="26"/>
      <c r="O352" s="26"/>
      <c r="P352" s="26"/>
      <c r="Q352" s="27"/>
      <c r="R352" s="26"/>
      <c r="S352" s="26"/>
      <c r="T352" s="26"/>
      <c r="U352" s="26"/>
      <c r="V352" s="26"/>
      <c r="W352" s="25"/>
      <c r="X352" s="25"/>
      <c r="Y352" s="25"/>
      <c r="Z352" s="25"/>
      <c r="AA352" s="25"/>
      <c r="AB352" s="25"/>
      <c r="AC352" s="25"/>
      <c r="AD352" s="25"/>
      <c r="AE352" s="25"/>
    </row>
    <row r="353">
      <c r="A353" s="76"/>
      <c r="B353" s="76"/>
      <c r="C353" s="76"/>
      <c r="D353" s="76"/>
      <c r="E353" s="76"/>
      <c r="F353" s="12">
        <v>348.0</v>
      </c>
      <c r="G353" s="25"/>
      <c r="H353" s="25"/>
      <c r="I353" s="25"/>
      <c r="J353" s="23"/>
      <c r="K353" s="23"/>
      <c r="L353" s="26"/>
      <c r="M353" s="26"/>
      <c r="N353" s="26"/>
      <c r="O353" s="26"/>
      <c r="P353" s="26"/>
      <c r="Q353" s="27"/>
      <c r="R353" s="26"/>
      <c r="S353" s="26"/>
      <c r="T353" s="26"/>
      <c r="U353" s="26"/>
      <c r="V353" s="26"/>
      <c r="W353" s="25"/>
      <c r="X353" s="25"/>
      <c r="Y353" s="25"/>
      <c r="Z353" s="25"/>
      <c r="AA353" s="25"/>
      <c r="AB353" s="25"/>
      <c r="AC353" s="25"/>
      <c r="AD353" s="25"/>
      <c r="AE353" s="25"/>
    </row>
    <row r="354">
      <c r="A354" s="76"/>
      <c r="B354" s="76"/>
      <c r="C354" s="76"/>
      <c r="D354" s="76"/>
      <c r="E354" s="76"/>
      <c r="F354" s="12">
        <v>349.0</v>
      </c>
      <c r="G354" s="25"/>
      <c r="H354" s="25"/>
      <c r="I354" s="25"/>
      <c r="J354" s="23"/>
      <c r="K354" s="23"/>
      <c r="L354" s="26"/>
      <c r="M354" s="26"/>
      <c r="N354" s="26"/>
      <c r="O354" s="26"/>
      <c r="P354" s="26"/>
      <c r="Q354" s="27"/>
      <c r="R354" s="26"/>
      <c r="S354" s="26"/>
      <c r="T354" s="26"/>
      <c r="U354" s="26"/>
      <c r="V354" s="26"/>
      <c r="W354" s="25"/>
      <c r="X354" s="25"/>
      <c r="Y354" s="25"/>
      <c r="Z354" s="25"/>
      <c r="AA354" s="25"/>
      <c r="AB354" s="25"/>
      <c r="AC354" s="25"/>
      <c r="AD354" s="25"/>
      <c r="AE354" s="25"/>
    </row>
    <row r="355">
      <c r="A355" s="76"/>
      <c r="B355" s="76"/>
      <c r="C355" s="76"/>
      <c r="D355" s="76"/>
      <c r="E355" s="76"/>
      <c r="F355" s="12">
        <v>350.0</v>
      </c>
      <c r="G355" s="25"/>
      <c r="H355" s="25"/>
      <c r="I355" s="25"/>
      <c r="J355" s="23"/>
      <c r="K355" s="23"/>
      <c r="L355" s="26"/>
      <c r="M355" s="26"/>
      <c r="N355" s="26"/>
      <c r="O355" s="26"/>
      <c r="P355" s="26"/>
      <c r="Q355" s="27"/>
      <c r="R355" s="26"/>
      <c r="S355" s="26"/>
      <c r="T355" s="26"/>
      <c r="U355" s="26"/>
      <c r="V355" s="26"/>
      <c r="W355" s="25"/>
      <c r="X355" s="25"/>
      <c r="Y355" s="25"/>
      <c r="Z355" s="25"/>
      <c r="AA355" s="25"/>
      <c r="AB355" s="25"/>
      <c r="AC355" s="25"/>
      <c r="AD355" s="25"/>
      <c r="AE355" s="25"/>
    </row>
    <row r="356">
      <c r="A356" s="76"/>
      <c r="B356" s="76"/>
      <c r="C356" s="76"/>
      <c r="D356" s="76"/>
      <c r="E356" s="76"/>
      <c r="F356" s="12">
        <v>351.0</v>
      </c>
      <c r="G356" s="25"/>
      <c r="H356" s="25"/>
      <c r="I356" s="25"/>
      <c r="J356" s="23"/>
      <c r="K356" s="23"/>
      <c r="L356" s="26"/>
      <c r="M356" s="26"/>
      <c r="N356" s="26"/>
      <c r="O356" s="26"/>
      <c r="P356" s="26"/>
      <c r="Q356" s="27"/>
      <c r="R356" s="26"/>
      <c r="S356" s="26"/>
      <c r="T356" s="26"/>
      <c r="U356" s="26"/>
      <c r="V356" s="26"/>
      <c r="W356" s="25"/>
      <c r="X356" s="25"/>
      <c r="Y356" s="25"/>
      <c r="Z356" s="25"/>
      <c r="AA356" s="25"/>
      <c r="AB356" s="25"/>
      <c r="AC356" s="25"/>
      <c r="AD356" s="25"/>
      <c r="AE356" s="25"/>
    </row>
    <row r="357">
      <c r="A357" s="76"/>
      <c r="B357" s="76"/>
      <c r="C357" s="76"/>
      <c r="D357" s="76"/>
      <c r="E357" s="76"/>
      <c r="F357" s="12">
        <v>352.0</v>
      </c>
      <c r="G357" s="25"/>
      <c r="H357" s="25"/>
      <c r="I357" s="25"/>
      <c r="J357" s="23"/>
      <c r="K357" s="23"/>
      <c r="L357" s="26"/>
      <c r="M357" s="26"/>
      <c r="N357" s="26"/>
      <c r="O357" s="26"/>
      <c r="P357" s="26"/>
      <c r="Q357" s="27"/>
      <c r="R357" s="26"/>
      <c r="S357" s="26"/>
      <c r="T357" s="26"/>
      <c r="U357" s="26"/>
      <c r="V357" s="26"/>
      <c r="W357" s="25"/>
      <c r="X357" s="25"/>
      <c r="Y357" s="25"/>
      <c r="Z357" s="25"/>
      <c r="AA357" s="25"/>
      <c r="AB357" s="25"/>
      <c r="AC357" s="25"/>
      <c r="AD357" s="25"/>
      <c r="AE357" s="25"/>
    </row>
    <row r="358">
      <c r="A358" s="76"/>
      <c r="B358" s="76"/>
      <c r="C358" s="76"/>
      <c r="D358" s="76"/>
      <c r="E358" s="76"/>
      <c r="F358" s="12">
        <v>353.0</v>
      </c>
      <c r="G358" s="25"/>
      <c r="H358" s="25"/>
      <c r="I358" s="25"/>
      <c r="J358" s="23"/>
      <c r="K358" s="23"/>
      <c r="L358" s="26"/>
      <c r="M358" s="26"/>
      <c r="N358" s="26"/>
      <c r="O358" s="26"/>
      <c r="P358" s="26"/>
      <c r="Q358" s="27"/>
      <c r="R358" s="26"/>
      <c r="S358" s="26"/>
      <c r="T358" s="26"/>
      <c r="U358" s="26"/>
      <c r="V358" s="26"/>
      <c r="W358" s="25"/>
      <c r="X358" s="25"/>
      <c r="Y358" s="25"/>
      <c r="Z358" s="25"/>
      <c r="AA358" s="25"/>
      <c r="AB358" s="25"/>
      <c r="AC358" s="25"/>
      <c r="AD358" s="25"/>
      <c r="AE358" s="25"/>
    </row>
    <row r="359">
      <c r="A359" s="76"/>
      <c r="B359" s="76"/>
      <c r="C359" s="76"/>
      <c r="D359" s="76"/>
      <c r="E359" s="76"/>
      <c r="F359" s="12">
        <v>354.0</v>
      </c>
      <c r="G359" s="25"/>
      <c r="H359" s="25"/>
      <c r="I359" s="25"/>
      <c r="J359" s="23"/>
      <c r="K359" s="23"/>
      <c r="L359" s="26"/>
      <c r="M359" s="26"/>
      <c r="N359" s="26"/>
      <c r="O359" s="26"/>
      <c r="P359" s="26"/>
      <c r="Q359" s="27"/>
      <c r="R359" s="26"/>
      <c r="S359" s="26"/>
      <c r="T359" s="26"/>
      <c r="U359" s="26"/>
      <c r="V359" s="26"/>
      <c r="W359" s="25"/>
      <c r="X359" s="25"/>
      <c r="Y359" s="25"/>
      <c r="Z359" s="25"/>
      <c r="AA359" s="25"/>
      <c r="AB359" s="25"/>
      <c r="AC359" s="25"/>
      <c r="AD359" s="25"/>
      <c r="AE359" s="25"/>
    </row>
    <row r="360">
      <c r="A360" s="76"/>
      <c r="B360" s="76"/>
      <c r="C360" s="76"/>
      <c r="D360" s="76"/>
      <c r="E360" s="76"/>
      <c r="F360" s="12">
        <v>355.0</v>
      </c>
      <c r="G360" s="25"/>
      <c r="H360" s="25"/>
      <c r="I360" s="25"/>
      <c r="J360" s="23"/>
      <c r="K360" s="23"/>
      <c r="L360" s="26"/>
      <c r="M360" s="26"/>
      <c r="N360" s="26"/>
      <c r="O360" s="26"/>
      <c r="P360" s="26"/>
      <c r="Q360" s="27"/>
      <c r="R360" s="26"/>
      <c r="S360" s="26"/>
      <c r="T360" s="26"/>
      <c r="U360" s="26"/>
      <c r="V360" s="26"/>
      <c r="W360" s="25"/>
      <c r="X360" s="25"/>
      <c r="Y360" s="25"/>
      <c r="Z360" s="25"/>
      <c r="AA360" s="25"/>
      <c r="AB360" s="25"/>
      <c r="AC360" s="25"/>
      <c r="AD360" s="25"/>
      <c r="AE360" s="25"/>
    </row>
    <row r="361">
      <c r="A361" s="76"/>
      <c r="B361" s="76"/>
      <c r="C361" s="76"/>
      <c r="D361" s="76"/>
      <c r="E361" s="76"/>
      <c r="F361" s="12">
        <v>356.0</v>
      </c>
      <c r="G361" s="25"/>
      <c r="H361" s="25"/>
      <c r="I361" s="25"/>
      <c r="J361" s="23"/>
      <c r="K361" s="23"/>
      <c r="L361" s="26"/>
      <c r="M361" s="26"/>
      <c r="N361" s="26"/>
      <c r="O361" s="26"/>
      <c r="P361" s="26"/>
      <c r="Q361" s="27"/>
      <c r="R361" s="26"/>
      <c r="S361" s="26"/>
      <c r="T361" s="26"/>
      <c r="U361" s="26"/>
      <c r="V361" s="26"/>
      <c r="W361" s="25"/>
      <c r="X361" s="25"/>
      <c r="Y361" s="25"/>
      <c r="Z361" s="25"/>
      <c r="AA361" s="25"/>
      <c r="AB361" s="25"/>
      <c r="AC361" s="25"/>
      <c r="AD361" s="25"/>
      <c r="AE361" s="25"/>
    </row>
    <row r="362">
      <c r="A362" s="76"/>
      <c r="B362" s="76"/>
      <c r="C362" s="76"/>
      <c r="D362" s="76"/>
      <c r="E362" s="76"/>
      <c r="F362" s="12">
        <v>357.0</v>
      </c>
      <c r="G362" s="25"/>
      <c r="H362" s="25"/>
      <c r="I362" s="25"/>
      <c r="J362" s="23"/>
      <c r="K362" s="23"/>
      <c r="L362" s="26"/>
      <c r="M362" s="26"/>
      <c r="N362" s="26"/>
      <c r="O362" s="26"/>
      <c r="P362" s="26"/>
      <c r="Q362" s="27"/>
      <c r="R362" s="26"/>
      <c r="S362" s="26"/>
      <c r="T362" s="26"/>
      <c r="U362" s="26"/>
      <c r="V362" s="26"/>
      <c r="W362" s="25"/>
      <c r="X362" s="25"/>
      <c r="Y362" s="25"/>
      <c r="Z362" s="25"/>
      <c r="AA362" s="25"/>
      <c r="AB362" s="25"/>
      <c r="AC362" s="25"/>
      <c r="AD362" s="25"/>
      <c r="AE362" s="25"/>
    </row>
    <row r="363">
      <c r="A363" s="76"/>
      <c r="B363" s="76"/>
      <c r="C363" s="76"/>
      <c r="D363" s="76"/>
      <c r="E363" s="76"/>
      <c r="F363" s="12">
        <v>358.0</v>
      </c>
      <c r="G363" s="25"/>
      <c r="H363" s="25"/>
      <c r="I363" s="25"/>
      <c r="J363" s="23"/>
      <c r="K363" s="23"/>
      <c r="L363" s="26"/>
      <c r="M363" s="26"/>
      <c r="N363" s="26"/>
      <c r="O363" s="26"/>
      <c r="P363" s="26"/>
      <c r="Q363" s="27"/>
      <c r="R363" s="26"/>
      <c r="S363" s="26"/>
      <c r="T363" s="26"/>
      <c r="U363" s="26"/>
      <c r="V363" s="26"/>
      <c r="W363" s="25"/>
      <c r="X363" s="25"/>
      <c r="Y363" s="25"/>
      <c r="Z363" s="25"/>
      <c r="AA363" s="25"/>
      <c r="AB363" s="25"/>
      <c r="AC363" s="25"/>
      <c r="AD363" s="25"/>
      <c r="AE363" s="25"/>
    </row>
    <row r="364">
      <c r="A364" s="76"/>
      <c r="B364" s="76"/>
      <c r="C364" s="76"/>
      <c r="D364" s="76"/>
      <c r="E364" s="76"/>
      <c r="F364" s="12">
        <v>359.0</v>
      </c>
      <c r="G364" s="25"/>
      <c r="H364" s="25"/>
      <c r="I364" s="25"/>
      <c r="J364" s="23"/>
      <c r="K364" s="23"/>
      <c r="L364" s="26"/>
      <c r="M364" s="26"/>
      <c r="N364" s="26"/>
      <c r="O364" s="26"/>
      <c r="P364" s="26"/>
      <c r="Q364" s="27"/>
      <c r="R364" s="26"/>
      <c r="S364" s="26"/>
      <c r="T364" s="26"/>
      <c r="U364" s="26"/>
      <c r="V364" s="26"/>
      <c r="W364" s="25"/>
      <c r="X364" s="25"/>
      <c r="Y364" s="25"/>
      <c r="Z364" s="25"/>
      <c r="AA364" s="25"/>
      <c r="AB364" s="25"/>
      <c r="AC364" s="25"/>
      <c r="AD364" s="25"/>
      <c r="AE364" s="25"/>
    </row>
    <row r="365">
      <c r="A365" s="76"/>
      <c r="B365" s="76"/>
      <c r="C365" s="76"/>
      <c r="D365" s="76"/>
      <c r="E365" s="76"/>
      <c r="F365" s="12">
        <v>360.0</v>
      </c>
      <c r="G365" s="25"/>
      <c r="H365" s="25"/>
      <c r="I365" s="25"/>
      <c r="J365" s="23"/>
      <c r="K365" s="23"/>
      <c r="L365" s="26"/>
      <c r="M365" s="26"/>
      <c r="N365" s="26"/>
      <c r="O365" s="26"/>
      <c r="P365" s="26"/>
      <c r="Q365" s="27"/>
      <c r="R365" s="26"/>
      <c r="S365" s="26"/>
      <c r="T365" s="26"/>
      <c r="U365" s="26"/>
      <c r="V365" s="26"/>
      <c r="W365" s="25"/>
      <c r="X365" s="25"/>
      <c r="Y365" s="25"/>
      <c r="Z365" s="25"/>
      <c r="AA365" s="25"/>
      <c r="AB365" s="25"/>
      <c r="AC365" s="25"/>
      <c r="AD365" s="25"/>
      <c r="AE365" s="25"/>
    </row>
    <row r="366">
      <c r="A366" s="76"/>
      <c r="B366" s="76"/>
      <c r="C366" s="76"/>
      <c r="D366" s="76"/>
      <c r="E366" s="76"/>
      <c r="F366" s="12">
        <v>361.0</v>
      </c>
      <c r="G366" s="25"/>
      <c r="H366" s="25"/>
      <c r="I366" s="25"/>
      <c r="J366" s="23"/>
      <c r="K366" s="23"/>
      <c r="L366" s="26"/>
      <c r="M366" s="26"/>
      <c r="N366" s="26"/>
      <c r="O366" s="26"/>
      <c r="P366" s="26"/>
      <c r="Q366" s="27"/>
      <c r="R366" s="26"/>
      <c r="S366" s="26"/>
      <c r="T366" s="26"/>
      <c r="U366" s="26"/>
      <c r="V366" s="26"/>
      <c r="W366" s="25"/>
      <c r="X366" s="25"/>
      <c r="Y366" s="25"/>
      <c r="Z366" s="25"/>
      <c r="AA366" s="25"/>
      <c r="AB366" s="25"/>
      <c r="AC366" s="25"/>
      <c r="AD366" s="25"/>
      <c r="AE366" s="25"/>
    </row>
    <row r="367">
      <c r="A367" s="76"/>
      <c r="B367" s="76"/>
      <c r="C367" s="76"/>
      <c r="D367" s="76"/>
      <c r="E367" s="76"/>
      <c r="F367" s="12">
        <v>362.0</v>
      </c>
      <c r="G367" s="25"/>
      <c r="H367" s="25"/>
      <c r="I367" s="25"/>
      <c r="J367" s="23"/>
      <c r="K367" s="23"/>
      <c r="L367" s="26"/>
      <c r="M367" s="26"/>
      <c r="N367" s="26"/>
      <c r="O367" s="26"/>
      <c r="P367" s="26"/>
      <c r="Q367" s="27"/>
      <c r="R367" s="26"/>
      <c r="S367" s="26"/>
      <c r="T367" s="26"/>
      <c r="U367" s="26"/>
      <c r="V367" s="26"/>
      <c r="W367" s="25"/>
      <c r="X367" s="25"/>
      <c r="Y367" s="25"/>
      <c r="Z367" s="25"/>
      <c r="AA367" s="25"/>
      <c r="AB367" s="25"/>
      <c r="AC367" s="25"/>
      <c r="AD367" s="25"/>
      <c r="AE367" s="25"/>
    </row>
    <row r="368">
      <c r="A368" s="76"/>
      <c r="B368" s="76"/>
      <c r="C368" s="76"/>
      <c r="D368" s="76"/>
      <c r="E368" s="76"/>
      <c r="F368" s="12">
        <v>363.0</v>
      </c>
      <c r="G368" s="25"/>
      <c r="H368" s="25"/>
      <c r="I368" s="25"/>
      <c r="J368" s="23"/>
      <c r="K368" s="23"/>
      <c r="L368" s="26"/>
      <c r="M368" s="26"/>
      <c r="N368" s="26"/>
      <c r="O368" s="26"/>
      <c r="P368" s="26"/>
      <c r="Q368" s="27"/>
      <c r="R368" s="26"/>
      <c r="S368" s="26"/>
      <c r="T368" s="26"/>
      <c r="U368" s="26"/>
      <c r="V368" s="26"/>
      <c r="W368" s="25"/>
      <c r="X368" s="25"/>
      <c r="Y368" s="25"/>
      <c r="Z368" s="25"/>
      <c r="AA368" s="25"/>
      <c r="AB368" s="25"/>
      <c r="AC368" s="25"/>
      <c r="AD368" s="25"/>
      <c r="AE368" s="25"/>
    </row>
    <row r="369">
      <c r="A369" s="76"/>
      <c r="B369" s="76"/>
      <c r="C369" s="76"/>
      <c r="D369" s="76"/>
      <c r="E369" s="76"/>
      <c r="F369" s="12">
        <v>364.0</v>
      </c>
      <c r="G369" s="25"/>
      <c r="H369" s="25"/>
      <c r="I369" s="25"/>
      <c r="J369" s="23"/>
      <c r="K369" s="23"/>
      <c r="L369" s="26"/>
      <c r="M369" s="26"/>
      <c r="N369" s="26"/>
      <c r="O369" s="26"/>
      <c r="P369" s="26"/>
      <c r="Q369" s="27"/>
      <c r="R369" s="26"/>
      <c r="S369" s="26"/>
      <c r="T369" s="26"/>
      <c r="U369" s="26"/>
      <c r="V369" s="26"/>
      <c r="W369" s="25"/>
      <c r="X369" s="25"/>
      <c r="Y369" s="25"/>
      <c r="Z369" s="25"/>
      <c r="AA369" s="25"/>
      <c r="AB369" s="25"/>
      <c r="AC369" s="25"/>
      <c r="AD369" s="25"/>
      <c r="AE369" s="25"/>
    </row>
    <row r="370">
      <c r="A370" s="76"/>
      <c r="B370" s="76"/>
      <c r="C370" s="76"/>
      <c r="D370" s="76"/>
      <c r="E370" s="76"/>
      <c r="F370" s="12">
        <v>365.0</v>
      </c>
      <c r="G370" s="25"/>
      <c r="H370" s="25"/>
      <c r="I370" s="25"/>
      <c r="J370" s="23"/>
      <c r="K370" s="23"/>
      <c r="L370" s="26"/>
      <c r="M370" s="26"/>
      <c r="N370" s="26"/>
      <c r="O370" s="26"/>
      <c r="P370" s="26"/>
      <c r="Q370" s="27"/>
      <c r="R370" s="26"/>
      <c r="S370" s="26"/>
      <c r="T370" s="26"/>
      <c r="U370" s="26"/>
      <c r="V370" s="26"/>
      <c r="W370" s="25"/>
      <c r="X370" s="25"/>
      <c r="Y370" s="25"/>
      <c r="Z370" s="25"/>
      <c r="AA370" s="25"/>
      <c r="AB370" s="25"/>
      <c r="AC370" s="25"/>
      <c r="AD370" s="25"/>
      <c r="AE370" s="25"/>
    </row>
    <row r="371">
      <c r="A371" s="76"/>
      <c r="B371" s="76"/>
      <c r="C371" s="76"/>
      <c r="D371" s="76"/>
      <c r="E371" s="76"/>
      <c r="F371" s="12">
        <v>366.0</v>
      </c>
      <c r="G371" s="25"/>
      <c r="H371" s="25"/>
      <c r="I371" s="25"/>
      <c r="J371" s="23"/>
      <c r="K371" s="23"/>
      <c r="L371" s="26"/>
      <c r="M371" s="26"/>
      <c r="N371" s="26"/>
      <c r="O371" s="26"/>
      <c r="P371" s="26"/>
      <c r="Q371" s="27"/>
      <c r="R371" s="26"/>
      <c r="S371" s="26"/>
      <c r="T371" s="26"/>
      <c r="U371" s="26"/>
      <c r="V371" s="26"/>
      <c r="W371" s="25"/>
      <c r="X371" s="25"/>
      <c r="Y371" s="25"/>
      <c r="Z371" s="25"/>
      <c r="AA371" s="25"/>
      <c r="AB371" s="25"/>
      <c r="AC371" s="25"/>
      <c r="AD371" s="25"/>
      <c r="AE371" s="25"/>
    </row>
    <row r="372">
      <c r="A372" s="76"/>
      <c r="B372" s="76"/>
      <c r="C372" s="76"/>
      <c r="D372" s="76"/>
      <c r="E372" s="76"/>
      <c r="F372" s="12">
        <v>367.0</v>
      </c>
      <c r="G372" s="25"/>
      <c r="H372" s="25"/>
      <c r="I372" s="25"/>
      <c r="J372" s="23"/>
      <c r="K372" s="23"/>
      <c r="L372" s="26"/>
      <c r="M372" s="26"/>
      <c r="N372" s="26"/>
      <c r="O372" s="26"/>
      <c r="P372" s="26"/>
      <c r="Q372" s="27"/>
      <c r="R372" s="26"/>
      <c r="S372" s="26"/>
      <c r="T372" s="26"/>
      <c r="U372" s="26"/>
      <c r="V372" s="26"/>
      <c r="W372" s="25"/>
      <c r="X372" s="25"/>
      <c r="Y372" s="25"/>
      <c r="Z372" s="25"/>
      <c r="AA372" s="25"/>
      <c r="AB372" s="25"/>
      <c r="AC372" s="25"/>
      <c r="AD372" s="25"/>
      <c r="AE372" s="25"/>
    </row>
    <row r="373">
      <c r="A373" s="76"/>
      <c r="B373" s="76"/>
      <c r="C373" s="76"/>
      <c r="D373" s="76"/>
      <c r="E373" s="76"/>
      <c r="F373" s="12">
        <v>368.0</v>
      </c>
      <c r="G373" s="25"/>
      <c r="H373" s="25"/>
      <c r="I373" s="25"/>
      <c r="J373" s="23"/>
      <c r="K373" s="23"/>
      <c r="L373" s="26"/>
      <c r="M373" s="26"/>
      <c r="N373" s="26"/>
      <c r="O373" s="26"/>
      <c r="P373" s="26"/>
      <c r="Q373" s="27"/>
      <c r="R373" s="26"/>
      <c r="S373" s="26"/>
      <c r="T373" s="26"/>
      <c r="U373" s="26"/>
      <c r="V373" s="26"/>
      <c r="W373" s="25"/>
      <c r="X373" s="25"/>
      <c r="Y373" s="25"/>
      <c r="Z373" s="25"/>
      <c r="AA373" s="25"/>
      <c r="AB373" s="25"/>
      <c r="AC373" s="25"/>
      <c r="AD373" s="25"/>
      <c r="AE373" s="25"/>
    </row>
    <row r="374">
      <c r="A374" s="76"/>
      <c r="B374" s="76"/>
      <c r="C374" s="76"/>
      <c r="D374" s="76"/>
      <c r="E374" s="76"/>
      <c r="F374" s="12">
        <v>369.0</v>
      </c>
      <c r="G374" s="25"/>
      <c r="H374" s="25"/>
      <c r="I374" s="25"/>
      <c r="J374" s="23"/>
      <c r="K374" s="23"/>
      <c r="L374" s="26"/>
      <c r="M374" s="26"/>
      <c r="N374" s="26"/>
      <c r="O374" s="26"/>
      <c r="P374" s="26"/>
      <c r="Q374" s="27"/>
      <c r="R374" s="26"/>
      <c r="S374" s="26"/>
      <c r="T374" s="26"/>
      <c r="U374" s="26"/>
      <c r="V374" s="26"/>
      <c r="W374" s="25"/>
      <c r="X374" s="25"/>
      <c r="Y374" s="25"/>
      <c r="Z374" s="25"/>
      <c r="AA374" s="25"/>
      <c r="AB374" s="25"/>
      <c r="AC374" s="25"/>
      <c r="AD374" s="25"/>
      <c r="AE374" s="25"/>
    </row>
    <row r="375">
      <c r="A375" s="76"/>
      <c r="B375" s="76"/>
      <c r="C375" s="76"/>
      <c r="D375" s="76"/>
      <c r="E375" s="76"/>
      <c r="F375" s="12">
        <v>370.0</v>
      </c>
      <c r="G375" s="25"/>
      <c r="H375" s="25"/>
      <c r="I375" s="25"/>
      <c r="J375" s="23"/>
      <c r="K375" s="23"/>
      <c r="L375" s="26"/>
      <c r="M375" s="26"/>
      <c r="N375" s="26"/>
      <c r="O375" s="26"/>
      <c r="P375" s="26"/>
      <c r="Q375" s="27"/>
      <c r="R375" s="26"/>
      <c r="S375" s="26"/>
      <c r="T375" s="26"/>
      <c r="U375" s="26"/>
      <c r="V375" s="26"/>
      <c r="W375" s="25"/>
      <c r="X375" s="25"/>
      <c r="Y375" s="25"/>
      <c r="Z375" s="25"/>
      <c r="AA375" s="25"/>
      <c r="AB375" s="25"/>
      <c r="AC375" s="25"/>
      <c r="AD375" s="25"/>
      <c r="AE375" s="25"/>
    </row>
    <row r="376">
      <c r="A376" s="76"/>
      <c r="B376" s="76"/>
      <c r="C376" s="76"/>
      <c r="D376" s="76"/>
      <c r="E376" s="76"/>
      <c r="F376" s="12">
        <v>371.0</v>
      </c>
      <c r="G376" s="25"/>
      <c r="H376" s="25"/>
      <c r="I376" s="25"/>
      <c r="J376" s="23"/>
      <c r="K376" s="23"/>
      <c r="L376" s="26"/>
      <c r="M376" s="26"/>
      <c r="N376" s="26"/>
      <c r="O376" s="26"/>
      <c r="P376" s="26"/>
      <c r="Q376" s="27"/>
      <c r="R376" s="26"/>
      <c r="S376" s="26"/>
      <c r="T376" s="26"/>
      <c r="U376" s="26"/>
      <c r="V376" s="26"/>
      <c r="W376" s="25"/>
      <c r="X376" s="25"/>
      <c r="Y376" s="25"/>
      <c r="Z376" s="25"/>
      <c r="AA376" s="25"/>
      <c r="AB376" s="25"/>
      <c r="AC376" s="25"/>
      <c r="AD376" s="25"/>
      <c r="AE376" s="25"/>
    </row>
    <row r="377">
      <c r="A377" s="76"/>
      <c r="B377" s="76"/>
      <c r="C377" s="76"/>
      <c r="D377" s="76"/>
      <c r="E377" s="76"/>
      <c r="F377" s="12">
        <v>372.0</v>
      </c>
      <c r="G377" s="25"/>
      <c r="H377" s="25"/>
      <c r="I377" s="25"/>
      <c r="J377" s="23"/>
      <c r="K377" s="23"/>
      <c r="L377" s="26"/>
      <c r="M377" s="26"/>
      <c r="N377" s="26"/>
      <c r="O377" s="26"/>
      <c r="P377" s="26"/>
      <c r="Q377" s="27"/>
      <c r="R377" s="26"/>
      <c r="S377" s="26"/>
      <c r="T377" s="26"/>
      <c r="U377" s="26"/>
      <c r="V377" s="26"/>
      <c r="W377" s="25"/>
      <c r="X377" s="25"/>
      <c r="Y377" s="25"/>
      <c r="Z377" s="25"/>
      <c r="AA377" s="25"/>
      <c r="AB377" s="25"/>
      <c r="AC377" s="25"/>
      <c r="AD377" s="25"/>
      <c r="AE377" s="25"/>
    </row>
    <row r="378">
      <c r="A378" s="76"/>
      <c r="B378" s="76"/>
      <c r="C378" s="76"/>
      <c r="D378" s="76"/>
      <c r="E378" s="76"/>
      <c r="F378" s="12">
        <v>373.0</v>
      </c>
      <c r="G378" s="25"/>
      <c r="H378" s="25"/>
      <c r="I378" s="25"/>
      <c r="J378" s="23"/>
      <c r="K378" s="23"/>
      <c r="L378" s="26"/>
      <c r="M378" s="26"/>
      <c r="N378" s="26"/>
      <c r="O378" s="26"/>
      <c r="P378" s="26"/>
      <c r="Q378" s="27"/>
      <c r="R378" s="26"/>
      <c r="S378" s="26"/>
      <c r="T378" s="26"/>
      <c r="U378" s="26"/>
      <c r="V378" s="26"/>
      <c r="W378" s="25"/>
      <c r="X378" s="25"/>
      <c r="Y378" s="25"/>
      <c r="Z378" s="25"/>
      <c r="AA378" s="25"/>
      <c r="AB378" s="25"/>
      <c r="AC378" s="25"/>
      <c r="AD378" s="25"/>
      <c r="AE378" s="25"/>
    </row>
    <row r="379">
      <c r="A379" s="76"/>
      <c r="B379" s="76"/>
      <c r="C379" s="76"/>
      <c r="D379" s="76"/>
      <c r="E379" s="76"/>
      <c r="F379" s="12">
        <v>374.0</v>
      </c>
      <c r="G379" s="25"/>
      <c r="H379" s="25"/>
      <c r="I379" s="25"/>
      <c r="J379" s="23"/>
      <c r="K379" s="23"/>
      <c r="L379" s="26"/>
      <c r="M379" s="26"/>
      <c r="N379" s="26"/>
      <c r="O379" s="26"/>
      <c r="P379" s="26"/>
      <c r="Q379" s="27"/>
      <c r="R379" s="26"/>
      <c r="S379" s="26"/>
      <c r="T379" s="26"/>
      <c r="U379" s="26"/>
      <c r="V379" s="26"/>
      <c r="W379" s="25"/>
      <c r="X379" s="25"/>
      <c r="Y379" s="25"/>
      <c r="Z379" s="25"/>
      <c r="AA379" s="25"/>
      <c r="AB379" s="25"/>
      <c r="AC379" s="25"/>
      <c r="AD379" s="25"/>
      <c r="AE379" s="25"/>
    </row>
    <row r="380">
      <c r="A380" s="76"/>
      <c r="B380" s="76"/>
      <c r="C380" s="76"/>
      <c r="D380" s="76"/>
      <c r="E380" s="76"/>
      <c r="F380" s="12">
        <v>375.0</v>
      </c>
      <c r="G380" s="25"/>
      <c r="H380" s="25"/>
      <c r="I380" s="25"/>
      <c r="J380" s="23"/>
      <c r="K380" s="23"/>
      <c r="L380" s="26"/>
      <c r="M380" s="26"/>
      <c r="N380" s="26"/>
      <c r="O380" s="26"/>
      <c r="P380" s="26"/>
      <c r="Q380" s="27"/>
      <c r="R380" s="26"/>
      <c r="S380" s="26"/>
      <c r="T380" s="26"/>
      <c r="U380" s="26"/>
      <c r="V380" s="26"/>
      <c r="W380" s="25"/>
      <c r="X380" s="25"/>
      <c r="Y380" s="25"/>
      <c r="Z380" s="25"/>
      <c r="AA380" s="25"/>
      <c r="AB380" s="25"/>
      <c r="AC380" s="25"/>
      <c r="AD380" s="25"/>
      <c r="AE380" s="25"/>
    </row>
    <row r="381">
      <c r="A381" s="76"/>
      <c r="B381" s="76"/>
      <c r="C381" s="76"/>
      <c r="D381" s="76"/>
      <c r="E381" s="76"/>
      <c r="F381" s="12">
        <v>376.0</v>
      </c>
      <c r="G381" s="25"/>
      <c r="H381" s="25"/>
      <c r="I381" s="25"/>
      <c r="J381" s="23"/>
      <c r="K381" s="23"/>
      <c r="L381" s="26"/>
      <c r="M381" s="26"/>
      <c r="N381" s="26"/>
      <c r="O381" s="26"/>
      <c r="P381" s="26"/>
      <c r="Q381" s="27"/>
      <c r="R381" s="26"/>
      <c r="S381" s="26"/>
      <c r="T381" s="26"/>
      <c r="U381" s="26"/>
      <c r="V381" s="26"/>
      <c r="W381" s="25"/>
      <c r="X381" s="25"/>
      <c r="Y381" s="25"/>
      <c r="Z381" s="25"/>
      <c r="AA381" s="25"/>
      <c r="AB381" s="25"/>
      <c r="AC381" s="25"/>
      <c r="AD381" s="25"/>
      <c r="AE381" s="25"/>
    </row>
    <row r="382">
      <c r="A382" s="76"/>
      <c r="B382" s="76"/>
      <c r="C382" s="76"/>
      <c r="D382" s="76"/>
      <c r="E382" s="76"/>
      <c r="F382" s="12">
        <v>377.0</v>
      </c>
      <c r="G382" s="25"/>
      <c r="H382" s="25"/>
      <c r="I382" s="25"/>
      <c r="J382" s="23"/>
      <c r="K382" s="23"/>
      <c r="L382" s="26"/>
      <c r="M382" s="26"/>
      <c r="N382" s="26"/>
      <c r="O382" s="26"/>
      <c r="P382" s="26"/>
      <c r="Q382" s="27"/>
      <c r="R382" s="26"/>
      <c r="S382" s="26"/>
      <c r="T382" s="26"/>
      <c r="U382" s="26"/>
      <c r="V382" s="26"/>
      <c r="W382" s="25"/>
      <c r="X382" s="25"/>
      <c r="Y382" s="25"/>
      <c r="Z382" s="25"/>
      <c r="AA382" s="25"/>
      <c r="AB382" s="25"/>
      <c r="AC382" s="25"/>
      <c r="AD382" s="25"/>
      <c r="AE382" s="25"/>
    </row>
    <row r="383">
      <c r="A383" s="76"/>
      <c r="B383" s="76"/>
      <c r="C383" s="76"/>
      <c r="D383" s="76"/>
      <c r="E383" s="76"/>
      <c r="F383" s="12">
        <v>378.0</v>
      </c>
      <c r="G383" s="25"/>
      <c r="H383" s="25"/>
      <c r="I383" s="25"/>
      <c r="J383" s="23"/>
      <c r="K383" s="23"/>
      <c r="L383" s="26"/>
      <c r="M383" s="26"/>
      <c r="N383" s="26"/>
      <c r="O383" s="26"/>
      <c r="P383" s="26"/>
      <c r="Q383" s="27"/>
      <c r="R383" s="26"/>
      <c r="S383" s="26"/>
      <c r="T383" s="26"/>
      <c r="U383" s="26"/>
      <c r="V383" s="26"/>
      <c r="W383" s="25"/>
      <c r="X383" s="25"/>
      <c r="Y383" s="25"/>
      <c r="Z383" s="25"/>
      <c r="AA383" s="25"/>
      <c r="AB383" s="25"/>
      <c r="AC383" s="25"/>
      <c r="AD383" s="25"/>
      <c r="AE383" s="25"/>
    </row>
    <row r="384">
      <c r="A384" s="76"/>
      <c r="B384" s="76"/>
      <c r="C384" s="76"/>
      <c r="D384" s="76"/>
      <c r="E384" s="76"/>
      <c r="F384" s="12">
        <v>379.0</v>
      </c>
      <c r="G384" s="25"/>
      <c r="H384" s="25"/>
      <c r="I384" s="25"/>
      <c r="J384" s="23"/>
      <c r="K384" s="23"/>
      <c r="L384" s="26"/>
      <c r="M384" s="26"/>
      <c r="N384" s="26"/>
      <c r="O384" s="26"/>
      <c r="P384" s="26"/>
      <c r="Q384" s="27"/>
      <c r="R384" s="26"/>
      <c r="S384" s="26"/>
      <c r="T384" s="26"/>
      <c r="U384" s="26"/>
      <c r="V384" s="26"/>
      <c r="W384" s="25"/>
      <c r="X384" s="25"/>
      <c r="Y384" s="25"/>
      <c r="Z384" s="25"/>
      <c r="AA384" s="25"/>
      <c r="AB384" s="25"/>
      <c r="AC384" s="25"/>
      <c r="AD384" s="25"/>
      <c r="AE384" s="25"/>
    </row>
    <row r="385">
      <c r="A385" s="76"/>
      <c r="B385" s="76"/>
      <c r="C385" s="76"/>
      <c r="D385" s="76"/>
      <c r="E385" s="76"/>
      <c r="F385" s="12">
        <v>380.0</v>
      </c>
      <c r="G385" s="25"/>
      <c r="H385" s="25"/>
      <c r="I385" s="25"/>
      <c r="J385" s="23"/>
      <c r="K385" s="23"/>
      <c r="L385" s="26"/>
      <c r="M385" s="26"/>
      <c r="N385" s="26"/>
      <c r="O385" s="26"/>
      <c r="P385" s="26"/>
      <c r="Q385" s="27"/>
      <c r="R385" s="26"/>
      <c r="S385" s="26"/>
      <c r="T385" s="26"/>
      <c r="U385" s="26"/>
      <c r="V385" s="26"/>
      <c r="W385" s="25"/>
      <c r="X385" s="25"/>
      <c r="Y385" s="25"/>
      <c r="Z385" s="25"/>
      <c r="AA385" s="25"/>
      <c r="AB385" s="25"/>
      <c r="AC385" s="25"/>
      <c r="AD385" s="25"/>
      <c r="AE385" s="25"/>
    </row>
    <row r="386">
      <c r="A386" s="76"/>
      <c r="B386" s="76"/>
      <c r="C386" s="76"/>
      <c r="D386" s="76"/>
      <c r="E386" s="76"/>
      <c r="F386" s="12">
        <v>381.0</v>
      </c>
      <c r="G386" s="25"/>
      <c r="H386" s="25"/>
      <c r="I386" s="25"/>
      <c r="J386" s="23"/>
      <c r="K386" s="23"/>
      <c r="L386" s="26"/>
      <c r="M386" s="26"/>
      <c r="N386" s="26"/>
      <c r="O386" s="26"/>
      <c r="P386" s="26"/>
      <c r="Q386" s="27"/>
      <c r="R386" s="26"/>
      <c r="S386" s="26"/>
      <c r="T386" s="26"/>
      <c r="U386" s="26"/>
      <c r="V386" s="26"/>
      <c r="W386" s="25"/>
      <c r="X386" s="25"/>
      <c r="Y386" s="25"/>
      <c r="Z386" s="25"/>
      <c r="AA386" s="25"/>
      <c r="AB386" s="25"/>
      <c r="AC386" s="25"/>
      <c r="AD386" s="25"/>
      <c r="AE386" s="25"/>
    </row>
    <row r="387">
      <c r="A387" s="76"/>
      <c r="B387" s="76"/>
      <c r="C387" s="76"/>
      <c r="D387" s="76"/>
      <c r="E387" s="76"/>
      <c r="F387" s="12">
        <v>382.0</v>
      </c>
      <c r="G387" s="25"/>
      <c r="H387" s="25"/>
      <c r="I387" s="25"/>
      <c r="J387" s="23"/>
      <c r="K387" s="23"/>
      <c r="L387" s="26"/>
      <c r="M387" s="26"/>
      <c r="N387" s="26"/>
      <c r="O387" s="26"/>
      <c r="P387" s="26"/>
      <c r="Q387" s="27"/>
      <c r="R387" s="26"/>
      <c r="S387" s="26"/>
      <c r="T387" s="26"/>
      <c r="U387" s="26"/>
      <c r="V387" s="26"/>
      <c r="W387" s="25"/>
      <c r="X387" s="25"/>
      <c r="Y387" s="25"/>
      <c r="Z387" s="25"/>
      <c r="AA387" s="25"/>
      <c r="AB387" s="25"/>
      <c r="AC387" s="25"/>
      <c r="AD387" s="25"/>
      <c r="AE387" s="25"/>
    </row>
    <row r="388">
      <c r="A388" s="76"/>
      <c r="B388" s="76"/>
      <c r="C388" s="76"/>
      <c r="D388" s="76"/>
      <c r="E388" s="76"/>
      <c r="F388" s="12">
        <v>383.0</v>
      </c>
      <c r="G388" s="25"/>
      <c r="H388" s="25"/>
      <c r="I388" s="25"/>
      <c r="J388" s="23"/>
      <c r="K388" s="23"/>
      <c r="L388" s="26"/>
      <c r="M388" s="26"/>
      <c r="N388" s="26"/>
      <c r="O388" s="26"/>
      <c r="P388" s="26"/>
      <c r="Q388" s="27"/>
      <c r="R388" s="26"/>
      <c r="S388" s="26"/>
      <c r="T388" s="26"/>
      <c r="U388" s="26"/>
      <c r="V388" s="26"/>
      <c r="W388" s="25"/>
      <c r="X388" s="25"/>
      <c r="Y388" s="25"/>
      <c r="Z388" s="25"/>
      <c r="AA388" s="25"/>
      <c r="AB388" s="25"/>
      <c r="AC388" s="25"/>
      <c r="AD388" s="25"/>
      <c r="AE388" s="25"/>
    </row>
    <row r="389">
      <c r="A389" s="76"/>
      <c r="B389" s="76"/>
      <c r="C389" s="76"/>
      <c r="D389" s="76"/>
      <c r="E389" s="76"/>
      <c r="F389" s="12">
        <v>384.0</v>
      </c>
      <c r="G389" s="25"/>
      <c r="H389" s="25"/>
      <c r="I389" s="25"/>
      <c r="J389" s="23"/>
      <c r="K389" s="23"/>
      <c r="L389" s="26"/>
      <c r="M389" s="26"/>
      <c r="N389" s="26"/>
      <c r="O389" s="26"/>
      <c r="P389" s="26"/>
      <c r="Q389" s="27"/>
      <c r="R389" s="26"/>
      <c r="S389" s="26"/>
      <c r="T389" s="26"/>
      <c r="U389" s="26"/>
      <c r="V389" s="26"/>
      <c r="W389" s="25"/>
      <c r="X389" s="25"/>
      <c r="Y389" s="25"/>
      <c r="Z389" s="25"/>
      <c r="AA389" s="25"/>
      <c r="AB389" s="25"/>
      <c r="AC389" s="25"/>
      <c r="AD389" s="25"/>
      <c r="AE389" s="25"/>
    </row>
    <row r="390">
      <c r="A390" s="76"/>
      <c r="B390" s="76"/>
      <c r="C390" s="76"/>
      <c r="D390" s="76"/>
      <c r="E390" s="76"/>
      <c r="F390" s="12">
        <v>385.0</v>
      </c>
      <c r="G390" s="25"/>
      <c r="H390" s="25"/>
      <c r="I390" s="25"/>
      <c r="J390" s="23"/>
      <c r="K390" s="23"/>
      <c r="L390" s="26"/>
      <c r="M390" s="26"/>
      <c r="N390" s="26"/>
      <c r="O390" s="26"/>
      <c r="P390" s="26"/>
      <c r="Q390" s="27"/>
      <c r="R390" s="26"/>
      <c r="S390" s="26"/>
      <c r="T390" s="26"/>
      <c r="U390" s="26"/>
      <c r="V390" s="26"/>
      <c r="W390" s="25"/>
      <c r="X390" s="25"/>
      <c r="Y390" s="25"/>
      <c r="Z390" s="25"/>
      <c r="AA390" s="25"/>
      <c r="AB390" s="25"/>
      <c r="AC390" s="25"/>
      <c r="AD390" s="25"/>
      <c r="AE390" s="25"/>
    </row>
    <row r="391">
      <c r="A391" s="76"/>
      <c r="B391" s="76"/>
      <c r="C391" s="76"/>
      <c r="D391" s="76"/>
      <c r="E391" s="76"/>
      <c r="F391" s="12">
        <v>386.0</v>
      </c>
      <c r="G391" s="25"/>
      <c r="H391" s="25"/>
      <c r="I391" s="25"/>
      <c r="J391" s="23"/>
      <c r="K391" s="23"/>
      <c r="L391" s="26"/>
      <c r="M391" s="26"/>
      <c r="N391" s="26"/>
      <c r="O391" s="26"/>
      <c r="P391" s="26"/>
      <c r="Q391" s="27"/>
      <c r="R391" s="26"/>
      <c r="S391" s="26"/>
      <c r="T391" s="26"/>
      <c r="U391" s="26"/>
      <c r="V391" s="26"/>
      <c r="W391" s="25"/>
      <c r="X391" s="25"/>
      <c r="Y391" s="25"/>
      <c r="Z391" s="25"/>
      <c r="AA391" s="25"/>
      <c r="AB391" s="25"/>
      <c r="AC391" s="25"/>
      <c r="AD391" s="25"/>
      <c r="AE391" s="25"/>
    </row>
    <row r="392">
      <c r="A392" s="76"/>
      <c r="B392" s="76"/>
      <c r="C392" s="76"/>
      <c r="D392" s="76"/>
      <c r="E392" s="76"/>
      <c r="F392" s="12">
        <v>387.0</v>
      </c>
      <c r="G392" s="25"/>
      <c r="H392" s="25"/>
      <c r="I392" s="25"/>
      <c r="J392" s="23"/>
      <c r="K392" s="23"/>
      <c r="L392" s="26"/>
      <c r="M392" s="26"/>
      <c r="N392" s="26"/>
      <c r="O392" s="26"/>
      <c r="P392" s="26"/>
      <c r="Q392" s="27"/>
      <c r="R392" s="26"/>
      <c r="S392" s="26"/>
      <c r="T392" s="26"/>
      <c r="U392" s="26"/>
      <c r="V392" s="26"/>
      <c r="W392" s="25"/>
      <c r="X392" s="25"/>
      <c r="Y392" s="25"/>
      <c r="Z392" s="25"/>
      <c r="AA392" s="25"/>
      <c r="AB392" s="25"/>
      <c r="AC392" s="25"/>
      <c r="AD392" s="25"/>
      <c r="AE392" s="25"/>
    </row>
    <row r="393">
      <c r="A393" s="76"/>
      <c r="B393" s="76"/>
      <c r="C393" s="76"/>
      <c r="D393" s="76"/>
      <c r="E393" s="76"/>
      <c r="F393" s="12">
        <v>388.0</v>
      </c>
      <c r="G393" s="25"/>
      <c r="H393" s="25"/>
      <c r="I393" s="25"/>
      <c r="J393" s="23"/>
      <c r="K393" s="23"/>
      <c r="L393" s="26"/>
      <c r="M393" s="26"/>
      <c r="N393" s="26"/>
      <c r="O393" s="26"/>
      <c r="P393" s="26"/>
      <c r="Q393" s="27"/>
      <c r="R393" s="26"/>
      <c r="S393" s="26"/>
      <c r="T393" s="26"/>
      <c r="U393" s="26"/>
      <c r="V393" s="26"/>
      <c r="W393" s="25"/>
      <c r="X393" s="25"/>
      <c r="Y393" s="25"/>
      <c r="Z393" s="25"/>
      <c r="AA393" s="25"/>
      <c r="AB393" s="25"/>
      <c r="AC393" s="25"/>
      <c r="AD393" s="25"/>
      <c r="AE393" s="25"/>
    </row>
    <row r="394">
      <c r="A394" s="76"/>
      <c r="B394" s="76"/>
      <c r="C394" s="76"/>
      <c r="D394" s="76"/>
      <c r="E394" s="76"/>
      <c r="F394" s="12">
        <v>389.0</v>
      </c>
      <c r="G394" s="25"/>
      <c r="H394" s="25"/>
      <c r="I394" s="25"/>
      <c r="J394" s="23"/>
      <c r="K394" s="23"/>
      <c r="L394" s="26"/>
      <c r="M394" s="26"/>
      <c r="N394" s="26"/>
      <c r="O394" s="26"/>
      <c r="P394" s="26"/>
      <c r="Q394" s="27"/>
      <c r="R394" s="26"/>
      <c r="S394" s="26"/>
      <c r="T394" s="26"/>
      <c r="U394" s="26"/>
      <c r="V394" s="26"/>
      <c r="W394" s="25"/>
      <c r="X394" s="25"/>
      <c r="Y394" s="25"/>
      <c r="Z394" s="25"/>
      <c r="AA394" s="25"/>
      <c r="AB394" s="25"/>
      <c r="AC394" s="25"/>
      <c r="AD394" s="25"/>
      <c r="AE394" s="25"/>
    </row>
    <row r="395">
      <c r="A395" s="76"/>
      <c r="B395" s="76"/>
      <c r="C395" s="76"/>
      <c r="D395" s="76"/>
      <c r="E395" s="76"/>
      <c r="F395" s="12">
        <v>390.0</v>
      </c>
      <c r="G395" s="25"/>
      <c r="H395" s="25"/>
      <c r="I395" s="25"/>
      <c r="J395" s="23"/>
      <c r="K395" s="23"/>
      <c r="L395" s="26"/>
      <c r="M395" s="26"/>
      <c r="N395" s="26"/>
      <c r="O395" s="26"/>
      <c r="P395" s="26"/>
      <c r="Q395" s="27"/>
      <c r="R395" s="26"/>
      <c r="S395" s="26"/>
      <c r="T395" s="26"/>
      <c r="U395" s="26"/>
      <c r="V395" s="26"/>
      <c r="W395" s="25"/>
      <c r="X395" s="25"/>
      <c r="Y395" s="25"/>
      <c r="Z395" s="25"/>
      <c r="AA395" s="25"/>
      <c r="AB395" s="25"/>
      <c r="AC395" s="25"/>
      <c r="AD395" s="25"/>
      <c r="AE395" s="25"/>
    </row>
    <row r="396">
      <c r="A396" s="76"/>
      <c r="B396" s="76"/>
      <c r="C396" s="76"/>
      <c r="D396" s="76"/>
      <c r="E396" s="76"/>
      <c r="F396" s="12">
        <v>391.0</v>
      </c>
      <c r="G396" s="25"/>
      <c r="H396" s="25"/>
      <c r="I396" s="25"/>
      <c r="J396" s="23"/>
      <c r="K396" s="23"/>
      <c r="L396" s="26"/>
      <c r="M396" s="26"/>
      <c r="N396" s="26"/>
      <c r="O396" s="26"/>
      <c r="P396" s="26"/>
      <c r="Q396" s="27"/>
      <c r="R396" s="26"/>
      <c r="S396" s="26"/>
      <c r="T396" s="26"/>
      <c r="U396" s="26"/>
      <c r="V396" s="26"/>
      <c r="W396" s="25"/>
      <c r="X396" s="25"/>
      <c r="Y396" s="25"/>
      <c r="Z396" s="25"/>
      <c r="AA396" s="25"/>
      <c r="AB396" s="25"/>
      <c r="AC396" s="25"/>
      <c r="AD396" s="25"/>
      <c r="AE396" s="25"/>
    </row>
    <row r="397">
      <c r="A397" s="76"/>
      <c r="B397" s="76"/>
      <c r="C397" s="76"/>
      <c r="D397" s="76"/>
      <c r="E397" s="76"/>
      <c r="F397" s="12">
        <v>392.0</v>
      </c>
      <c r="G397" s="25"/>
      <c r="H397" s="25"/>
      <c r="I397" s="25"/>
      <c r="J397" s="23"/>
      <c r="K397" s="23"/>
      <c r="L397" s="26"/>
      <c r="M397" s="26"/>
      <c r="N397" s="26"/>
      <c r="O397" s="26"/>
      <c r="P397" s="26"/>
      <c r="Q397" s="27"/>
      <c r="R397" s="26"/>
      <c r="S397" s="26"/>
      <c r="T397" s="26"/>
      <c r="U397" s="26"/>
      <c r="V397" s="26"/>
      <c r="W397" s="25"/>
      <c r="X397" s="25"/>
      <c r="Y397" s="25"/>
      <c r="Z397" s="25"/>
      <c r="AA397" s="25"/>
      <c r="AB397" s="25"/>
      <c r="AC397" s="25"/>
      <c r="AD397" s="25"/>
      <c r="AE397" s="25"/>
    </row>
    <row r="398">
      <c r="A398" s="76"/>
      <c r="B398" s="76"/>
      <c r="C398" s="76"/>
      <c r="D398" s="76"/>
      <c r="E398" s="76"/>
      <c r="F398" s="12">
        <v>393.0</v>
      </c>
      <c r="G398" s="25"/>
      <c r="H398" s="25"/>
      <c r="I398" s="25"/>
      <c r="J398" s="23"/>
      <c r="K398" s="23"/>
      <c r="L398" s="26"/>
      <c r="M398" s="26"/>
      <c r="N398" s="26"/>
      <c r="O398" s="26"/>
      <c r="P398" s="26"/>
      <c r="Q398" s="27"/>
      <c r="R398" s="26"/>
      <c r="S398" s="26"/>
      <c r="T398" s="26"/>
      <c r="U398" s="26"/>
      <c r="V398" s="26"/>
      <c r="W398" s="25"/>
      <c r="X398" s="25"/>
      <c r="Y398" s="25"/>
      <c r="Z398" s="25"/>
      <c r="AA398" s="25"/>
      <c r="AB398" s="25"/>
      <c r="AC398" s="25"/>
      <c r="AD398" s="25"/>
      <c r="AE398" s="25"/>
    </row>
    <row r="399">
      <c r="A399" s="76"/>
      <c r="B399" s="76"/>
      <c r="C399" s="76"/>
      <c r="D399" s="76"/>
      <c r="E399" s="76"/>
      <c r="F399" s="12">
        <v>394.0</v>
      </c>
      <c r="G399" s="25"/>
      <c r="H399" s="25"/>
      <c r="I399" s="25"/>
      <c r="J399" s="23"/>
      <c r="K399" s="23"/>
      <c r="L399" s="26"/>
      <c r="M399" s="26"/>
      <c r="N399" s="26"/>
      <c r="O399" s="26"/>
      <c r="P399" s="26"/>
      <c r="Q399" s="27"/>
      <c r="R399" s="26"/>
      <c r="S399" s="26"/>
      <c r="T399" s="26"/>
      <c r="U399" s="26"/>
      <c r="V399" s="26"/>
      <c r="W399" s="25"/>
      <c r="X399" s="25"/>
      <c r="Y399" s="25"/>
      <c r="Z399" s="25"/>
      <c r="AA399" s="25"/>
      <c r="AB399" s="25"/>
      <c r="AC399" s="25"/>
      <c r="AD399" s="25"/>
      <c r="AE399" s="25"/>
    </row>
    <row r="400">
      <c r="A400" s="76"/>
      <c r="B400" s="76"/>
      <c r="C400" s="76"/>
      <c r="D400" s="76"/>
      <c r="E400" s="76"/>
      <c r="F400" s="12">
        <v>395.0</v>
      </c>
      <c r="G400" s="25"/>
      <c r="H400" s="25"/>
      <c r="I400" s="25"/>
      <c r="J400" s="23"/>
      <c r="K400" s="23"/>
      <c r="L400" s="26"/>
      <c r="M400" s="26"/>
      <c r="N400" s="26"/>
      <c r="O400" s="26"/>
      <c r="P400" s="26"/>
      <c r="Q400" s="27"/>
      <c r="R400" s="26"/>
      <c r="S400" s="26"/>
      <c r="T400" s="26"/>
      <c r="U400" s="26"/>
      <c r="V400" s="26"/>
      <c r="W400" s="25"/>
      <c r="X400" s="25"/>
      <c r="Y400" s="25"/>
      <c r="Z400" s="25"/>
      <c r="AA400" s="25"/>
      <c r="AB400" s="25"/>
      <c r="AC400" s="25"/>
      <c r="AD400" s="25"/>
      <c r="AE400" s="25"/>
    </row>
    <row r="401">
      <c r="A401" s="76"/>
      <c r="B401" s="76"/>
      <c r="C401" s="76"/>
      <c r="D401" s="76"/>
      <c r="E401" s="76"/>
      <c r="F401" s="12">
        <v>396.0</v>
      </c>
      <c r="G401" s="25"/>
      <c r="H401" s="25"/>
      <c r="I401" s="25"/>
      <c r="J401" s="23"/>
      <c r="K401" s="23"/>
      <c r="L401" s="26"/>
      <c r="M401" s="26"/>
      <c r="N401" s="26"/>
      <c r="O401" s="26"/>
      <c r="P401" s="26"/>
      <c r="Q401" s="27"/>
      <c r="R401" s="26"/>
      <c r="S401" s="26"/>
      <c r="T401" s="26"/>
      <c r="U401" s="26"/>
      <c r="V401" s="26"/>
      <c r="W401" s="25"/>
      <c r="X401" s="25"/>
      <c r="Y401" s="25"/>
      <c r="Z401" s="25"/>
      <c r="AA401" s="25"/>
      <c r="AB401" s="25"/>
      <c r="AC401" s="25"/>
      <c r="AD401" s="25"/>
      <c r="AE401" s="25"/>
    </row>
  </sheetData>
  <autoFilter ref="$A$5:$AD$401"/>
  <customSheetViews>
    <customSheetView guid="{9ED54846-5930-4053-9863-60C199249F67}" filter="1" showAutoFilter="1">
      <autoFilter ref="$Y$2:$Y$5"/>
    </customSheetView>
  </customSheetViews>
  <conditionalFormatting sqref="W6:AE401">
    <cfRule type="colorScale" priority="1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K6:L401">
    <cfRule type="colorScale" priority="2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M6:M1000">
    <cfRule type="cellIs" dxfId="2" priority="3" operator="equal">
      <formula>0</formula>
    </cfRule>
  </conditionalFormatting>
  <conditionalFormatting sqref="M6:M401">
    <cfRule type="colorScale" priority="4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B6:E205">
    <cfRule type="cellIs" dxfId="3" priority="5" operator="equal">
      <formula>2</formula>
    </cfRule>
  </conditionalFormatting>
  <conditionalFormatting sqref="B6:E205">
    <cfRule type="cellIs" dxfId="4" priority="6" operator="equal">
      <formula>3</formula>
    </cfRule>
  </conditionalFormatting>
  <conditionalFormatting sqref="B6:E205">
    <cfRule type="cellIs" dxfId="0" priority="7" operator="equal">
      <formula>4</formula>
    </cfRule>
  </conditionalFormatting>
  <conditionalFormatting sqref="E6:E205">
    <cfRule type="cellIs" dxfId="0" priority="8" operator="equal">
      <formula>11</formula>
    </cfRule>
  </conditionalFormatting>
  <conditionalFormatting sqref="E6:E205">
    <cfRule type="cellIs" dxfId="4" priority="9" operator="equal">
      <formula>10</formula>
    </cfRule>
  </conditionalFormatting>
  <conditionalFormatting sqref="E6:E205">
    <cfRule type="cellIs" dxfId="5" priority="10" operator="equal">
      <formula>9</formula>
    </cfRule>
  </conditionalFormatting>
  <conditionalFormatting sqref="E6:E205">
    <cfRule type="cellIs" dxfId="3" priority="11" operator="equal">
      <formula>8</formula>
    </cfRule>
  </conditionalFormatting>
  <dataValidations>
    <dataValidation type="list" allowBlank="1" sqref="L3:T3">
      <formula1>'NO USAR1'!$U$9:$U$16</formula1>
    </dataValidation>
    <dataValidation type="list" allowBlank="1" sqref="G3">
      <formula1>'NO USAR1'!$M$12:$M$32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3" max="3" width="20.13"/>
    <col customWidth="1" min="12" max="12" width="11.13"/>
    <col customWidth="1" hidden="1" min="13" max="13" width="16.75"/>
    <col hidden="1" min="14" max="24" width="12.63"/>
    <col customWidth="1" min="25" max="25" width="14.75"/>
  </cols>
  <sheetData>
    <row r="1">
      <c r="A1" s="2" t="s">
        <v>0</v>
      </c>
      <c r="C1" s="5" t="s">
        <v>1</v>
      </c>
      <c r="D1" s="11">
        <f>VLOOKUP(TRUE(),B5:C16,2,FALSE)</f>
        <v>6</v>
      </c>
      <c r="Y1" s="11" t="s">
        <v>38</v>
      </c>
      <c r="Z1" s="11">
        <v>150.0</v>
      </c>
      <c r="AB1" s="14"/>
    </row>
    <row r="2">
      <c r="C2" s="16"/>
      <c r="D2" s="16"/>
      <c r="F2" s="18" t="s">
        <v>43</v>
      </c>
      <c r="Y2" s="16"/>
      <c r="Z2" s="16"/>
    </row>
    <row r="3">
      <c r="M3" s="2">
        <f>C5</f>
        <v>1</v>
      </c>
      <c r="N3" s="2">
        <f>C6</f>
        <v>2</v>
      </c>
      <c r="O3" s="2">
        <f>C7</f>
        <v>3</v>
      </c>
      <c r="P3">
        <f>C8</f>
        <v>4</v>
      </c>
      <c r="Q3" s="2">
        <f>C9</f>
        <v>5</v>
      </c>
      <c r="R3">
        <f>C10</f>
        <v>6</v>
      </c>
      <c r="S3">
        <f>C11</f>
        <v>7</v>
      </c>
      <c r="T3">
        <f>C12</f>
        <v>8</v>
      </c>
      <c r="U3">
        <f>C13</f>
        <v>9</v>
      </c>
      <c r="V3">
        <f>C14</f>
        <v>10</v>
      </c>
      <c r="W3">
        <f>C15</f>
        <v>11</v>
      </c>
      <c r="X3">
        <f>C16</f>
        <v>12</v>
      </c>
    </row>
    <row r="4">
      <c r="B4" s="2"/>
      <c r="C4" s="4" t="s">
        <v>1</v>
      </c>
      <c r="D4" s="4" t="s">
        <v>2</v>
      </c>
      <c r="E4" s="6" t="s">
        <v>3</v>
      </c>
      <c r="F4" s="4" t="s">
        <v>5</v>
      </c>
      <c r="G4" s="4" t="s">
        <v>7</v>
      </c>
      <c r="H4" s="4" t="s">
        <v>9</v>
      </c>
      <c r="I4" s="4" t="s">
        <v>10</v>
      </c>
      <c r="J4" s="4" t="s">
        <v>12</v>
      </c>
      <c r="K4" s="4" t="s">
        <v>13</v>
      </c>
      <c r="L4" s="4" t="s">
        <v>15</v>
      </c>
      <c r="M4" s="4" t="s">
        <v>17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29</v>
      </c>
      <c r="Z4" s="4" t="s">
        <v>31</v>
      </c>
    </row>
    <row r="5">
      <c r="B5" s="13" t="b">
        <f>Draft!B3</f>
        <v>0</v>
      </c>
      <c r="C5" s="12">
        <v>1.0</v>
      </c>
      <c r="D5" s="23">
        <f>((IF(ISBLANK(Draft!C3),0,VLOOKUP(Draft!C3, 'NO USAR1'!A4:L1000,2,FALSE)+(IF(ISBLANK(Draft!D14),0,VLOOKUP(Draft!D14, 'NO USAR1'!A4:L1000,2,FALSE)+(IF(ISBLANK(Draft!E3),0,VLOOKUP(Draft!E3, 'NO USAR1'!A4:L1000,2,FALSE)+(IF(ISBLANK(Draft!F14),0,VLOOKUP(Draft!F14, 'NO USAR1'!A4:L1000,2,FALSE)+(IF(ISBLANK(Draft!G3),0,VLOOKUP(Draft!G3, 'NO USAR1'!A4:L1000,2,FALSE)+(IF(ISBLANK(Draft!H14),0,VLOOKUP(Draft!H14, 'NO USAR1'!A4:L1000,2,FALSE)+(IF(ISBLANK(Draft!I3),0,VLOOKUP(Draft!I3, 'NO USAR1'!A4:L1000,2,FALSE)+(IF(ISBLANK(Draft!J14),0,VLOOKUP(Draft!J14, 'NO USAR1'!A4:L1000,2,FALSE)+(IF(ISBLANK(Draft!K3),0,VLOOKUP(Draft!K3, 'NO USAR1'!A4:L1000,2,FALSE)+(IF(ISBLANK(Draft!L14),0,VLOOKUP(Draft!L14, 'NO USAR1'!A4:L1000,2,FALSE)+IF(ISBLANK(Draft!M3),0,VLOOKUP(Draft!M3, 'NO USAR1'!A4:L1000,2,FALSE)+IF(ISBLANK(Draft!N14),0,VLOOKUP(Draft!N14, 'NO USAR1'!A4:L1000,2,FALSE))))))))))))))))))))))))</f>
        <v>1.413752144</v>
      </c>
      <c r="E5" s="23">
        <f>((IF(ISBLANK(Draft!C3),0,VLOOKUP(Draft!C3, 'NO USAR1'!A4:L1000,3,FALSE)+(IF(ISBLANK(Draft!D14),0,VLOOKUP(Draft!D14, 'NO USAR1'!A4:L1000,3,FALSE)+(IF(ISBLANK(Draft!E3),0,VLOOKUP(Draft!E3, 'NO USAR1'!A4:L1000,3,FALSE)+(IF(ISBLANK(Draft!F14),0,VLOOKUP(Draft!F14, 'NO USAR1'!A4:L1000,3,FALSE)+(IF(ISBLANK(Draft!G3),0,VLOOKUP(Draft!G3, 'NO USAR1'!A4:L1000,3,FALSE)+(IF(ISBLANK(Draft!H14),0,VLOOKUP(Draft!H14, 'NO USAR1'!A4:L1000,3,FALSE)+(IF(ISBLANK(Draft!I3),0,VLOOKUP(Draft!I3, 'NO USAR1'!A4:L1000,3,FALSE)+(IF(ISBLANK(Draft!J14),0,VLOOKUP(Draft!J14, 'NO USAR1'!A4:L1000,3,FALSE)+(IF(ISBLANK(Draft!K3),0,VLOOKUP(Draft!K3, 'NO USAR1'!A4:L1000,3,FALSE)+(IF(ISBLANK(Draft!L14),0,VLOOKUP(Draft!L14, 'NO USAR1'!A4:L1000,3,FALSE)+IF(ISBLANK(Draft!M3),0,VLOOKUP(Draft!M3, 'NO USAR1'!A4:L1000,3,FALSE)+IF(ISBLANK(Draft!N14),0,VLOOKUP(Draft!N14, 'NO USAR1'!A4:L1000,3,FALSE))))))))))))))))))))))))</f>
        <v>-2.76095113</v>
      </c>
      <c r="F5" s="23">
        <f>((IF(ISBLANK(Draft!C3),0,VLOOKUP(Draft!C3, 'NO USAR1'!A4:L1000,4,FALSE)+(IF(ISBLANK(Draft!D14),0,VLOOKUP(Draft!D14, 'NO USAR1'!A4:L1000,4,FALSE)+(IF(ISBLANK(Draft!E3),0,VLOOKUP(Draft!E3, 'NO USAR1'!A4:L1000,4,FALSE)+(IF(ISBLANK(Draft!F14),0,VLOOKUP(Draft!F14, 'NO USAR1'!A4:L1000,4,FALSE)+(IF(ISBLANK(Draft!G3),0,VLOOKUP(Draft!G3, 'NO USAR1'!A4:L1000,4,FALSE)+(IF(ISBLANK(Draft!H14),0,VLOOKUP(Draft!H14, 'NO USAR1'!A4:L1000,4,FALSE)+(IF(ISBLANK(Draft!I3),0,VLOOKUP(Draft!I3, 'NO USAR1'!A4:L1000,4,FALSE)+(IF(ISBLANK(Draft!J14),0,VLOOKUP(Draft!J14, 'NO USAR1'!A4:L1000,4,FALSE)+(IF(ISBLANK(Draft!K3),0,VLOOKUP(Draft!K3, 'NO USAR1'!A4:L1000,4,FALSE)+(IF(ISBLANK(Draft!L14),0,VLOOKUP(Draft!L14, 'NO USAR1'!A4:L1000,4,FALSE)+IF(ISBLANK(Draft!M3),0,VLOOKUP(Draft!M3, 'NO USAR1'!A4:L1000,4,FALSE)+IF(ISBLANK(Draft!N14),0,VLOOKUP(Draft!N14, 'NO USAR1'!A4:L1000,4,FALSE))))))))))))))))))))))))</f>
        <v>0.3290380531</v>
      </c>
      <c r="G5" s="23">
        <f>((IF(ISBLANK(Draft!C3),0,VLOOKUP(Draft!C3, 'NO USAR1'!A4:L1000,5,FALSE)+(IF(ISBLANK(Draft!D14),0,VLOOKUP(Draft!D14, 'NO USAR1'!A4:L1000,5,FALSE)+(IF(ISBLANK(Draft!E3),0,VLOOKUP(Draft!E3, 'NO USAR1'!A4:L1000,5,FALSE)+(IF(ISBLANK(Draft!F14),0,VLOOKUP(Draft!F14, 'NO USAR1'!A4:L1000,5,FALSE)+(IF(ISBLANK(Draft!G3),0,VLOOKUP(Draft!G3, 'NO USAR1'!A4:L1000,5,FALSE)+(IF(ISBLANK(Draft!H14),0,VLOOKUP(Draft!H14, 'NO USAR1'!A4:L1000,5,FALSE)+(IF(ISBLANK(Draft!I3),0,VLOOKUP(Draft!I3, 'NO USAR1'!A4:L1000,5,FALSE)+(IF(ISBLANK(Draft!J14),0,VLOOKUP(Draft!J14, 'NO USAR1'!A4:L1000,5,FALSE)+(IF(ISBLANK(Draft!K3),0,VLOOKUP(Draft!K3, 'NO USAR1'!A4:L1000,5,FALSE)+(IF(ISBLANK(Draft!L14),0,VLOOKUP(Draft!L14, 'NO USAR1'!A4:L1000,5,FALSE)+IF(ISBLANK(Draft!M3),0,VLOOKUP(Draft!M3, 'NO USAR1'!A4:L1000,5,FALSE)+IF(ISBLANK(Draft!N14),0,VLOOKUP(Draft!N14, 'NO USAR1'!A4:L1000,5,FALSE))))))))))))))))))))))))</f>
        <v>1.90649834</v>
      </c>
      <c r="H5" s="23">
        <f>((IF(ISBLANK(Draft!C3),0,VLOOKUP(Draft!C3, 'NO USAR1'!A4:L1000,6,FALSE)+(IF(ISBLANK(Draft!D14),0,VLOOKUP(Draft!D14, 'NO USAR1'!A4:L1000,6,FALSE)+(IF(ISBLANK(Draft!E3),0,VLOOKUP(Draft!E3, 'NO USAR1'!A4:L1000,6,FALSE)+(IF(ISBLANK(Draft!F14),0,VLOOKUP(Draft!F14, 'NO USAR1'!A4:L1000,6,FALSE)+(IF(ISBLANK(Draft!G3),0,VLOOKUP(Draft!G3, 'NO USAR1'!A4:L1000,6,FALSE)+(IF(ISBLANK(Draft!H14),0,VLOOKUP(Draft!H14, 'NO USAR1'!A4:L1000,6,FALSE)+(IF(ISBLANK(Draft!I3),0,VLOOKUP(Draft!I3, 'NO USAR1'!A4:L1000,6,FALSE)+(IF(ISBLANK(Draft!J14),0,VLOOKUP(Draft!J14, 'NO USAR1'!A4:L1000,6,FALSE)+(IF(ISBLANK(Draft!K3),0,VLOOKUP(Draft!K3, 'NO USAR1'!A4:L1000,6,FALSE)+(IF(ISBLANK(Draft!L14),0,VLOOKUP(Draft!L14, 'NO USAR1'!A4:L1000,6,FALSE)+IF(ISBLANK(Draft!M3),0,VLOOKUP(Draft!M3, 'NO USAR1'!A4:L1000,6,FALSE)+IF(ISBLANK(Draft!N14),0,VLOOKUP(Draft!N14, 'NO USAR1'!A4:L1000,6,FALSE))))))))))))))))))))))))</f>
        <v>1.477166739</v>
      </c>
      <c r="I5" s="23">
        <f>((IF(ISBLANK(Draft!C3),0,VLOOKUP(Draft!C3, 'NO USAR1'!A4:L1000,7,FALSE)+(IF(ISBLANK(Draft!D14),0,VLOOKUP(Draft!D14, 'NO USAR1'!A4:L1000,7,FALSE)+(IF(ISBLANK(Draft!E3),0,VLOOKUP(Draft!E3, 'NO USAR1'!A4:L1000,7,FALSE)+(IF(ISBLANK(Draft!F14),0,VLOOKUP(Draft!F14, 'NO USAR1'!A4:L1000,7,FALSE)+(IF(ISBLANK(Draft!G3),0,VLOOKUP(Draft!G3, 'NO USAR1'!A4:L1000,7,FALSE)+(IF(ISBLANK(Draft!H14),0,VLOOKUP(Draft!H14, 'NO USAR1'!A4:L1000,7,FALSE)+(IF(ISBLANK(Draft!I3),0,VLOOKUP(Draft!I3, 'NO USAR1'!A4:L1000,7,FALSE)+(IF(ISBLANK(Draft!J14),0,VLOOKUP(Draft!J14, 'NO USAR1'!A4:L1000,7,FALSE)+(IF(ISBLANK(Draft!K3),0,VLOOKUP(Draft!K3, 'NO USAR1'!A4:L1000,7,FALSE)+(IF(ISBLANK(Draft!L14),0,VLOOKUP(Draft!L14, 'NO USAR1'!A4:L1000,7,FALSE)+IF(ISBLANK(Draft!M3),0,VLOOKUP(Draft!M3, 'NO USAR1'!A4:L1000,7,FALSE)+IF(ISBLANK(Draft!N14),0,VLOOKUP(Draft!N14, 'NO USAR1'!A4:L1000,7,FALSE))))))))))))))))))))))))</f>
        <v>-0.3456233259</v>
      </c>
      <c r="J5" s="42">
        <f>((IF(ISBLANK(Draft!C3),0,VLOOKUP(Draft!C3, 'NO USAR1'!A4:L1000,8,FALSE)+(IF(ISBLANK(Draft!D14),0,VLOOKUP(Draft!D14, 'NO USAR1'!A4:L1000,8,FALSE)+(IF(ISBLANK(Draft!E3),0,VLOOKUP(Draft!E3, 'NO USAR1'!A4:L1000,8,FALSE)+(IF(ISBLANK(Draft!F14),0,VLOOKUP(Draft!F14, 'NO USAR1'!A4:L1000,8,FALSE)+(IF(ISBLANK(Draft!G3),0,VLOOKUP(Draft!G3, 'NO USAR1'!A4:L1000,8,FALSE)+(IF(ISBLANK(Draft!H14),0,VLOOKUP(Draft!H14, 'NO USAR1'!A4:L1000,8,FALSE)+(IF(ISBLANK(Draft!I3),0,VLOOKUP(Draft!I3, 'NO USAR1'!A4:L1000,8,FALSE)+(IF(ISBLANK(Draft!J14),0,VLOOKUP(Draft!J14, 'NO USAR1'!A4:L1000,8,FALSE)+(IF(ISBLANK(Draft!K3),0,VLOOKUP(Draft!K3, 'NO USAR1'!A4:L1000,8,FALSE)+(IF(ISBLANK(Draft!L14),0,VLOOKUP(Draft!L14, 'NO USAR1'!A4:L1000,8,FALSE)+IF(ISBLANK(Draft!M3),0,VLOOKUP(Draft!M3, 'NO USAR1'!A4:L1000,8,FALSE)+IF(ISBLANK(Draft!N14),0,VLOOKUP(Draft!N14, 'NO USAR1'!A4:L1000,8,FALSE))))))))))))))))))))))))</f>
        <v>-0.3451049894</v>
      </c>
      <c r="K5" s="23">
        <f>((IF(ISBLANK(Draft!C3),0,VLOOKUP(Draft!C3, 'NO USAR1'!A4:L1000,10,FALSE)+(IF(ISBLANK(Draft!D14),0,VLOOKUP(Draft!D14, 'NO USAR1'!A4:L1000,10,FALSE)+(IF(ISBLANK(Draft!E3),0,VLOOKUP(Draft!E3, 'NO USAR1'!A4:L1000,10,FALSE)+(IF(ISBLANK(Draft!F14),0,VLOOKUP(Draft!F14, 'NO USAR1'!A4:L1000,10,FALSE)+(IF(ISBLANK(Draft!G3),0,VLOOKUP(Draft!G3, 'NO USAR1'!A4:L1000,10,FALSE)+(IF(ISBLANK(Draft!H14),0,VLOOKUP(Draft!H14, 'NO USAR1'!A4:L1000,10,FALSE)+(IF(ISBLANK(Draft!I3),0,VLOOKUP(Draft!I3, 'NO USAR1'!A4:L1000,10,FALSE)+(IF(ISBLANK(Draft!J14),0,VLOOKUP(Draft!J14, 'NO USAR1'!A4:L1000,10,FALSE)+(IF(ISBLANK(Draft!K3),0,VLOOKUP(Draft!K3, 'NO USAR1'!A4:L1000,10,FALSE)+(IF(ISBLANK(Draft!L14),0,VLOOKUP(Draft!L14, 'NO USAR1'!A4:L1000,10,FALSE)+IF(ISBLANK(Draft!M3),0,VLOOKUP(Draft!M3, 'NO USAR1'!A4:L1000,10,FALSE)+IF(ISBLANK(Draft!N14),0,VLOOKUP(Draft!N14, 'NO USAR1'!A4:L1000,10,FALSE))))))))))))))))))))))))</f>
        <v>-0.5736774669</v>
      </c>
      <c r="L5" s="23">
        <f>((IF(ISBLANK(Draft!C3),0,VLOOKUP(Draft!C3, 'NO USAR1'!A4:L1000,12,FALSE)+(IF(ISBLANK(Draft!D14),0,VLOOKUP(Draft!D14, 'NO USAR1'!A4:L1000,12,FALSE)+(IF(ISBLANK(Draft!E3),0,VLOOKUP(Draft!E3, 'NO USAR1'!A4:L1000,12,FALSE)+(IF(ISBLANK(Draft!F14),0,VLOOKUP(Draft!F14, 'NO USAR1'!A4:L1000,12,FALSE)+(IF(ISBLANK(Draft!G3),0,VLOOKUP(Draft!G3, 'NO USAR1'!A4:L1000,12,FALSE)+(IF(ISBLANK(Draft!H14),0,VLOOKUP(Draft!H14, 'NO USAR1'!A4:L1000,12,FALSE)+(IF(ISBLANK(Draft!I3),0,VLOOKUP(Draft!I3, 'NO USAR1'!A4:L1000,12,FALSE)+(IF(ISBLANK(Draft!J14),0,VLOOKUP(Draft!J14, 'NO USAR1'!A4:L1000,12,FALSE)+(IF(ISBLANK(Draft!K3),0,VLOOKUP(Draft!K3, 'NO USAR1'!A4:L1000,12,FALSE)+(IF(ISBLANK(Draft!L14),0,VLOOKUP(Draft!L14, 'NO USAR1'!A4:L1000,12,FALSE)+IF(ISBLANK(Draft!M3),0,VLOOKUP(Draft!M3, 'NO USAR1'!A4:L1000,12,FALSE)+IF(ISBLANK(Draft!N14),0,VLOOKUP(Draft!N14, 'NO USAR1'!A4:L1000,12,FALSE))))))))))))))))))))))))</f>
        <v>-2.152495364</v>
      </c>
      <c r="M5" s="49" t="str">
        <f t="array" ref="M5">if(M$3=$C5,"-", countif(indirect(address(row($C$4)+ VLOOKUP(M$3,$C$5:$C$16,1),COLUMN($D$4))):indirect(address(row($C$4)+ VLOOKUP(M$3,$C$5:$C$16,1),COLUMN($L$4)))&gt;indirect(address(row($C5),COLUMN($D$4))):indirect(address(row($C5),COLUMN($L$4))),TRUE()))</f>
        <v>-</v>
      </c>
      <c r="N5" s="49">
        <f t="array" ref="N5">if(N$3=$C5,"-", countif(indirect(address(row($C$4)+ VLOOKUP(N$3,$C$5:$C$16,1),COLUMN($D$4))):indirect(address(row($C$4)+ VLOOKUP(N$3,$C$5:$C$16,1),COLUMN($L$4)))&gt;indirect(address(row($C5),COLUMN($D$4))):indirect(address(row($C5),COLUMN($L$4))),TRUE()))</f>
        <v>5</v>
      </c>
      <c r="O5" s="49">
        <f t="array" ref="O5">if(O$3=$C5,"-", countif(indirect(address(row($C$4)+ VLOOKUP(O$3,$C$5:$C$16,1),COLUMN($D$4))):indirect(address(row($C$4)+ VLOOKUP(O$3,$C$5:$C$16,1),COLUMN($L$4)))&gt;indirect(address(row($C5),COLUMN($D$4))):indirect(address(row($C5),COLUMN($L$4))),TRUE()))</f>
        <v>5</v>
      </c>
      <c r="P5" s="49">
        <f t="array" ref="P5">if(P$3=$C5,"-", countif(indirect(address(row($C$4)+ VLOOKUP(P$3,$C$5:$C$16,1),COLUMN($D$4))):indirect(address(row($C$4)+ VLOOKUP(P$3,$C$5:$C$16,1),COLUMN($L$4)))&gt;indirect(address(row($C5),COLUMN($D$4))):indirect(address(row($C5),COLUMN($L$4))),TRUE()))</f>
        <v>4</v>
      </c>
      <c r="Q5" s="49">
        <f t="array" ref="Q5">if(Q$3=$C5,"-", countif(indirect(address(row($C$4)+ VLOOKUP(Q$3,$C$5:$C$16,1),COLUMN($D$4))):indirect(address(row($C$4)+ VLOOKUP(Q$3,$C$5:$C$16,1),COLUMN($L$4)))&gt;indirect(address(row($C5),COLUMN($D$4))):indirect(address(row($C5),COLUMN($L$4))),TRUE()))</f>
        <v>5</v>
      </c>
      <c r="R5" s="49">
        <f t="array" ref="R5">if(R$3=$C5,"-", countif(indirect(address(row($C$4)+ VLOOKUP(R$3,$C$5:$C$16,1),COLUMN($D$4))):indirect(address(row($C$4)+ VLOOKUP(R$3,$C$5:$C$16,1),COLUMN($L$4)))&gt;indirect(address(row($C5),COLUMN($D$4))):indirect(address(row($C5),COLUMN($L$4))),TRUE()))</f>
        <v>6</v>
      </c>
      <c r="S5" s="49">
        <f t="array" ref="S5">if(S$3=$C5,"-", countif(indirect(address(row($C$4)+ VLOOKUP(S$3,$C$5:$C$16,1),COLUMN($D$4))):indirect(address(row($C$4)+ VLOOKUP(S$3,$C$5:$C$16,1),COLUMN($L$4)))&gt;indirect(address(row($C5),COLUMN($D$4))):indirect(address(row($C5),COLUMN($L$4))),TRUE()))</f>
        <v>6</v>
      </c>
      <c r="T5" s="49">
        <f t="array" ref="T5">if(T$3=$C5,"-", countif(indirect(address(row($C$4)+ VLOOKUP(T$3,$C$5:$C$16,1),COLUMN($D$4))):indirect(address(row($C$4)+ VLOOKUP(T$3,$C$5:$C$16,1),COLUMN($L$4)))&gt;indirect(address(row($C5),COLUMN($D$4))):indirect(address(row($C5),COLUMN($L$4))),TRUE()))</f>
        <v>4</v>
      </c>
      <c r="U5" s="49">
        <f t="array" ref="U5">if(U$3=$C5,"-", countif(indirect(address(row($C$4)+ VLOOKUP(U$3,$C$5:$C$16,1),COLUMN($D$4))):indirect(address(row($C$4)+ VLOOKUP(U$3,$C$5:$C$16,1),COLUMN($L$4)))&gt;indirect(address(row($C5),COLUMN($D$4))):indirect(address(row($C5),COLUMN($L$4))),TRUE()))</f>
        <v>6</v>
      </c>
      <c r="V5" s="49">
        <f t="array" ref="V5">if(V$3=$C5,"-", countif(indirect(address(row($C$4)+ VLOOKUP(V$3,$C$5:$C$16,1),COLUMN($D$4))):indirect(address(row($C$4)+ VLOOKUP(V$3,$C$5:$C$16,1),COLUMN($L$4)))&gt;indirect(address(row($C5),COLUMN($D$4))):indirect(address(row($C5),COLUMN($L$4))),TRUE()))</f>
        <v>3</v>
      </c>
      <c r="W5" s="49">
        <f t="array" ref="W5">if(W$3=$C5,"-", countif(indirect(address(row($C$4)+ VLOOKUP(W$3,$C$5:$C$16,1),COLUMN($D$4))):indirect(address(row($C$4)+ VLOOKUP(W$3,$C$5:$C$16,1),COLUMN($L$4)))&gt;indirect(address(row($C5),COLUMN($D$4))):indirect(address(row($C5),COLUMN($L$4))),TRUE()))</f>
        <v>5</v>
      </c>
      <c r="X5" s="49">
        <f t="array" ref="X5">if(X$3=$C5,"-", countif(indirect(address(row($C$4)+ VLOOKUP(X$3,$C$5:$C$16,1),COLUMN($D$4))):indirect(address(row($C$4)+ VLOOKUP(X$3,$C$5:$C$16,1),COLUMN($L$4)))&gt;indirect(address(row($C5),COLUMN($D$4))):indirect(address(row($C5),COLUMN($L$4))),TRUE()))</f>
        <v>4</v>
      </c>
      <c r="Y5" s="49">
        <f t="array" ref="Y5">if(D$1=$C5,"-", countif(indirect(address(row($C$4)+ VLOOKUP(D$1,$C$5:$C$16,1),COLUMN($D$4))):indirect(address(row($C$4)+ VLOOKUP(D$1,$C$5:$C$16,1),COLUMN($L$4)))&gt;indirect(address(row($C5),COLUMN($D$4))):indirect(address(row($C5),COLUMN($L$4))),TRUE()))</f>
        <v>6</v>
      </c>
      <c r="Z5" s="23">
        <f>SUM(M$5:M$16)/99</f>
        <v>0.4646464646</v>
      </c>
    </row>
    <row r="6">
      <c r="B6" s="13" t="b">
        <f>Draft!B4</f>
        <v>0</v>
      </c>
      <c r="C6" s="12">
        <v>2.0</v>
      </c>
      <c r="D6" s="23">
        <f>((IF(ISBLANK(Draft!C4),0,VLOOKUP(Draft!C4, 'NO USAR1'!A4:L1000,2,FALSE)+(IF(ISBLANK(Draft!D13),0,VLOOKUP(Draft!D13, 'NO USAR1'!A4:L1000,2,FALSE)+(IF(ISBLANK(Draft!E4),0,VLOOKUP(Draft!E4, 'NO USAR1'!A4:L1000,2,FALSE)+(IF(ISBLANK(Draft!F13),0,VLOOKUP(Draft!F13, 'NO USAR1'!A4:L1000,2,FALSE)+(IF(ISBLANK(Draft!G4),0,VLOOKUP(Draft!G4, 'NO USAR1'!A4:L1000,2,FALSE)+(IF(ISBLANK(Draft!H13),0,VLOOKUP(Draft!H13, 'NO USAR1'!A4:L1000,2,FALSE)+(IF(ISBLANK(Draft!I4),0,VLOOKUP(Draft!I4, 'NO USAR1'!A4:L1000,2,FALSE)+(IF(ISBLANK(Draft!J13),0,VLOOKUP(Draft!J13, 'NO USAR1'!A4:L1000,2,FALSE)+(IF(ISBLANK(Draft!K4),0,VLOOKUP(Draft!K4, 'NO USAR1'!A4:L1000,2,FALSE)+(IF(ISBLANK(Draft!L13),0,VLOOKUP(Draft!L13, 'NO USAR1'!A4:L1000,2,FALSE)+IF(ISBLANK(Draft!M4),0,VLOOKUP(Draft!M4, 'NO USAR1'!A4:L1000,2,FALSE)+IF(ISBLANK(Draft!N13),0,VLOOKUP(Draft!N13, 'NO USAR1'!A4:L1000,2,FALSE))))))))))))))))))))))))</f>
        <v>0.9355117001</v>
      </c>
      <c r="E6" s="23">
        <f>((IF(ISBLANK(Draft!C4),0,VLOOKUP(Draft!C4, 'NO USAR1'!A4:L1000,3,FALSE)+(IF(ISBLANK(Draft!D13),0,VLOOKUP(Draft!D13, 'NO USAR1'!A4:L1000,3,FALSE)+(IF(ISBLANK(Draft!E4),0,VLOOKUP(Draft!E4, 'NO USAR1'!A4:L1000,3,FALSE)+(IF(ISBLANK(Draft!F13),0,VLOOKUP(Draft!F13, 'NO USAR1'!A4:L1000,3,FALSE)+(IF(ISBLANK(Draft!G4),0,VLOOKUP(Draft!G4, 'NO USAR1'!A4:L1000,3,FALSE)+(IF(ISBLANK(Draft!H13),0,VLOOKUP(Draft!H13, 'NO USAR1'!A4:L1000,3,FALSE)+(IF(ISBLANK(Draft!I4),0,VLOOKUP(Draft!I4, 'NO USAR1'!A4:L1000,3,FALSE)+(IF(ISBLANK(Draft!J13),0,VLOOKUP(Draft!J13, 'NO USAR1'!A4:L1000,3,FALSE)+(IF(ISBLANK(Draft!K4),0,VLOOKUP(Draft!K4, 'NO USAR1'!A4:L1000,3,FALSE)+(IF(ISBLANK(Draft!L13),0,VLOOKUP(Draft!L13, 'NO USAR1'!A4:L1000,3,FALSE)+IF(ISBLANK(Draft!M4),0,VLOOKUP(Draft!M4, 'NO USAR1'!A4:L1000,3,FALSE)+IF(ISBLANK(Draft!N13),0,VLOOKUP(Draft!N13, 'NO USAR1'!A4:L1000,3,FALSE))))))))))))))))))))))))</f>
        <v>-1.734151123</v>
      </c>
      <c r="F6" s="23">
        <f>((IF(ISBLANK(Draft!C4),0,VLOOKUP(Draft!C4, 'NO USAR1'!A4:L1000,4,FALSE)+(IF(ISBLANK(Draft!D13),0,VLOOKUP(Draft!D13, 'NO USAR1'!A4:L1000,4,FALSE)+(IF(ISBLANK(Draft!E4),0,VLOOKUP(Draft!E4, 'NO USAR1'!A4:L1000,4,FALSE)+(IF(ISBLANK(Draft!F13),0,VLOOKUP(Draft!F13, 'NO USAR1'!A4:L1000,4,FALSE)+(IF(ISBLANK(Draft!G4),0,VLOOKUP(Draft!G4, 'NO USAR1'!A4:L1000,4,FALSE)+(IF(ISBLANK(Draft!H13),0,VLOOKUP(Draft!H13, 'NO USAR1'!A4:L1000,4,FALSE)+(IF(ISBLANK(Draft!I4),0,VLOOKUP(Draft!I4, 'NO USAR1'!A4:L1000,4,FALSE)+(IF(ISBLANK(Draft!J13),0,VLOOKUP(Draft!J13, 'NO USAR1'!A4:L1000,4,FALSE)+(IF(ISBLANK(Draft!K4),0,VLOOKUP(Draft!K4, 'NO USAR1'!A4:L1000,4,FALSE)+(IF(ISBLANK(Draft!L13),0,VLOOKUP(Draft!L13, 'NO USAR1'!A4:L1000,4,FALSE)+IF(ISBLANK(Draft!M4),0,VLOOKUP(Draft!M4, 'NO USAR1'!A4:L1000,4,FALSE)+IF(ISBLANK(Draft!N13),0,VLOOKUP(Draft!N13, 'NO USAR1'!A4:L1000,4,FALSE))))))))))))))))))))))))</f>
        <v>3.737225713</v>
      </c>
      <c r="G6" s="23">
        <f>((IF(ISBLANK(Draft!C4),0,VLOOKUP(Draft!C4, 'NO USAR1'!A4:L1000,5,FALSE)+(IF(ISBLANK(Draft!D13),0,VLOOKUP(Draft!D13, 'NO USAR1'!A4:L1000,5,FALSE)+(IF(ISBLANK(Draft!E4),0,VLOOKUP(Draft!E4, 'NO USAR1'!A4:L1000,5,FALSE)+(IF(ISBLANK(Draft!F13),0,VLOOKUP(Draft!F13, 'NO USAR1'!A4:L1000,5,FALSE)+(IF(ISBLANK(Draft!G4),0,VLOOKUP(Draft!G4, 'NO USAR1'!A4:L1000,5,FALSE)+(IF(ISBLANK(Draft!H13),0,VLOOKUP(Draft!H13, 'NO USAR1'!A4:L1000,5,FALSE)+(IF(ISBLANK(Draft!I4),0,VLOOKUP(Draft!I4, 'NO USAR1'!A4:L1000,5,FALSE)+(IF(ISBLANK(Draft!J13),0,VLOOKUP(Draft!J13, 'NO USAR1'!A4:L1000,5,FALSE)+(IF(ISBLANK(Draft!K4),0,VLOOKUP(Draft!K4, 'NO USAR1'!A4:L1000,5,FALSE)+(IF(ISBLANK(Draft!L13),0,VLOOKUP(Draft!L13, 'NO USAR1'!A4:L1000,5,FALSE)+IF(ISBLANK(Draft!M4),0,VLOOKUP(Draft!M4, 'NO USAR1'!A4:L1000,5,FALSE)+IF(ISBLANK(Draft!N13),0,VLOOKUP(Draft!N13, 'NO USAR1'!A4:L1000,5,FALSE))))))))))))))))))))))))</f>
        <v>2.41054684</v>
      </c>
      <c r="H6" s="23">
        <f>((IF(ISBLANK(Draft!C4),0,VLOOKUP(Draft!C4, 'NO USAR1'!A4:L1000,6,FALSE)+(IF(ISBLANK(Draft!D13),0,VLOOKUP(Draft!D13, 'NO USAR1'!A4:L1000,6,FALSE)+(IF(ISBLANK(Draft!E4),0,VLOOKUP(Draft!E4, 'NO USAR1'!A4:L1000,6,FALSE)+(IF(ISBLANK(Draft!F13),0,VLOOKUP(Draft!F13, 'NO USAR1'!A4:L1000,6,FALSE)+(IF(ISBLANK(Draft!G4),0,VLOOKUP(Draft!G4, 'NO USAR1'!A4:L1000,6,FALSE)+(IF(ISBLANK(Draft!H13),0,VLOOKUP(Draft!H13, 'NO USAR1'!A4:L1000,6,FALSE)+(IF(ISBLANK(Draft!I4),0,VLOOKUP(Draft!I4, 'NO USAR1'!A4:L1000,6,FALSE)+(IF(ISBLANK(Draft!J13),0,VLOOKUP(Draft!J13, 'NO USAR1'!A4:L1000,6,FALSE)+(IF(ISBLANK(Draft!K4),0,VLOOKUP(Draft!K4, 'NO USAR1'!A4:L1000,6,FALSE)+(IF(ISBLANK(Draft!L13),0,VLOOKUP(Draft!L13, 'NO USAR1'!A4:L1000,6,FALSE)+IF(ISBLANK(Draft!M4),0,VLOOKUP(Draft!M4, 'NO USAR1'!A4:L1000,6,FALSE)+IF(ISBLANK(Draft!N13),0,VLOOKUP(Draft!N13, 'NO USAR1'!A4:L1000,6,FALSE))))))))))))))))))))))))</f>
        <v>1.176465634</v>
      </c>
      <c r="I6" s="23">
        <f>((IF(ISBLANK(Draft!C4),0,VLOOKUP(Draft!C4, 'NO USAR1'!A4:L1000,7,FALSE)+(IF(ISBLANK(Draft!D13),0,VLOOKUP(Draft!D13, 'NO USAR1'!A4:L1000,7,FALSE)+(IF(ISBLANK(Draft!E4),0,VLOOKUP(Draft!E4, 'NO USAR1'!A4:L1000,7,FALSE)+(IF(ISBLANK(Draft!F13),0,VLOOKUP(Draft!F13, 'NO USAR1'!A4:L1000,7,FALSE)+(IF(ISBLANK(Draft!G4),0,VLOOKUP(Draft!G4, 'NO USAR1'!A4:L1000,7,FALSE)+(IF(ISBLANK(Draft!H13),0,VLOOKUP(Draft!H13, 'NO USAR1'!A4:L1000,7,FALSE)+(IF(ISBLANK(Draft!I4),0,VLOOKUP(Draft!I4, 'NO USAR1'!A4:L1000,7,FALSE)+(IF(ISBLANK(Draft!J13),0,VLOOKUP(Draft!J13, 'NO USAR1'!A4:L1000,7,FALSE)+(IF(ISBLANK(Draft!K4),0,VLOOKUP(Draft!K4, 'NO USAR1'!A4:L1000,7,FALSE)+(IF(ISBLANK(Draft!L13),0,VLOOKUP(Draft!L13, 'NO USAR1'!A4:L1000,7,FALSE)+IF(ISBLANK(Draft!M4),0,VLOOKUP(Draft!M4, 'NO USAR1'!A4:L1000,7,FALSE)+IF(ISBLANK(Draft!N13),0,VLOOKUP(Draft!N13, 'NO USAR1'!A4:L1000,7,FALSE))))))))))))))))))))))))</f>
        <v>0.8792657411</v>
      </c>
      <c r="J6" s="23">
        <f>((IF(ISBLANK(Draft!C4),0,VLOOKUP(Draft!C4, 'NO USAR1'!A4:L1000,8,FALSE)+(IF(ISBLANK(Draft!D13),0,VLOOKUP(Draft!D13, 'NO USAR1'!A4:L1000,8,FALSE)+(IF(ISBLANK(Draft!E4),0,VLOOKUP(Draft!E4, 'NO USAR1'!A4:L1000,8,FALSE)+(IF(ISBLANK(Draft!F13),0,VLOOKUP(Draft!F13, 'NO USAR1'!A4:L1000,8,FALSE)+(IF(ISBLANK(Draft!G4),0,VLOOKUP(Draft!G4, 'NO USAR1'!A4:L1000,8,FALSE)+(IF(ISBLANK(Draft!H13),0,VLOOKUP(Draft!H13, 'NO USAR1'!A4:L1000,8,FALSE)+(IF(ISBLANK(Draft!I4),0,VLOOKUP(Draft!I4, 'NO USAR1'!A4:L1000,8,FALSE)+(IF(ISBLANK(Draft!J13),0,VLOOKUP(Draft!J13, 'NO USAR1'!A4:L1000,8,FALSE)+(IF(ISBLANK(Draft!K4),0,VLOOKUP(Draft!K4, 'NO USAR1'!A4:L1000,8,FALSE)+(IF(ISBLANK(Draft!L13),0,VLOOKUP(Draft!L13, 'NO USAR1'!A4:L1000,8,FALSE)+IF(ISBLANK(Draft!M4),0,VLOOKUP(Draft!M4, 'NO USAR1'!A4:L1000,8,FALSE)+IF(ISBLANK(Draft!N13),0,VLOOKUP(Draft!N13, 'NO USAR1'!A4:L1000,8,FALSE))))))))))))))))))))))))</f>
        <v>0.679233532</v>
      </c>
      <c r="K6" s="23">
        <f>((IF(ISBLANK(Draft!C4),0,VLOOKUP(Draft!C4, 'NO USAR1'!A4:L1000,10,FALSE)+(IF(ISBLANK(Draft!D13),0,VLOOKUP(Draft!D13, 'NO USAR1'!A4:L1000,10,FALSE)+(IF(ISBLANK(Draft!E4),0,VLOOKUP(Draft!E4, 'NO USAR1'!A4:L1000,10,FALSE)+(IF(ISBLANK(Draft!F13),0,VLOOKUP(Draft!F13, 'NO USAR1'!A4:L1000,10,FALSE)+(IF(ISBLANK(Draft!G4),0,VLOOKUP(Draft!G4, 'NO USAR1'!A4:L1000,10,FALSE)+(IF(ISBLANK(Draft!H13),0,VLOOKUP(Draft!H13, 'NO USAR1'!A4:L1000,10,FALSE)+(IF(ISBLANK(Draft!I4),0,VLOOKUP(Draft!I4, 'NO USAR1'!A4:L1000,10,FALSE)+(IF(ISBLANK(Draft!J13),0,VLOOKUP(Draft!J13, 'NO USAR1'!A4:L1000,10,FALSE)+(IF(ISBLANK(Draft!K4),0,VLOOKUP(Draft!K4, 'NO USAR1'!A4:L1000,10,FALSE)+(IF(ISBLANK(Draft!L13),0,VLOOKUP(Draft!L13, 'NO USAR1'!A4:L1000,10,FALSE)+IF(ISBLANK(Draft!M4),0,VLOOKUP(Draft!M4, 'NO USAR1'!A4:L1000,10,FALSE)+IF(ISBLANK(Draft!N13),0,VLOOKUP(Draft!N13, 'NO USAR1'!A4:L1000,10,FALSE))))))))))))))))))))))))</f>
        <v>-6.805371478</v>
      </c>
      <c r="L6" s="23">
        <f>((IF(ISBLANK(Draft!C4),0,VLOOKUP(Draft!C4, 'NO USAR1'!A4:L1000,12,FALSE)+(IF(ISBLANK(Draft!D13),0,VLOOKUP(Draft!D13, 'NO USAR1'!A4:L1000,12,FALSE)+(IF(ISBLANK(Draft!E4),0,VLOOKUP(Draft!E4, 'NO USAR1'!A4:L1000,12,FALSE)+(IF(ISBLANK(Draft!F13),0,VLOOKUP(Draft!F13, 'NO USAR1'!A4:L1000,12,FALSE)+(IF(ISBLANK(Draft!G4),0,VLOOKUP(Draft!G4, 'NO USAR1'!A4:L1000,12,FALSE)+(IF(ISBLANK(Draft!H13),0,VLOOKUP(Draft!H13, 'NO USAR1'!A4:L1000,12,FALSE)+(IF(ISBLANK(Draft!I4),0,VLOOKUP(Draft!I4, 'NO USAR1'!A4:L1000,12,FALSE)+(IF(ISBLANK(Draft!J13),0,VLOOKUP(Draft!J13, 'NO USAR1'!A4:L1000,12,FALSE)+(IF(ISBLANK(Draft!K4),0,VLOOKUP(Draft!K4, 'NO USAR1'!A4:L1000,12,FALSE)+(IF(ISBLANK(Draft!L13),0,VLOOKUP(Draft!L13, 'NO USAR1'!A4:L1000,12,FALSE)+IF(ISBLANK(Draft!M4),0,VLOOKUP(Draft!M4, 'NO USAR1'!A4:L1000,12,FALSE)+IF(ISBLANK(Draft!N13),0,VLOOKUP(Draft!N13, 'NO USAR1'!A4:L1000,12,FALSE))))))))))))))))))))))))</f>
        <v>-3.743534608</v>
      </c>
      <c r="M6" s="49">
        <f t="array" ref="M6">if(M$3=$C6,"-", countif(indirect(address(row($C$4)+ VLOOKUP(M$3,$C$5:$C$16,1),COLUMN($D$4))):indirect(address(row($C$4)+ VLOOKUP(M$3,$C$5:$C$16,1),COLUMN($L$4)))&gt;indirect(address(row($C6),COLUMN($D$4))):indirect(address(row($C6),COLUMN($L$4))),TRUE()))</f>
        <v>4</v>
      </c>
      <c r="N6" s="49" t="str">
        <f t="array" ref="N6">if(N$3=$C6,"-", countif(indirect(address(row($C$4)+ VLOOKUP(N$3,$C$5:$C$16,1),COLUMN($D$4))):indirect(address(row($C$4)+ VLOOKUP(N$3,$C$5:$C$16,1),COLUMN($L$4)))&gt;indirect(address(row($C6),COLUMN($D$4))):indirect(address(row($C6),COLUMN($L$4))),TRUE()))</f>
        <v>-</v>
      </c>
      <c r="O6" s="49">
        <f t="array" ref="O6">if(O$3=$C6,"-", countif(indirect(address(row($C$4)+ VLOOKUP(O$3,$C$5:$C$16,1),COLUMN($D$4))):indirect(address(row($C$4)+ VLOOKUP(O$3,$C$5:$C$16,1),COLUMN($L$4)))&gt;indirect(address(row($C6),COLUMN($D$4))):indirect(address(row($C6),COLUMN($L$4))),TRUE()))</f>
        <v>6</v>
      </c>
      <c r="P6" s="49">
        <f t="array" ref="P6">if(P$3=$C6,"-", countif(indirect(address(row($C$4)+ VLOOKUP(P$3,$C$5:$C$16,1),COLUMN($D$4))):indirect(address(row($C$4)+ VLOOKUP(P$3,$C$5:$C$16,1),COLUMN($L$4)))&gt;indirect(address(row($C6),COLUMN($D$4))):indirect(address(row($C6),COLUMN($L$4))),TRUE()))</f>
        <v>4</v>
      </c>
      <c r="Q6" s="49">
        <f t="array" ref="Q6">if(Q$3=$C6,"-", countif(indirect(address(row($C$4)+ VLOOKUP(Q$3,$C$5:$C$16,1),COLUMN($D$4))):indirect(address(row($C$4)+ VLOOKUP(Q$3,$C$5:$C$16,1),COLUMN($L$4)))&gt;indirect(address(row($C6),COLUMN($D$4))):indirect(address(row($C6),COLUMN($L$4))),TRUE()))</f>
        <v>4</v>
      </c>
      <c r="R6" s="49">
        <f t="array" ref="R6">if(R$3=$C6,"-", countif(indirect(address(row($C$4)+ VLOOKUP(R$3,$C$5:$C$16,1),COLUMN($D$4))):indirect(address(row($C$4)+ VLOOKUP(R$3,$C$5:$C$16,1),COLUMN($L$4)))&gt;indirect(address(row($C6),COLUMN($D$4))):indirect(address(row($C6),COLUMN($L$4))),TRUE()))</f>
        <v>4</v>
      </c>
      <c r="S6" s="49">
        <f t="array" ref="S6">if(S$3=$C6,"-", countif(indirect(address(row($C$4)+ VLOOKUP(S$3,$C$5:$C$16,1),COLUMN($D$4))):indirect(address(row($C$4)+ VLOOKUP(S$3,$C$5:$C$16,1),COLUMN($L$4)))&gt;indirect(address(row($C6),COLUMN($D$4))):indirect(address(row($C6),COLUMN($L$4))),TRUE()))</f>
        <v>4</v>
      </c>
      <c r="T6" s="49">
        <f t="array" ref="T6">if(T$3=$C6,"-", countif(indirect(address(row($C$4)+ VLOOKUP(T$3,$C$5:$C$16,1),COLUMN($D$4))):indirect(address(row($C$4)+ VLOOKUP(T$3,$C$5:$C$16,1),COLUMN($L$4)))&gt;indirect(address(row($C6),COLUMN($D$4))):indirect(address(row($C6),COLUMN($L$4))),TRUE()))</f>
        <v>4</v>
      </c>
      <c r="U6" s="49">
        <f t="array" ref="U6">if(U$3=$C6,"-", countif(indirect(address(row($C$4)+ VLOOKUP(U$3,$C$5:$C$16,1),COLUMN($D$4))):indirect(address(row($C$4)+ VLOOKUP(U$3,$C$5:$C$16,1),COLUMN($L$4)))&gt;indirect(address(row($C6),COLUMN($D$4))):indirect(address(row($C6),COLUMN($L$4))),TRUE()))</f>
        <v>5</v>
      </c>
      <c r="V6" s="49">
        <f t="array" ref="V6">if(V$3=$C6,"-", countif(indirect(address(row($C$4)+ VLOOKUP(V$3,$C$5:$C$16,1),COLUMN($D$4))):indirect(address(row($C$4)+ VLOOKUP(V$3,$C$5:$C$16,1),COLUMN($L$4)))&gt;indirect(address(row($C6),COLUMN($D$4))):indirect(address(row($C6),COLUMN($L$4))),TRUE()))</f>
        <v>3</v>
      </c>
      <c r="W6" s="49">
        <f t="array" ref="W6">if(W$3=$C6,"-", countif(indirect(address(row($C$4)+ VLOOKUP(W$3,$C$5:$C$16,1),COLUMN($D$4))):indirect(address(row($C$4)+ VLOOKUP(W$3,$C$5:$C$16,1),COLUMN($L$4)))&gt;indirect(address(row($C6),COLUMN($D$4))):indirect(address(row($C6),COLUMN($L$4))),TRUE()))</f>
        <v>5</v>
      </c>
      <c r="X6" s="49">
        <f t="array" ref="X6">if(X$3=$C6,"-", countif(indirect(address(row($C$4)+ VLOOKUP(X$3,$C$5:$C$16,1),COLUMN($D$4))):indirect(address(row($C$4)+ VLOOKUP(X$3,$C$5:$C$16,1),COLUMN($L$4)))&gt;indirect(address(row($C6),COLUMN($D$4))):indirect(address(row($C6),COLUMN($L$4))),TRUE()))</f>
        <v>5</v>
      </c>
      <c r="Y6" s="49">
        <f t="array" ref="Y6">if(D$1=$C6,"-", countif(indirect(address(row($C$4)+ VLOOKUP(D$1,$C$5:$C$16,1),COLUMN($D$4))):indirect(address(row($C$4)+ VLOOKUP(D$1,$C$5:$C$16,1),COLUMN($L$4)))&gt;indirect(address(row($C6),COLUMN($D$4))):indirect(address(row($C6),COLUMN($L$4))),TRUE()))</f>
        <v>4</v>
      </c>
      <c r="Z6" s="23">
        <f>SUM(N$5:N$16)/99</f>
        <v>0.5151515152</v>
      </c>
    </row>
    <row r="7" ht="15.75" customHeight="1">
      <c r="B7" s="13" t="b">
        <f>Draft!B5</f>
        <v>0</v>
      </c>
      <c r="C7" s="12">
        <v>3.0</v>
      </c>
      <c r="D7" s="23">
        <f>((IF(ISBLANK(Draft!C5),0,VLOOKUP(Draft!C5, 'NO USAR1'!A4:L1000,2,FALSE)+(IF(ISBLANK(Draft!D12),0,VLOOKUP(Draft!D12, 'NO USAR1'!A4:L1000,2,FALSE)+(IF(ISBLANK(Draft!E5),0,VLOOKUP(Draft!E5, 'NO USAR1'!A4:L1000,2,FALSE)+(IF(ISBLANK(Draft!F12),0,VLOOKUP(Draft!F12, 'NO USAR1'!A4:L1000,2,FALSE)+(IF(ISBLANK(Draft!G5),0,VLOOKUP(Draft!G5, 'NO USAR1'!A4:L1000,2,FALSE)+(IF(ISBLANK(Draft!H12),0,VLOOKUP(Draft!H12, 'NO USAR1'!A4:L1000,2,FALSE)+(IF(ISBLANK(Draft!I5),0,VLOOKUP(Draft!I5, 'NO USAR1'!A4:L1000,2,FALSE)+(IF(ISBLANK(Draft!J12),0,VLOOKUP(Draft!J12, 'NO USAR1'!A4:L1000,2,FALSE)+(IF(ISBLANK(Draft!K5),0,VLOOKUP(Draft!K5, 'NO USAR1'!A4:L1000,2,FALSE)+(IF(ISBLANK(Draft!L12),0,VLOOKUP(Draft!L12, 'NO USAR1'!A4:L1000,2,FALSE)+IF(ISBLANK(Draft!M5),0,VLOOKUP(Draft!M5, 'NO USAR1'!A4:L1000,2,FALSE)+IF(ISBLANK(Draft!N12),0,VLOOKUP(Draft!N12, 'NO USAR1'!A4:L1000,2,FALSE))))))))))))))))))))))))</f>
        <v>1.068117982</v>
      </c>
      <c r="E7" s="23">
        <f>((IF(ISBLANK(Draft!C5),0,VLOOKUP(Draft!C5, 'NO USAR1'!A4:L1000,3,FALSE)+(IF(ISBLANK(Draft!D12),0,VLOOKUP(Draft!D12, 'NO USAR1'!A4:L1000,3,FALSE)+(IF(ISBLANK(Draft!E5),0,VLOOKUP(Draft!E5, 'NO USAR1'!A4:L1000,3,FALSE)+(IF(ISBLANK(Draft!F12),0,VLOOKUP(Draft!F12, 'NO USAR1'!A4:L1000,3,FALSE)+(IF(ISBLANK(Draft!G5),0,VLOOKUP(Draft!G5, 'NO USAR1'!A4:L1000,3,FALSE)+(IF(ISBLANK(Draft!H12),0,VLOOKUP(Draft!H12, 'NO USAR1'!A4:L1000,3,FALSE)+(IF(ISBLANK(Draft!I5),0,VLOOKUP(Draft!I5, 'NO USAR1'!A4:L1000,3,FALSE)+(IF(ISBLANK(Draft!J12),0,VLOOKUP(Draft!J12, 'NO USAR1'!A4:L1000,3,FALSE)+(IF(ISBLANK(Draft!K5),0,VLOOKUP(Draft!K5, 'NO USAR1'!A4:L1000,3,FALSE)+(IF(ISBLANK(Draft!L12),0,VLOOKUP(Draft!L12, 'NO USAR1'!A4:L1000,3,FALSE)+IF(ISBLANK(Draft!M5),0,VLOOKUP(Draft!M5, 'NO USAR1'!A4:L1000,3,FALSE)+IF(ISBLANK(Draft!N12),0,VLOOKUP(Draft!N12, 'NO USAR1'!A4:L1000,3,FALSE))))))))))))))))))))))))</f>
        <v>-1.547582233</v>
      </c>
      <c r="F7" s="23">
        <f>((IF(ISBLANK(Draft!C5),0,VLOOKUP(Draft!C5, 'NO USAR1'!A4:L1000,4,FALSE)+(IF(ISBLANK(Draft!D12),0,VLOOKUP(Draft!D12, 'NO USAR1'!A4:L1000,4,FALSE)+(IF(ISBLANK(Draft!E5),0,VLOOKUP(Draft!E5, 'NO USAR1'!A4:L1000,4,FALSE)+(IF(ISBLANK(Draft!F12),0,VLOOKUP(Draft!F12, 'NO USAR1'!A4:L1000,4,FALSE)+(IF(ISBLANK(Draft!G5),0,VLOOKUP(Draft!G5, 'NO USAR1'!A4:L1000,4,FALSE)+(IF(ISBLANK(Draft!H12),0,VLOOKUP(Draft!H12, 'NO USAR1'!A4:L1000,4,FALSE)+(IF(ISBLANK(Draft!I5),0,VLOOKUP(Draft!I5, 'NO USAR1'!A4:L1000,4,FALSE)+(IF(ISBLANK(Draft!J12),0,VLOOKUP(Draft!J12, 'NO USAR1'!A4:L1000,4,FALSE)+(IF(ISBLANK(Draft!K5),0,VLOOKUP(Draft!K5, 'NO USAR1'!A4:L1000,4,FALSE)+(IF(ISBLANK(Draft!L12),0,VLOOKUP(Draft!L12, 'NO USAR1'!A4:L1000,4,FALSE)+IF(ISBLANK(Draft!M5),0,VLOOKUP(Draft!M5, 'NO USAR1'!A4:L1000,4,FALSE)+IF(ISBLANK(Draft!N12),0,VLOOKUP(Draft!N12, 'NO USAR1'!A4:L1000,4,FALSE))))))))))))))))))))))))</f>
        <v>3.216956552</v>
      </c>
      <c r="G7" s="23">
        <f>((IF(ISBLANK(Draft!C5),0,VLOOKUP(Draft!C5, 'NO USAR1'!A4:L1000,5,FALSE)+(IF(ISBLANK(Draft!D12),0,VLOOKUP(Draft!D12, 'NO USAR1'!A4:L1000,5,FALSE)+(IF(ISBLANK(Draft!E5),0,VLOOKUP(Draft!E5, 'NO USAR1'!A4:L1000,5,FALSE)+(IF(ISBLANK(Draft!F12),0,VLOOKUP(Draft!F12, 'NO USAR1'!A4:L1000,5,FALSE)+(IF(ISBLANK(Draft!G5),0,VLOOKUP(Draft!G5, 'NO USAR1'!A4:L1000,5,FALSE)+(IF(ISBLANK(Draft!H12),0,VLOOKUP(Draft!H12, 'NO USAR1'!A4:L1000,5,FALSE)+(IF(ISBLANK(Draft!I5),0,VLOOKUP(Draft!I5, 'NO USAR1'!A4:L1000,5,FALSE)+(IF(ISBLANK(Draft!J12),0,VLOOKUP(Draft!J12, 'NO USAR1'!A4:L1000,5,FALSE)+(IF(ISBLANK(Draft!K5),0,VLOOKUP(Draft!K5, 'NO USAR1'!A4:L1000,5,FALSE)+(IF(ISBLANK(Draft!L12),0,VLOOKUP(Draft!L12, 'NO USAR1'!A4:L1000,5,FALSE)+IF(ISBLANK(Draft!M5),0,VLOOKUP(Draft!M5, 'NO USAR1'!A4:L1000,5,FALSE)+IF(ISBLANK(Draft!N12),0,VLOOKUP(Draft!N12, 'NO USAR1'!A4:L1000,5,FALSE))))))))))))))))))))))))</f>
        <v>-4.803934582</v>
      </c>
      <c r="H7" s="23">
        <f>((IF(ISBLANK(Draft!C5),0,VLOOKUP(Draft!C5, 'NO USAR1'!A4:L1000,6,FALSE)+(IF(ISBLANK(Draft!D12),0,VLOOKUP(Draft!D12, 'NO USAR1'!A4:L1000,6,FALSE)+(IF(ISBLANK(Draft!E5),0,VLOOKUP(Draft!E5, 'NO USAR1'!A4:L1000,6,FALSE)+(IF(ISBLANK(Draft!F12),0,VLOOKUP(Draft!F12, 'NO USAR1'!A4:L1000,6,FALSE)+(IF(ISBLANK(Draft!G5),0,VLOOKUP(Draft!G5, 'NO USAR1'!A4:L1000,6,FALSE)+(IF(ISBLANK(Draft!H12),0,VLOOKUP(Draft!H12, 'NO USAR1'!A4:L1000,6,FALSE)+(IF(ISBLANK(Draft!I5),0,VLOOKUP(Draft!I5, 'NO USAR1'!A4:L1000,6,FALSE)+(IF(ISBLANK(Draft!J12),0,VLOOKUP(Draft!J12, 'NO USAR1'!A4:L1000,6,FALSE)+(IF(ISBLANK(Draft!K5),0,VLOOKUP(Draft!K5, 'NO USAR1'!A4:L1000,6,FALSE)+(IF(ISBLANK(Draft!L12),0,VLOOKUP(Draft!L12, 'NO USAR1'!A4:L1000,6,FALSE)+IF(ISBLANK(Draft!M5),0,VLOOKUP(Draft!M5, 'NO USAR1'!A4:L1000,6,FALSE)+IF(ISBLANK(Draft!N12),0,VLOOKUP(Draft!N12, 'NO USAR1'!A4:L1000,6,FALSE))))))))))))))))))))))))</f>
        <v>-1.780062741</v>
      </c>
      <c r="I7" s="23">
        <f>((IF(ISBLANK(Draft!C5),0,VLOOKUP(Draft!C5, 'NO USAR1'!A4:L1000,7,FALSE)+(IF(ISBLANK(Draft!D12),0,VLOOKUP(Draft!D12, 'NO USAR1'!A4:L1000,7,FALSE)+(IF(ISBLANK(Draft!E5),0,VLOOKUP(Draft!E5, 'NO USAR1'!A4:L1000,7,FALSE)+(IF(ISBLANK(Draft!F12),0,VLOOKUP(Draft!F12, 'NO USAR1'!A4:L1000,7,FALSE)+(IF(ISBLANK(Draft!G5),0,VLOOKUP(Draft!G5, 'NO USAR1'!A4:L1000,7,FALSE)+(IF(ISBLANK(Draft!H12),0,VLOOKUP(Draft!H12, 'NO USAR1'!A4:L1000,7,FALSE)+(IF(ISBLANK(Draft!I5),0,VLOOKUP(Draft!I5, 'NO USAR1'!A4:L1000,7,FALSE)+(IF(ISBLANK(Draft!J12),0,VLOOKUP(Draft!J12, 'NO USAR1'!A4:L1000,7,FALSE)+(IF(ISBLANK(Draft!K5),0,VLOOKUP(Draft!K5, 'NO USAR1'!A4:L1000,7,FALSE)+(IF(ISBLANK(Draft!L12),0,VLOOKUP(Draft!L12, 'NO USAR1'!A4:L1000,7,FALSE)+IF(ISBLANK(Draft!M5),0,VLOOKUP(Draft!M5, 'NO USAR1'!A4:L1000,7,FALSE)+IF(ISBLANK(Draft!N12),0,VLOOKUP(Draft!N12, 'NO USAR1'!A4:L1000,7,FALSE))))))))))))))))))))))))</f>
        <v>3.562685244</v>
      </c>
      <c r="J7" s="23">
        <f>((IF(ISBLANK(Draft!C5),0,VLOOKUP(Draft!C5, 'NO USAR1'!A4:L1000,8,FALSE)+(IF(ISBLANK(Draft!D12),0,VLOOKUP(Draft!D12, 'NO USAR1'!A4:L1000,8,FALSE)+(IF(ISBLANK(Draft!E5),0,VLOOKUP(Draft!E5, 'NO USAR1'!A4:L1000,8,FALSE)+(IF(ISBLANK(Draft!F12),0,VLOOKUP(Draft!F12, 'NO USAR1'!A4:L1000,8,FALSE)+(IF(ISBLANK(Draft!G5),0,VLOOKUP(Draft!G5, 'NO USAR1'!A4:L1000,8,FALSE)+(IF(ISBLANK(Draft!H12),0,VLOOKUP(Draft!H12, 'NO USAR1'!A4:L1000,8,FALSE)+(IF(ISBLANK(Draft!I5),0,VLOOKUP(Draft!I5, 'NO USAR1'!A4:L1000,8,FALSE)+(IF(ISBLANK(Draft!J12),0,VLOOKUP(Draft!J12, 'NO USAR1'!A4:L1000,8,FALSE)+(IF(ISBLANK(Draft!K5),0,VLOOKUP(Draft!K5, 'NO USAR1'!A4:L1000,8,FALSE)+(IF(ISBLANK(Draft!L12),0,VLOOKUP(Draft!L12, 'NO USAR1'!A4:L1000,8,FALSE)+IF(ISBLANK(Draft!M5),0,VLOOKUP(Draft!M5, 'NO USAR1'!A4:L1000,8,FALSE)+IF(ISBLANK(Draft!N12),0,VLOOKUP(Draft!N12, 'NO USAR1'!A4:L1000,8,FALSE))))))))))))))))))))))))</f>
        <v>2.275522209</v>
      </c>
      <c r="K7" s="23">
        <f>((IF(ISBLANK(Draft!C5),0,VLOOKUP(Draft!C5, 'NO USAR1'!A4:L1000,10,FALSE)+(IF(ISBLANK(Draft!D12),0,VLOOKUP(Draft!D12, 'NO USAR1'!A4:L1000,10,FALSE)+(IF(ISBLANK(Draft!E5),0,VLOOKUP(Draft!E5, 'NO USAR1'!A4:L1000,10,FALSE)+(IF(ISBLANK(Draft!F12),0,VLOOKUP(Draft!F12, 'NO USAR1'!A4:L1000,10,FALSE)+(IF(ISBLANK(Draft!G5),0,VLOOKUP(Draft!G5, 'NO USAR1'!A4:L1000,10,FALSE)+(IF(ISBLANK(Draft!H12),0,VLOOKUP(Draft!H12, 'NO USAR1'!A4:L1000,10,FALSE)+(IF(ISBLANK(Draft!I5),0,VLOOKUP(Draft!I5, 'NO USAR1'!A4:L1000,10,FALSE)+(IF(ISBLANK(Draft!J12),0,VLOOKUP(Draft!J12, 'NO USAR1'!A4:L1000,10,FALSE)+(IF(ISBLANK(Draft!K5),0,VLOOKUP(Draft!K5, 'NO USAR1'!A4:L1000,10,FALSE)+(IF(ISBLANK(Draft!L12),0,VLOOKUP(Draft!L12, 'NO USAR1'!A4:L1000,10,FALSE)+IF(ISBLANK(Draft!M5),0,VLOOKUP(Draft!M5, 'NO USAR1'!A4:L1000,10,FALSE)+IF(ISBLANK(Draft!N12),0,VLOOKUP(Draft!N12, 'NO USAR1'!A4:L1000,10,FALSE))))))))))))))))))))))))</f>
        <v>-0.5980622916</v>
      </c>
      <c r="L7" s="23">
        <f>((IF(ISBLANK(Draft!C5),0,VLOOKUP(Draft!C5, 'NO USAR1'!A4:L1000,12,FALSE)+(IF(ISBLANK(Draft!D12),0,VLOOKUP(Draft!D12, 'NO USAR1'!A4:L1000,12,FALSE)+(IF(ISBLANK(Draft!E5),0,VLOOKUP(Draft!E5, 'NO USAR1'!A4:L1000,12,FALSE)+(IF(ISBLANK(Draft!F12),0,VLOOKUP(Draft!F12, 'NO USAR1'!A4:L1000,12,FALSE)+(IF(ISBLANK(Draft!G5),0,VLOOKUP(Draft!G5, 'NO USAR1'!A4:L1000,12,FALSE)+(IF(ISBLANK(Draft!H12),0,VLOOKUP(Draft!H12, 'NO USAR1'!A4:L1000,12,FALSE)+(IF(ISBLANK(Draft!I5),0,VLOOKUP(Draft!I5, 'NO USAR1'!A4:L1000,12,FALSE)+(IF(ISBLANK(Draft!J12),0,VLOOKUP(Draft!J12, 'NO USAR1'!A4:L1000,12,FALSE)+(IF(ISBLANK(Draft!K5),0,VLOOKUP(Draft!K5, 'NO USAR1'!A4:L1000,12,FALSE)+(IF(ISBLANK(Draft!L12),0,VLOOKUP(Draft!L12, 'NO USAR1'!A4:L1000,12,FALSE)+IF(ISBLANK(Draft!M5),0,VLOOKUP(Draft!M5, 'NO USAR1'!A4:L1000,12,FALSE)+IF(ISBLANK(Draft!N12),0,VLOOKUP(Draft!N12, 'NO USAR1'!A4:L1000,12,FALSE))))))))))))))))))))))))</f>
        <v>3.784273509</v>
      </c>
      <c r="M7" s="49">
        <f t="array" ref="M7">if(M$3=$C7,"-", countif(indirect(address(row($C$4)+ VLOOKUP(M$3,$C$5:$C$16,1),COLUMN($D$4))):indirect(address(row($C$4)+ VLOOKUP(M$3,$C$5:$C$16,1),COLUMN($L$4)))&gt;indirect(address(row($C7),COLUMN($D$4))):indirect(address(row($C7),COLUMN($L$4))),TRUE()))</f>
        <v>4</v>
      </c>
      <c r="N7" s="49">
        <f t="array" ref="N7">if(N$3=$C7,"-", countif(indirect(address(row($C$4)+ VLOOKUP(N$3,$C$5:$C$16,1),COLUMN($D$4))):indirect(address(row($C$4)+ VLOOKUP(N$3,$C$5:$C$16,1),COLUMN($L$4)))&gt;indirect(address(row($C7),COLUMN($D$4))):indirect(address(row($C7),COLUMN($L$4))),TRUE()))</f>
        <v>3</v>
      </c>
      <c r="O7" s="49" t="str">
        <f t="array" ref="O7">if(O$3=$C7,"-", countif(indirect(address(row($C$4)+ VLOOKUP(O$3,$C$5:$C$16,1),COLUMN($D$4))):indirect(address(row($C$4)+ VLOOKUP(O$3,$C$5:$C$16,1),COLUMN($L$4)))&gt;indirect(address(row($C7),COLUMN($D$4))):indirect(address(row($C7),COLUMN($L$4))),TRUE()))</f>
        <v>-</v>
      </c>
      <c r="P7" s="49">
        <f t="array" ref="P7">if(P$3=$C7,"-", countif(indirect(address(row($C$4)+ VLOOKUP(P$3,$C$5:$C$16,1),COLUMN($D$4))):indirect(address(row($C$4)+ VLOOKUP(P$3,$C$5:$C$16,1),COLUMN($L$4)))&gt;indirect(address(row($C7),COLUMN($D$4))):indirect(address(row($C7),COLUMN($L$4))),TRUE()))</f>
        <v>4</v>
      </c>
      <c r="Q7" s="49">
        <f t="array" ref="Q7">if(Q$3=$C7,"-", countif(indirect(address(row($C$4)+ VLOOKUP(Q$3,$C$5:$C$16,1),COLUMN($D$4))):indirect(address(row($C$4)+ VLOOKUP(Q$3,$C$5:$C$16,1),COLUMN($L$4)))&gt;indirect(address(row($C7),COLUMN($D$4))):indirect(address(row($C7),COLUMN($L$4))),TRUE()))</f>
        <v>3</v>
      </c>
      <c r="R7" s="49">
        <f t="array" ref="R7">if(R$3=$C7,"-", countif(indirect(address(row($C$4)+ VLOOKUP(R$3,$C$5:$C$16,1),COLUMN($D$4))):indirect(address(row($C$4)+ VLOOKUP(R$3,$C$5:$C$16,1),COLUMN($L$4)))&gt;indirect(address(row($C7),COLUMN($D$4))):indirect(address(row($C7),COLUMN($L$4))),TRUE()))</f>
        <v>5</v>
      </c>
      <c r="S7" s="49">
        <f t="array" ref="S7">if(S$3=$C7,"-", countif(indirect(address(row($C$4)+ VLOOKUP(S$3,$C$5:$C$16,1),COLUMN($D$4))):indirect(address(row($C$4)+ VLOOKUP(S$3,$C$5:$C$16,1),COLUMN($L$4)))&gt;indirect(address(row($C7),COLUMN($D$4))):indirect(address(row($C7),COLUMN($L$4))),TRUE()))</f>
        <v>5</v>
      </c>
      <c r="T7" s="49">
        <f t="array" ref="T7">if(T$3=$C7,"-", countif(indirect(address(row($C$4)+ VLOOKUP(T$3,$C$5:$C$16,1),COLUMN($D$4))):indirect(address(row($C$4)+ VLOOKUP(T$3,$C$5:$C$16,1),COLUMN($L$4)))&gt;indirect(address(row($C7),COLUMN($D$4))):indirect(address(row($C7),COLUMN($L$4))),TRUE()))</f>
        <v>4</v>
      </c>
      <c r="U7" s="49">
        <f t="array" ref="U7">if(U$3=$C7,"-", countif(indirect(address(row($C$4)+ VLOOKUP(U$3,$C$5:$C$16,1),COLUMN($D$4))):indirect(address(row($C$4)+ VLOOKUP(U$3,$C$5:$C$16,1),COLUMN($L$4)))&gt;indirect(address(row($C7),COLUMN($D$4))):indirect(address(row($C7),COLUMN($L$4))),TRUE()))</f>
        <v>5</v>
      </c>
      <c r="V7" s="49">
        <f t="array" ref="V7">if(V$3=$C7,"-", countif(indirect(address(row($C$4)+ VLOOKUP(V$3,$C$5:$C$16,1),COLUMN($D$4))):indirect(address(row($C$4)+ VLOOKUP(V$3,$C$5:$C$16,1),COLUMN($L$4)))&gt;indirect(address(row($C7),COLUMN($D$4))):indirect(address(row($C7),COLUMN($L$4))),TRUE()))</f>
        <v>5</v>
      </c>
      <c r="W7" s="49">
        <f t="array" ref="W7">if(W$3=$C7,"-", countif(indirect(address(row($C$4)+ VLOOKUP(W$3,$C$5:$C$16,1),COLUMN($D$4))):indirect(address(row($C$4)+ VLOOKUP(W$3,$C$5:$C$16,1),COLUMN($L$4)))&gt;indirect(address(row($C7),COLUMN($D$4))):indirect(address(row($C7),COLUMN($L$4))),TRUE()))</f>
        <v>4</v>
      </c>
      <c r="X7" s="49">
        <f t="array" ref="X7">if(X$3=$C7,"-", countif(indirect(address(row($C$4)+ VLOOKUP(X$3,$C$5:$C$16,1),COLUMN($D$4))):indirect(address(row($C$4)+ VLOOKUP(X$3,$C$5:$C$16,1),COLUMN($L$4)))&gt;indirect(address(row($C7),COLUMN($D$4))):indirect(address(row($C7),COLUMN($L$4))),TRUE()))</f>
        <v>4</v>
      </c>
      <c r="Y7" s="49">
        <f t="array" ref="Y7">if(D$1=$C7,"-", countif(indirect(address(row($C$4)+ VLOOKUP(D$1,$C$5:$C$16,1),COLUMN($D$4))):indirect(address(row($C$4)+ VLOOKUP(D$1,$C$5:$C$16,1),COLUMN($L$4)))&gt;indirect(address(row($C7),COLUMN($D$4))):indirect(address(row($C7),COLUMN($L$4))),TRUE()))</f>
        <v>5</v>
      </c>
      <c r="Z7" s="23">
        <f>SUM(O$5:O$16)/99</f>
        <v>0.5353535354</v>
      </c>
    </row>
    <row r="8">
      <c r="B8" s="13" t="b">
        <f>Draft!B6</f>
        <v>0</v>
      </c>
      <c r="C8" s="12">
        <v>4.0</v>
      </c>
      <c r="D8" s="23">
        <f>((IF(ISBLANK(Draft!C6),0,VLOOKUP(Draft!C6, 'NO USAR1'!A4:L1000,2,FALSE)+(IF(ISBLANK(Draft!D11),0,VLOOKUP(Draft!D11, 'NO USAR1'!A4:L1000,2,FALSE)+(IF(ISBLANK(Draft!E6),0,VLOOKUP(Draft!E6, 'NO USAR1'!A4:L1000,2,FALSE)+(IF(ISBLANK(Draft!F11),0,VLOOKUP(Draft!F11, 'NO USAR1'!A4:L1000,2,FALSE)+(IF(ISBLANK(Draft!G6),0,VLOOKUP(Draft!G6, 'NO USAR1'!A4:L1000,2,FALSE)+(IF(ISBLANK(Draft!H11),0,VLOOKUP(Draft!H11, 'NO USAR1'!A4:L1000,2,FALSE)+(IF(ISBLANK(Draft!I6),0,VLOOKUP(Draft!I6, 'NO USAR1'!A4:L1000,2,FALSE)+(IF(ISBLANK(Draft!J11),0,VLOOKUP(Draft!J11, 'NO USAR1'!A4:L1000,2,FALSE)+(IF(ISBLANK(Draft!K6),0,VLOOKUP(Draft!K6, 'NO USAR1'!A4:L1000,2,FALSE)+(IF(ISBLANK(Draft!L11),0,VLOOKUP(Draft!L11, 'NO USAR1'!A4:L1000,2,FALSE)+IF(ISBLANK(Draft!M6),0,VLOOKUP(Draft!M6, 'NO USAR1'!A4:L1000,2,FALSE)+IF(ISBLANK(Draft!N11),0,VLOOKUP(Draft!N11, 'NO USAR1'!A4:L1000,2,FALSE))))))))))))))))))))))))</f>
        <v>5.39968489</v>
      </c>
      <c r="E8" s="23">
        <f>((IF(ISBLANK(Draft!C6),0,VLOOKUP(Draft!C6, 'NO USAR1'!A4:L1000,3,FALSE)+(IF(ISBLANK(Draft!D11),0,VLOOKUP(Draft!D11, 'NO USAR1'!A4:L1000,3,FALSE)+(IF(ISBLANK(Draft!E6),0,VLOOKUP(Draft!E6, 'NO USAR1'!A4:L1000,3,FALSE)+(IF(ISBLANK(Draft!F11),0,VLOOKUP(Draft!F11, 'NO USAR1'!A4:L1000,3,FALSE)+(IF(ISBLANK(Draft!G6),0,VLOOKUP(Draft!G6, 'NO USAR1'!A4:L1000,3,FALSE)+(IF(ISBLANK(Draft!H11),0,VLOOKUP(Draft!H11, 'NO USAR1'!A4:L1000,3,FALSE)+(IF(ISBLANK(Draft!I6),0,VLOOKUP(Draft!I6, 'NO USAR1'!A4:L1000,3,FALSE)+(IF(ISBLANK(Draft!J11),0,VLOOKUP(Draft!J11, 'NO USAR1'!A4:L1000,3,FALSE)+(IF(ISBLANK(Draft!K6),0,VLOOKUP(Draft!K6, 'NO USAR1'!A4:L1000,3,FALSE)+(IF(ISBLANK(Draft!L11),0,VLOOKUP(Draft!L11, 'NO USAR1'!A4:L1000,3,FALSE)+IF(ISBLANK(Draft!M6),0,VLOOKUP(Draft!M6, 'NO USAR1'!A4:L1000,3,FALSE)+IF(ISBLANK(Draft!N11),0,VLOOKUP(Draft!N11, 'NO USAR1'!A4:L1000,3,FALSE))))))))))))))))))))))))</f>
        <v>-0.747617783</v>
      </c>
      <c r="F8" s="23">
        <f>((IF(ISBLANK(Draft!C6),0,VLOOKUP(Draft!C6, 'NO USAR1'!A4:L1000,4,FALSE)+(IF(ISBLANK(Draft!D11),0,VLOOKUP(Draft!D11, 'NO USAR1'!A4:L1000,4,FALSE)+(IF(ISBLANK(Draft!E6),0,VLOOKUP(Draft!E6, 'NO USAR1'!A4:L1000,4,FALSE)+(IF(ISBLANK(Draft!F11),0,VLOOKUP(Draft!F11, 'NO USAR1'!A4:L1000,4,FALSE)+(IF(ISBLANK(Draft!G6),0,VLOOKUP(Draft!G6, 'NO USAR1'!A4:L1000,4,FALSE)+(IF(ISBLANK(Draft!H11),0,VLOOKUP(Draft!H11, 'NO USAR1'!A4:L1000,4,FALSE)+(IF(ISBLANK(Draft!I6),0,VLOOKUP(Draft!I6, 'NO USAR1'!A4:L1000,4,FALSE)+(IF(ISBLANK(Draft!J11),0,VLOOKUP(Draft!J11, 'NO USAR1'!A4:L1000,4,FALSE)+(IF(ISBLANK(Draft!K6),0,VLOOKUP(Draft!K6, 'NO USAR1'!A4:L1000,4,FALSE)+(IF(ISBLANK(Draft!L11),0,VLOOKUP(Draft!L11, 'NO USAR1'!A4:L1000,4,FALSE)+IF(ISBLANK(Draft!M6),0,VLOOKUP(Draft!M6, 'NO USAR1'!A4:L1000,4,FALSE)+IF(ISBLANK(Draft!N11),0,VLOOKUP(Draft!N11, 'NO USAR1'!A4:L1000,4,FALSE))))))))))))))))))))))))</f>
        <v>3.665993495</v>
      </c>
      <c r="G8" s="23">
        <f>((IF(ISBLANK(Draft!C6),0,VLOOKUP(Draft!C6, 'NO USAR1'!A4:L1000,5,FALSE)+(IF(ISBLANK(Draft!D11),0,VLOOKUP(Draft!D11, 'NO USAR1'!A4:L1000,5,FALSE)+(IF(ISBLANK(Draft!E6),0,VLOOKUP(Draft!E6, 'NO USAR1'!A4:L1000,5,FALSE)+(IF(ISBLANK(Draft!F11),0,VLOOKUP(Draft!F11, 'NO USAR1'!A4:L1000,5,FALSE)+(IF(ISBLANK(Draft!G6),0,VLOOKUP(Draft!G6, 'NO USAR1'!A4:L1000,5,FALSE)+(IF(ISBLANK(Draft!H11),0,VLOOKUP(Draft!H11, 'NO USAR1'!A4:L1000,5,FALSE)+(IF(ISBLANK(Draft!I6),0,VLOOKUP(Draft!I6, 'NO USAR1'!A4:L1000,5,FALSE)+(IF(ISBLANK(Draft!J11),0,VLOOKUP(Draft!J11, 'NO USAR1'!A4:L1000,5,FALSE)+(IF(ISBLANK(Draft!K6),0,VLOOKUP(Draft!K6, 'NO USAR1'!A4:L1000,5,FALSE)+(IF(ISBLANK(Draft!L11),0,VLOOKUP(Draft!L11, 'NO USAR1'!A4:L1000,5,FALSE)+IF(ISBLANK(Draft!M6),0,VLOOKUP(Draft!M6, 'NO USAR1'!A4:L1000,5,FALSE)+IF(ISBLANK(Draft!N11),0,VLOOKUP(Draft!N11, 'NO USAR1'!A4:L1000,5,FALSE))))))))))))))))))))))))</f>
        <v>1.313896638</v>
      </c>
      <c r="H8" s="23">
        <f>((IF(ISBLANK(Draft!C6),0,VLOOKUP(Draft!C6, 'NO USAR1'!A4:L1000,6,FALSE)+(IF(ISBLANK(Draft!D11),0,VLOOKUP(Draft!D11, 'NO USAR1'!A4:L1000,6,FALSE)+(IF(ISBLANK(Draft!E6),0,VLOOKUP(Draft!E6, 'NO USAR1'!A4:L1000,6,FALSE)+(IF(ISBLANK(Draft!F11),0,VLOOKUP(Draft!F11, 'NO USAR1'!A4:L1000,6,FALSE)+(IF(ISBLANK(Draft!G6),0,VLOOKUP(Draft!G6, 'NO USAR1'!A4:L1000,6,FALSE)+(IF(ISBLANK(Draft!H11),0,VLOOKUP(Draft!H11, 'NO USAR1'!A4:L1000,6,FALSE)+(IF(ISBLANK(Draft!I6),0,VLOOKUP(Draft!I6, 'NO USAR1'!A4:L1000,6,FALSE)+(IF(ISBLANK(Draft!J11),0,VLOOKUP(Draft!J11, 'NO USAR1'!A4:L1000,6,FALSE)+(IF(ISBLANK(Draft!K6),0,VLOOKUP(Draft!K6, 'NO USAR1'!A4:L1000,6,FALSE)+(IF(ISBLANK(Draft!L11),0,VLOOKUP(Draft!L11, 'NO USAR1'!A4:L1000,6,FALSE)+IF(ISBLANK(Draft!M6),0,VLOOKUP(Draft!M6, 'NO USAR1'!A4:L1000,6,FALSE)+IF(ISBLANK(Draft!N11),0,VLOOKUP(Draft!N11, 'NO USAR1'!A4:L1000,6,FALSE))))))))))))))))))))))))</f>
        <v>-3.415262177</v>
      </c>
      <c r="I8" s="23">
        <f>((IF(ISBLANK(Draft!C6),0,VLOOKUP(Draft!C6, 'NO USAR1'!A4:L1000,7,FALSE)+(IF(ISBLANK(Draft!D11),0,VLOOKUP(Draft!D11, 'NO USAR1'!A4:L1000,7,FALSE)+(IF(ISBLANK(Draft!E6),0,VLOOKUP(Draft!E6, 'NO USAR1'!A4:L1000,7,FALSE)+(IF(ISBLANK(Draft!F11),0,VLOOKUP(Draft!F11, 'NO USAR1'!A4:L1000,7,FALSE)+(IF(ISBLANK(Draft!G6),0,VLOOKUP(Draft!G6, 'NO USAR1'!A4:L1000,7,FALSE)+(IF(ISBLANK(Draft!H11),0,VLOOKUP(Draft!H11, 'NO USAR1'!A4:L1000,7,FALSE)+(IF(ISBLANK(Draft!I6),0,VLOOKUP(Draft!I6, 'NO USAR1'!A4:L1000,7,FALSE)+(IF(ISBLANK(Draft!J11),0,VLOOKUP(Draft!J11, 'NO USAR1'!A4:L1000,7,FALSE)+(IF(ISBLANK(Draft!K6),0,VLOOKUP(Draft!K6, 'NO USAR1'!A4:L1000,7,FALSE)+(IF(ISBLANK(Draft!L11),0,VLOOKUP(Draft!L11, 'NO USAR1'!A4:L1000,7,FALSE)+IF(ISBLANK(Draft!M6),0,VLOOKUP(Draft!M6, 'NO USAR1'!A4:L1000,7,FALSE)+IF(ISBLANK(Draft!N11),0,VLOOKUP(Draft!N11, 'NO USAR1'!A4:L1000,7,FALSE))))))))))))))))))))))))</f>
        <v>2.944710737</v>
      </c>
      <c r="J8" s="23">
        <f>((IF(ISBLANK(Draft!C6),0,VLOOKUP(Draft!C6, 'NO USAR1'!A4:L1000,8,FALSE)+(IF(ISBLANK(Draft!D11),0,VLOOKUP(Draft!D11, 'NO USAR1'!A4:L1000,8,FALSE)+(IF(ISBLANK(Draft!E6),0,VLOOKUP(Draft!E6, 'NO USAR1'!A4:L1000,8,FALSE)+(IF(ISBLANK(Draft!F11),0,VLOOKUP(Draft!F11, 'NO USAR1'!A4:L1000,8,FALSE)+(IF(ISBLANK(Draft!G6),0,VLOOKUP(Draft!G6, 'NO USAR1'!A4:L1000,8,FALSE)+(IF(ISBLANK(Draft!H11),0,VLOOKUP(Draft!H11, 'NO USAR1'!A4:L1000,8,FALSE)+(IF(ISBLANK(Draft!I6),0,VLOOKUP(Draft!I6, 'NO USAR1'!A4:L1000,8,FALSE)+(IF(ISBLANK(Draft!J11),0,VLOOKUP(Draft!J11, 'NO USAR1'!A4:L1000,8,FALSE)+(IF(ISBLANK(Draft!K6),0,VLOOKUP(Draft!K6, 'NO USAR1'!A4:L1000,8,FALSE)+(IF(ISBLANK(Draft!L11),0,VLOOKUP(Draft!L11, 'NO USAR1'!A4:L1000,8,FALSE)+IF(ISBLANK(Draft!M6),0,VLOOKUP(Draft!M6, 'NO USAR1'!A4:L1000,8,FALSE)+IF(ISBLANK(Draft!N11),0,VLOOKUP(Draft!N11, 'NO USAR1'!A4:L1000,8,FALSE))))))))))))))))))))))))</f>
        <v>-2.435699782</v>
      </c>
      <c r="K8" s="23">
        <f>((IF(ISBLANK(Draft!C6),0,VLOOKUP(Draft!C6, 'NO USAR1'!A4:L1000,10,FALSE)+(IF(ISBLANK(Draft!D11),0,VLOOKUP(Draft!D11, 'NO USAR1'!A4:L1000,10,FALSE)+(IF(ISBLANK(Draft!E6),0,VLOOKUP(Draft!E6, 'NO USAR1'!A4:L1000,10,FALSE)+(IF(ISBLANK(Draft!F11),0,VLOOKUP(Draft!F11, 'NO USAR1'!A4:L1000,10,FALSE)+(IF(ISBLANK(Draft!G6),0,VLOOKUP(Draft!G6, 'NO USAR1'!A4:L1000,10,FALSE)+(IF(ISBLANK(Draft!H11),0,VLOOKUP(Draft!H11, 'NO USAR1'!A4:L1000,10,FALSE)+(IF(ISBLANK(Draft!I6),0,VLOOKUP(Draft!I6, 'NO USAR1'!A4:L1000,10,FALSE)+(IF(ISBLANK(Draft!J11),0,VLOOKUP(Draft!J11, 'NO USAR1'!A4:L1000,10,FALSE)+(IF(ISBLANK(Draft!K6),0,VLOOKUP(Draft!K6, 'NO USAR1'!A4:L1000,10,FALSE)+(IF(ISBLANK(Draft!L11),0,VLOOKUP(Draft!L11, 'NO USAR1'!A4:L1000,10,FALSE)+IF(ISBLANK(Draft!M6),0,VLOOKUP(Draft!M6, 'NO USAR1'!A4:L1000,10,FALSE)+IF(ISBLANK(Draft!N11),0,VLOOKUP(Draft!N11, 'NO USAR1'!A4:L1000,10,FALSE))))))))))))))))))))))))</f>
        <v>-1.044593762</v>
      </c>
      <c r="L8" s="23">
        <f>((IF(ISBLANK(Draft!C6),0,VLOOKUP(Draft!C6, 'NO USAR1'!A4:L1000,12,FALSE)+(IF(ISBLANK(Draft!D11),0,VLOOKUP(Draft!D11, 'NO USAR1'!A4:L1000,12,FALSE)+(IF(ISBLANK(Draft!E6),0,VLOOKUP(Draft!E6, 'NO USAR1'!A4:L1000,12,FALSE)+(IF(ISBLANK(Draft!F11),0,VLOOKUP(Draft!F11, 'NO USAR1'!A4:L1000,12,FALSE)+(IF(ISBLANK(Draft!G6),0,VLOOKUP(Draft!G6, 'NO USAR1'!A4:L1000,12,FALSE)+(IF(ISBLANK(Draft!H11),0,VLOOKUP(Draft!H11, 'NO USAR1'!A4:L1000,12,FALSE)+(IF(ISBLANK(Draft!I6),0,VLOOKUP(Draft!I6, 'NO USAR1'!A4:L1000,12,FALSE)+(IF(ISBLANK(Draft!J11),0,VLOOKUP(Draft!J11, 'NO USAR1'!A4:L1000,12,FALSE)+(IF(ISBLANK(Draft!K6),0,VLOOKUP(Draft!K6, 'NO USAR1'!A4:L1000,12,FALSE)+(IF(ISBLANK(Draft!L11),0,VLOOKUP(Draft!L11, 'NO USAR1'!A4:L1000,12,FALSE)+IF(ISBLANK(Draft!M6),0,VLOOKUP(Draft!M6, 'NO USAR1'!A4:L1000,12,FALSE)+IF(ISBLANK(Draft!N11),0,VLOOKUP(Draft!N11, 'NO USAR1'!A4:L1000,12,FALSE))))))))))))))))))))))))</f>
        <v>-4.934591919</v>
      </c>
      <c r="M8" s="49">
        <f t="array" ref="M8">if(M$3=$C8,"-", countif(indirect(address(row($C$4)+ VLOOKUP(M$3,$C$5:$C$16,1),COLUMN($D$4))):indirect(address(row($C$4)+ VLOOKUP(M$3,$C$5:$C$16,1),COLUMN($L$4)))&gt;indirect(address(row($C8),COLUMN($D$4))):indirect(address(row($C8),COLUMN($L$4))),TRUE()))</f>
        <v>5</v>
      </c>
      <c r="N8" s="49">
        <f t="array" ref="N8">if(N$3=$C8,"-", countif(indirect(address(row($C$4)+ VLOOKUP(N$3,$C$5:$C$16,1),COLUMN($D$4))):indirect(address(row($C$4)+ VLOOKUP(N$3,$C$5:$C$16,1),COLUMN($L$4)))&gt;indirect(address(row($C8),COLUMN($D$4))):indirect(address(row($C8),COLUMN($L$4))),TRUE()))</f>
        <v>5</v>
      </c>
      <c r="O8" s="49">
        <f t="array" ref="O8">if(O$3=$C8,"-", countif(indirect(address(row($C$4)+ VLOOKUP(O$3,$C$5:$C$16,1),COLUMN($D$4))):indirect(address(row($C$4)+ VLOOKUP(O$3,$C$5:$C$16,1),COLUMN($L$4)))&gt;indirect(address(row($C8),COLUMN($D$4))):indirect(address(row($C8),COLUMN($L$4))),TRUE()))</f>
        <v>5</v>
      </c>
      <c r="P8" s="49" t="str">
        <f t="array" ref="P8">if(P$3=$C8,"-", countif(indirect(address(row($C$4)+ VLOOKUP(P$3,$C$5:$C$16,1),COLUMN($D$4))):indirect(address(row($C$4)+ VLOOKUP(P$3,$C$5:$C$16,1),COLUMN($L$4)))&gt;indirect(address(row($C8),COLUMN($D$4))):indirect(address(row($C8),COLUMN($L$4))),TRUE()))</f>
        <v>-</v>
      </c>
      <c r="Q8" s="49">
        <f t="array" ref="Q8">if(Q$3=$C8,"-", countif(indirect(address(row($C$4)+ VLOOKUP(Q$3,$C$5:$C$16,1),COLUMN($D$4))):indirect(address(row($C$4)+ VLOOKUP(Q$3,$C$5:$C$16,1),COLUMN($L$4)))&gt;indirect(address(row($C8),COLUMN($D$4))):indirect(address(row($C8),COLUMN($L$4))),TRUE()))</f>
        <v>3</v>
      </c>
      <c r="R8" s="49">
        <f t="array" ref="R8">if(R$3=$C8,"-", countif(indirect(address(row($C$4)+ VLOOKUP(R$3,$C$5:$C$16,1),COLUMN($D$4))):indirect(address(row($C$4)+ VLOOKUP(R$3,$C$5:$C$16,1),COLUMN($L$4)))&gt;indirect(address(row($C8),COLUMN($D$4))):indirect(address(row($C8),COLUMN($L$4))),TRUE()))</f>
        <v>5</v>
      </c>
      <c r="S8" s="49">
        <f t="array" ref="S8">if(S$3=$C8,"-", countif(indirect(address(row($C$4)+ VLOOKUP(S$3,$C$5:$C$16,1),COLUMN($D$4))):indirect(address(row($C$4)+ VLOOKUP(S$3,$C$5:$C$16,1),COLUMN($L$4)))&gt;indirect(address(row($C8),COLUMN($D$4))):indirect(address(row($C8),COLUMN($L$4))),TRUE()))</f>
        <v>6</v>
      </c>
      <c r="T8" s="49">
        <f t="array" ref="T8">if(T$3=$C8,"-", countif(indirect(address(row($C$4)+ VLOOKUP(T$3,$C$5:$C$16,1),COLUMN($D$4))):indirect(address(row($C$4)+ VLOOKUP(T$3,$C$5:$C$16,1),COLUMN($L$4)))&gt;indirect(address(row($C8),COLUMN($D$4))):indirect(address(row($C8),COLUMN($L$4))),TRUE()))</f>
        <v>4</v>
      </c>
      <c r="U8" s="49">
        <f t="array" ref="U8">if(U$3=$C8,"-", countif(indirect(address(row($C$4)+ VLOOKUP(U$3,$C$5:$C$16,1),COLUMN($D$4))):indirect(address(row($C$4)+ VLOOKUP(U$3,$C$5:$C$16,1),COLUMN($L$4)))&gt;indirect(address(row($C8),COLUMN($D$4))):indirect(address(row($C8),COLUMN($L$4))),TRUE()))</f>
        <v>5</v>
      </c>
      <c r="V8" s="49">
        <f t="array" ref="V8">if(V$3=$C8,"-", countif(indirect(address(row($C$4)+ VLOOKUP(V$3,$C$5:$C$16,1),COLUMN($D$4))):indirect(address(row($C$4)+ VLOOKUP(V$3,$C$5:$C$16,1),COLUMN($L$4)))&gt;indirect(address(row($C8),COLUMN($D$4))):indirect(address(row($C8),COLUMN($L$4))),TRUE()))</f>
        <v>3</v>
      </c>
      <c r="W8" s="49">
        <f t="array" ref="W8">if(W$3=$C8,"-", countif(indirect(address(row($C$4)+ VLOOKUP(W$3,$C$5:$C$16,1),COLUMN($D$4))):indirect(address(row($C$4)+ VLOOKUP(W$3,$C$5:$C$16,1),COLUMN($L$4)))&gt;indirect(address(row($C8),COLUMN($D$4))):indirect(address(row($C8),COLUMN($L$4))),TRUE()))</f>
        <v>5</v>
      </c>
      <c r="X8" s="49">
        <f t="array" ref="X8">if(X$3=$C8,"-", countif(indirect(address(row($C$4)+ VLOOKUP(X$3,$C$5:$C$16,1),COLUMN($D$4))):indirect(address(row($C$4)+ VLOOKUP(X$3,$C$5:$C$16,1),COLUMN($L$4)))&gt;indirect(address(row($C8),COLUMN($D$4))):indirect(address(row($C8),COLUMN($L$4))),TRUE()))</f>
        <v>5</v>
      </c>
      <c r="Y8" s="49">
        <f t="array" ref="Y8">if(D$1=$C8,"-", countif(indirect(address(row($C$4)+ VLOOKUP(D$1,$C$5:$C$16,1),COLUMN($D$4))):indirect(address(row($C$4)+ VLOOKUP(D$1,$C$5:$C$16,1),COLUMN($L$4)))&gt;indirect(address(row($C8),COLUMN($D$4))):indirect(address(row($C8),COLUMN($L$4))),TRUE()))</f>
        <v>5</v>
      </c>
      <c r="Z8" s="23">
        <f>SUM(P$5:P$16)/99</f>
        <v>0.4848484848</v>
      </c>
    </row>
    <row r="9">
      <c r="B9" s="13" t="b">
        <f>Draft!B7</f>
        <v>0</v>
      </c>
      <c r="C9" s="12">
        <v>5.0</v>
      </c>
      <c r="D9" s="23">
        <f>((IF(ISBLANK(Draft!C7),0,VLOOKUP(Draft!C7, 'NO USAR1'!A4:L1000,2,FALSE)+(IF(ISBLANK(Draft!D10),0,VLOOKUP(Draft!D10, 'NO USAR1'!A4:L1000,2,FALSE)+(IF(ISBLANK(Draft!E7),0,VLOOKUP(Draft!E7, 'NO USAR1'!A4:L1000,2,FALSE)+(IF(ISBLANK(Draft!F10),0,VLOOKUP(Draft!F10, 'NO USAR1'!A4:L1000,2,FALSE)+(IF(ISBLANK(Draft!G7),0,VLOOKUP(Draft!G7, 'NO USAR1'!A4:L1000,2,FALSE)+(IF(ISBLANK(Draft!H10),0,VLOOKUP(Draft!H10, 'NO USAR1'!A4:L1000,2,FALSE)+(IF(ISBLANK(Draft!I7),0,VLOOKUP(Draft!I7, 'NO USAR1'!A4:L1000,2,FALSE)+(IF(ISBLANK(Draft!J10),0,VLOOKUP(Draft!J10, 'NO USAR1'!A4:L1000,2,FALSE)+(IF(ISBLANK(Draft!K7),0,VLOOKUP(Draft!K7, 'NO USAR1'!A4:L1000,2,FALSE)+(IF(ISBLANK(Draft!L10),0,VLOOKUP(Draft!L10, 'NO USAR1'!A4:L1000,2,FALSE)+IF(ISBLANK(Draft!M7),0,VLOOKUP(Draft!M7, 'NO USAR1'!A4:L1000,2,FALSE)+IF(ISBLANK(Draft!N10),0,VLOOKUP(Draft!N10, 'NO USAR1'!A4:L1000,2,FALSE))))))))))))))))))))))))</f>
        <v>4.831610542</v>
      </c>
      <c r="E9" s="23">
        <f>((IF(ISBLANK(Draft!C7),0,VLOOKUP(Draft!C7, 'NO USAR1'!A4:L1000,3,FALSE)+(IF(ISBLANK(Draft!D10),0,VLOOKUP(Draft!D10, 'NO USAR1'!A4:L1000,3,FALSE)+(IF(ISBLANK(Draft!E7),0,VLOOKUP(Draft!E7, 'NO USAR1'!A4:L1000,3,FALSE)+(IF(ISBLANK(Draft!F10),0,VLOOKUP(Draft!F10, 'NO USAR1'!A4:L1000,3,FALSE)+(IF(ISBLANK(Draft!G7),0,VLOOKUP(Draft!G7, 'NO USAR1'!A4:L1000,3,FALSE)+(IF(ISBLANK(Draft!H10),0,VLOOKUP(Draft!H10, 'NO USAR1'!A4:L1000,3,FALSE)+(IF(ISBLANK(Draft!I7),0,VLOOKUP(Draft!I7, 'NO USAR1'!A4:L1000,3,FALSE)+(IF(ISBLANK(Draft!J10),0,VLOOKUP(Draft!J10, 'NO USAR1'!A4:L1000,3,FALSE)+(IF(ISBLANK(Draft!K7),0,VLOOKUP(Draft!K7, 'NO USAR1'!A4:L1000,3,FALSE)+(IF(ISBLANK(Draft!L10),0,VLOOKUP(Draft!L10, 'NO USAR1'!A4:L1000,3,FALSE)+IF(ISBLANK(Draft!M7),0,VLOOKUP(Draft!M7, 'NO USAR1'!A4:L1000,3,FALSE)+IF(ISBLANK(Draft!N10),0,VLOOKUP(Draft!N10, 'NO USAR1'!A4:L1000,3,FALSE))))))))))))))))))))))))</f>
        <v>-0.4476311142</v>
      </c>
      <c r="F9" s="23">
        <f>((IF(ISBLANK(Draft!C7),0,VLOOKUP(Draft!C7, 'NO USAR1'!A4:L1000,4,FALSE)+(IF(ISBLANK(Draft!D10),0,VLOOKUP(Draft!D10, 'NO USAR1'!A4:L1000,4,FALSE)+(IF(ISBLANK(Draft!E7),0,VLOOKUP(Draft!E7, 'NO USAR1'!A4:L1000,4,FALSE)+(IF(ISBLANK(Draft!F10),0,VLOOKUP(Draft!F10, 'NO USAR1'!A4:L1000,4,FALSE)+(IF(ISBLANK(Draft!G7),0,VLOOKUP(Draft!G7, 'NO USAR1'!A4:L1000,4,FALSE)+(IF(ISBLANK(Draft!H10),0,VLOOKUP(Draft!H10, 'NO USAR1'!A4:L1000,4,FALSE)+(IF(ISBLANK(Draft!I7),0,VLOOKUP(Draft!I7, 'NO USAR1'!A4:L1000,4,FALSE)+(IF(ISBLANK(Draft!J10),0,VLOOKUP(Draft!J10, 'NO USAR1'!A4:L1000,4,FALSE)+(IF(ISBLANK(Draft!K7),0,VLOOKUP(Draft!K7, 'NO USAR1'!A4:L1000,4,FALSE)+(IF(ISBLANK(Draft!L10),0,VLOOKUP(Draft!L10, 'NO USAR1'!A4:L1000,4,FALSE)+IF(ISBLANK(Draft!M7),0,VLOOKUP(Draft!M7, 'NO USAR1'!A4:L1000,4,FALSE)+IF(ISBLANK(Draft!N10),0,VLOOKUP(Draft!N10, 'NO USAR1'!A4:L1000,4,FALSE))))))))))))))))))))))))</f>
        <v>1.257522617</v>
      </c>
      <c r="G9" s="23">
        <f>((IF(ISBLANK(Draft!C7),0,VLOOKUP(Draft!C7, 'NO USAR1'!A4:L1000,5,FALSE)+(IF(ISBLANK(Draft!D10),0,VLOOKUP(Draft!D10, 'NO USAR1'!A4:L1000,5,FALSE)+(IF(ISBLANK(Draft!E7),0,VLOOKUP(Draft!E7, 'NO USAR1'!A4:L1000,5,FALSE)+(IF(ISBLANK(Draft!F10),0,VLOOKUP(Draft!F10, 'NO USAR1'!A4:L1000,5,FALSE)+(IF(ISBLANK(Draft!G7),0,VLOOKUP(Draft!G7, 'NO USAR1'!A4:L1000,5,FALSE)+(IF(ISBLANK(Draft!H10),0,VLOOKUP(Draft!H10, 'NO USAR1'!A4:L1000,5,FALSE)+(IF(ISBLANK(Draft!I7),0,VLOOKUP(Draft!I7, 'NO USAR1'!A4:L1000,5,FALSE)+(IF(ISBLANK(Draft!J10),0,VLOOKUP(Draft!J10, 'NO USAR1'!A4:L1000,5,FALSE)+(IF(ISBLANK(Draft!K7),0,VLOOKUP(Draft!K7, 'NO USAR1'!A4:L1000,5,FALSE)+(IF(ISBLANK(Draft!L10),0,VLOOKUP(Draft!L10, 'NO USAR1'!A4:L1000,5,FALSE)+IF(ISBLANK(Draft!M7),0,VLOOKUP(Draft!M7, 'NO USAR1'!A4:L1000,5,FALSE)+IF(ISBLANK(Draft!N10),0,VLOOKUP(Draft!N10, 'NO USAR1'!A4:L1000,5,FALSE))))))))))))))))))))))))</f>
        <v>-0.2840443524</v>
      </c>
      <c r="H9" s="23">
        <f>((IF(ISBLANK(Draft!C7),0,VLOOKUP(Draft!C7, 'NO USAR1'!A4:L1000,6,FALSE)+(IF(ISBLANK(Draft!D10),0,VLOOKUP(Draft!D10, 'NO USAR1'!A4:L1000,6,FALSE)+(IF(ISBLANK(Draft!E7),0,VLOOKUP(Draft!E7, 'NO USAR1'!A4:L1000,6,FALSE)+(IF(ISBLANK(Draft!F10),0,VLOOKUP(Draft!F10, 'NO USAR1'!A4:L1000,6,FALSE)+(IF(ISBLANK(Draft!G7),0,VLOOKUP(Draft!G7, 'NO USAR1'!A4:L1000,6,FALSE)+(IF(ISBLANK(Draft!H10),0,VLOOKUP(Draft!H10, 'NO USAR1'!A4:L1000,6,FALSE)+(IF(ISBLANK(Draft!I7),0,VLOOKUP(Draft!I7, 'NO USAR1'!A4:L1000,6,FALSE)+(IF(ISBLANK(Draft!J10),0,VLOOKUP(Draft!J10, 'NO USAR1'!A4:L1000,6,FALSE)+(IF(ISBLANK(Draft!K7),0,VLOOKUP(Draft!K7, 'NO USAR1'!A4:L1000,6,FALSE)+(IF(ISBLANK(Draft!L10),0,VLOOKUP(Draft!L10, 'NO USAR1'!A4:L1000,6,FALSE)+IF(ISBLANK(Draft!M7),0,VLOOKUP(Draft!M7, 'NO USAR1'!A4:L1000,6,FALSE)+IF(ISBLANK(Draft!N10),0,VLOOKUP(Draft!N10, 'NO USAR1'!A4:L1000,6,FALSE))))))))))))))))))))))))</f>
        <v>-4.723421726</v>
      </c>
      <c r="I9" s="23">
        <f>((IF(ISBLANK(Draft!C7),0,VLOOKUP(Draft!C7, 'NO USAR1'!A4:L1000,7,FALSE)+(IF(ISBLANK(Draft!D10),0,VLOOKUP(Draft!D10, 'NO USAR1'!A4:L1000,7,FALSE)+(IF(ISBLANK(Draft!E7),0,VLOOKUP(Draft!E7, 'NO USAR1'!A4:L1000,7,FALSE)+(IF(ISBLANK(Draft!F10),0,VLOOKUP(Draft!F10, 'NO USAR1'!A4:L1000,7,FALSE)+(IF(ISBLANK(Draft!G7),0,VLOOKUP(Draft!G7, 'NO USAR1'!A4:L1000,7,FALSE)+(IF(ISBLANK(Draft!H10),0,VLOOKUP(Draft!H10, 'NO USAR1'!A4:L1000,7,FALSE)+(IF(ISBLANK(Draft!I7),0,VLOOKUP(Draft!I7, 'NO USAR1'!A4:L1000,7,FALSE)+(IF(ISBLANK(Draft!J10),0,VLOOKUP(Draft!J10, 'NO USAR1'!A4:L1000,7,FALSE)+(IF(ISBLANK(Draft!K7),0,VLOOKUP(Draft!K7, 'NO USAR1'!A4:L1000,7,FALSE)+(IF(ISBLANK(Draft!L10),0,VLOOKUP(Draft!L10, 'NO USAR1'!A4:L1000,7,FALSE)+IF(ISBLANK(Draft!M7),0,VLOOKUP(Draft!M7, 'NO USAR1'!A4:L1000,7,FALSE)+IF(ISBLANK(Draft!N10),0,VLOOKUP(Draft!N10, 'NO USAR1'!A4:L1000,7,FALSE))))))))))))))))))))))))</f>
        <v>-1.38111081</v>
      </c>
      <c r="J9" s="23">
        <f>((IF(ISBLANK(Draft!C7),0,VLOOKUP(Draft!C7, 'NO USAR1'!A4:L1000,8,FALSE)+(IF(ISBLANK(Draft!D10),0,VLOOKUP(Draft!D10, 'NO USAR1'!A4:L1000,8,FALSE)+(IF(ISBLANK(Draft!E7),0,VLOOKUP(Draft!E7, 'NO USAR1'!A4:L1000,8,FALSE)+(IF(ISBLANK(Draft!F10),0,VLOOKUP(Draft!F10, 'NO USAR1'!A4:L1000,8,FALSE)+(IF(ISBLANK(Draft!G7),0,VLOOKUP(Draft!G7, 'NO USAR1'!A4:L1000,8,FALSE)+(IF(ISBLANK(Draft!H10),0,VLOOKUP(Draft!H10, 'NO USAR1'!A4:L1000,8,FALSE)+(IF(ISBLANK(Draft!I7),0,VLOOKUP(Draft!I7, 'NO USAR1'!A4:L1000,8,FALSE)+(IF(ISBLANK(Draft!J10),0,VLOOKUP(Draft!J10, 'NO USAR1'!A4:L1000,8,FALSE)+(IF(ISBLANK(Draft!K7),0,VLOOKUP(Draft!K7, 'NO USAR1'!A4:L1000,8,FALSE)+(IF(ISBLANK(Draft!L10),0,VLOOKUP(Draft!L10, 'NO USAR1'!A4:L1000,8,FALSE)+IF(ISBLANK(Draft!M7),0,VLOOKUP(Draft!M7, 'NO USAR1'!A4:L1000,8,FALSE)+IF(ISBLANK(Draft!N10),0,VLOOKUP(Draft!N10, 'NO USAR1'!A4:L1000,7,FALSE))))))))))))))))))))))))</f>
        <v>0.2210434411</v>
      </c>
      <c r="K9" s="23">
        <f>((IF(ISBLANK(Draft!C7),0,VLOOKUP(Draft!C7, 'NO USAR1'!A4:L1000,10,FALSE)+(IF(ISBLANK(Draft!D10),0,VLOOKUP(Draft!D10, 'NO USAR1'!A4:L1000,10,FALSE)+(IF(ISBLANK(Draft!E7),0,VLOOKUP(Draft!E7, 'NO USAR1'!A4:L1000,10,FALSE)+(IF(ISBLANK(Draft!F10),0,VLOOKUP(Draft!F10, 'NO USAR1'!A4:L1000,10,FALSE)+(IF(ISBLANK(Draft!G7),0,VLOOKUP(Draft!G7, 'NO USAR1'!A4:L1000,10,FALSE)+(IF(ISBLANK(Draft!H10),0,VLOOKUP(Draft!H10, 'NO USAR1'!A4:L1000,10,FALSE)+(IF(ISBLANK(Draft!I7),0,VLOOKUP(Draft!I7, 'NO USAR1'!A4:L1000,10,FALSE)+(IF(ISBLANK(Draft!J10),0,VLOOKUP(Draft!J10, 'NO USAR1'!A4:L1000,10,FALSE)+(IF(ISBLANK(Draft!K7),0,VLOOKUP(Draft!K7, 'NO USAR1'!A4:L1000,10,FALSE)+(IF(ISBLANK(Draft!L10),0,VLOOKUP(Draft!L10, 'NO USAR1'!A4:L1000,10,FALSE)+IF(ISBLANK(Draft!M7),0,VLOOKUP(Draft!M7, 'NO USAR1'!A4:L1000,10,FALSE)+IF(ISBLANK(Draft!N10),0,VLOOKUP(Draft!N10, 'NO USAR1'!A4:L1000,10,FALSE))))))))))))))))))))))))</f>
        <v>-2.816879489</v>
      </c>
      <c r="L9" s="23">
        <f>((IF(ISBLANK(Draft!C7),0,VLOOKUP(Draft!C7, 'NO USAR1'!A4:L1000,12,FALSE)+(IF(ISBLANK(Draft!D10),0,VLOOKUP(Draft!D10, 'NO USAR1'!A4:L1000,12,FALSE)+(IF(ISBLANK(Draft!E7),0,VLOOKUP(Draft!E7, 'NO USAR1'!A4:L1000,12,FALSE)+(IF(ISBLANK(Draft!F10),0,VLOOKUP(Draft!F10, 'NO USAR1'!A4:L1000,12,FALSE)+(IF(ISBLANK(Draft!G7),0,VLOOKUP(Draft!G7, 'NO USAR1'!A4:L1000,12,FALSE)+(IF(ISBLANK(Draft!H10),0,VLOOKUP(Draft!H10, 'NO USAR1'!A4:L1000,12,FALSE)+(IF(ISBLANK(Draft!I7),0,VLOOKUP(Draft!I7, 'NO USAR1'!A4:L1000,12,FALSE)+(IF(ISBLANK(Draft!J10),0,VLOOKUP(Draft!J10, 'NO USAR1'!A4:L1000,12,FALSE)+(IF(ISBLANK(Draft!K7),0,VLOOKUP(Draft!K7, 'NO USAR1'!A4:L1000,12,FALSE)+(IF(ISBLANK(Draft!L10),0,VLOOKUP(Draft!L10, 'NO USAR1'!A4:L1000,12,FALSE)+IF(ISBLANK(Draft!M7),0,VLOOKUP(Draft!M7, 'NO USAR1'!A4:L1000,12,FALSE)+IF(ISBLANK(Draft!N10),0,VLOOKUP(Draft!N10, 'NO USAR1'!A4:L1000,12,FALSE))))))))))))))))))))))))</f>
        <v>-0.8510726681</v>
      </c>
      <c r="M9" s="49">
        <f t="array" ref="M9">if(M$3=$C9,"-", countif(indirect(address(row($C$4)+ VLOOKUP(M$3,$C$5:$C$16,1),COLUMN($D$4))):indirect(address(row($C$4)+ VLOOKUP(M$3,$C$5:$C$16,1),COLUMN($L$4)))&gt;indirect(address(row($C9),COLUMN($D$4))):indirect(address(row($C9),COLUMN($L$4))),TRUE()))</f>
        <v>4</v>
      </c>
      <c r="N9" s="49">
        <f t="array" ref="N9">if(N$3=$C9,"-", countif(indirect(address(row($C$4)+ VLOOKUP(N$3,$C$5:$C$16,1),COLUMN($D$4))):indirect(address(row($C$4)+ VLOOKUP(N$3,$C$5:$C$16,1),COLUMN($L$4)))&gt;indirect(address(row($C9),COLUMN($D$4))):indirect(address(row($C9),COLUMN($L$4))),TRUE()))</f>
        <v>5</v>
      </c>
      <c r="O9" s="49">
        <f t="array" ref="O9">if(O$3=$C9,"-", countif(indirect(address(row($C$4)+ VLOOKUP(O$3,$C$5:$C$16,1),COLUMN($D$4))):indirect(address(row($C$4)+ VLOOKUP(O$3,$C$5:$C$16,1),COLUMN($L$4)))&gt;indirect(address(row($C9),COLUMN($D$4))):indirect(address(row($C9),COLUMN($L$4))),TRUE()))</f>
        <v>6</v>
      </c>
      <c r="P9" s="49">
        <f t="array" ref="P9">if(P$3=$C9,"-", countif(indirect(address(row($C$4)+ VLOOKUP(P$3,$C$5:$C$16,1),COLUMN($D$4))):indirect(address(row($C$4)+ VLOOKUP(P$3,$C$5:$C$16,1),COLUMN($L$4)))&gt;indirect(address(row($C9),COLUMN($D$4))):indirect(address(row($C9),COLUMN($L$4))),TRUE()))</f>
        <v>6</v>
      </c>
      <c r="Q9" s="49" t="str">
        <f t="array" ref="Q9">if(Q$3=$C9,"-", countif(indirect(address(row($C$4)+ VLOOKUP(Q$3,$C$5:$C$16,1),COLUMN($D$4))):indirect(address(row($C$4)+ VLOOKUP(Q$3,$C$5:$C$16,1),COLUMN($L$4)))&gt;indirect(address(row($C9),COLUMN($D$4))):indirect(address(row($C9),COLUMN($L$4))),TRUE()))</f>
        <v>-</v>
      </c>
      <c r="R9" s="49">
        <f t="array" ref="R9">if(R$3=$C9,"-", countif(indirect(address(row($C$4)+ VLOOKUP(R$3,$C$5:$C$16,1),COLUMN($D$4))):indirect(address(row($C$4)+ VLOOKUP(R$3,$C$5:$C$16,1),COLUMN($L$4)))&gt;indirect(address(row($C9),COLUMN($D$4))):indirect(address(row($C9),COLUMN($L$4))),TRUE()))</f>
        <v>6</v>
      </c>
      <c r="S9" s="49">
        <f t="array" ref="S9">if(S$3=$C9,"-", countif(indirect(address(row($C$4)+ VLOOKUP(S$3,$C$5:$C$16,1),COLUMN($D$4))):indirect(address(row($C$4)+ VLOOKUP(S$3,$C$5:$C$16,1),COLUMN($L$4)))&gt;indirect(address(row($C9),COLUMN($D$4))):indirect(address(row($C9),COLUMN($L$4))),TRUE()))</f>
        <v>6</v>
      </c>
      <c r="T9" s="49">
        <f t="array" ref="T9">if(T$3=$C9,"-", countif(indirect(address(row($C$4)+ VLOOKUP(T$3,$C$5:$C$16,1),COLUMN($D$4))):indirect(address(row($C$4)+ VLOOKUP(T$3,$C$5:$C$16,1),COLUMN($L$4)))&gt;indirect(address(row($C9),COLUMN($D$4))):indirect(address(row($C9),COLUMN($L$4))),TRUE()))</f>
        <v>4</v>
      </c>
      <c r="U9" s="49">
        <f t="array" ref="U9">if(U$3=$C9,"-", countif(indirect(address(row($C$4)+ VLOOKUP(U$3,$C$5:$C$16,1),COLUMN($D$4))):indirect(address(row($C$4)+ VLOOKUP(U$3,$C$5:$C$16,1),COLUMN($L$4)))&gt;indirect(address(row($C9),COLUMN($D$4))):indirect(address(row($C9),COLUMN($L$4))),TRUE()))</f>
        <v>6</v>
      </c>
      <c r="V9" s="49">
        <f t="array" ref="V9">if(V$3=$C9,"-", countif(indirect(address(row($C$4)+ VLOOKUP(V$3,$C$5:$C$16,1),COLUMN($D$4))):indirect(address(row($C$4)+ VLOOKUP(V$3,$C$5:$C$16,1),COLUMN($L$4)))&gt;indirect(address(row($C9),COLUMN($D$4))):indirect(address(row($C9),COLUMN($L$4))),TRUE()))</f>
        <v>4</v>
      </c>
      <c r="W9" s="49">
        <f t="array" ref="W9">if(W$3=$C9,"-", countif(indirect(address(row($C$4)+ VLOOKUP(W$3,$C$5:$C$16,1),COLUMN($D$4))):indirect(address(row($C$4)+ VLOOKUP(W$3,$C$5:$C$16,1),COLUMN($L$4)))&gt;indirect(address(row($C9),COLUMN($D$4))):indirect(address(row($C9),COLUMN($L$4))),TRUE()))</f>
        <v>6</v>
      </c>
      <c r="X9" s="49">
        <f t="array" ref="X9">if(X$3=$C9,"-", countif(indirect(address(row($C$4)+ VLOOKUP(X$3,$C$5:$C$16,1),COLUMN($D$4))):indirect(address(row($C$4)+ VLOOKUP(X$3,$C$5:$C$16,1),COLUMN($L$4)))&gt;indirect(address(row($C9),COLUMN($D$4))):indirect(address(row($C9),COLUMN($L$4))),TRUE()))</f>
        <v>4</v>
      </c>
      <c r="Y9" s="49">
        <f t="array" ref="Y9">if(D$1=$C9,"-", countif(indirect(address(row($C$4)+ VLOOKUP(D$1,$C$5:$C$16,1),COLUMN($D$4))):indirect(address(row($C$4)+ VLOOKUP(D$1,$C$5:$C$16,1),COLUMN($L$4)))&gt;indirect(address(row($C9),COLUMN($D$4))):indirect(address(row($C9),COLUMN($L$4))),TRUE()))</f>
        <v>6</v>
      </c>
      <c r="Z9" s="23">
        <f>SUM(Q$5:Q$16)/99</f>
        <v>0.4141414141</v>
      </c>
    </row>
    <row r="10">
      <c r="B10" s="13" t="b">
        <f>Draft!B8</f>
        <v>1</v>
      </c>
      <c r="C10" s="12">
        <v>6.0</v>
      </c>
      <c r="D10" s="74">
        <f>((IF(ISBLANK(Draft!C8),0,VLOOKUP(Draft!C8, 'NO USAR1'!A4:L1000,2,FALSE)+(IF(ISBLANK(Draft!D9),0,VLOOKUP(Draft!D9, 'NO USAR1'!A4:L1000,2,FALSE)+(IF(ISBLANK(Draft!E8),0,VLOOKUP(Draft!E8, 'NO USAR1'!A4:L1000,2,FALSE)+(IF(ISBLANK(Draft!F9),0,VLOOKUP(Draft!F9, 'NO USAR1'!A4:L1000,2,FALSE)+(IF(ISBLANK(Draft!G8),0,VLOOKUP(Draft!G8, 'NO USAR1'!A4:L1000,2,FALSE)+(IF(ISBLANK(Draft!H9),0,VLOOKUP(Draft!H9, 'NO USAR1'!A4:L1000,2,FALSE)+(IF(ISBLANK(Draft!I8),0,VLOOKUP(Draft!I8, 'NO USAR1'!A4:L1000,2,FALSE)+(IF(ISBLANK(Draft!J9),0,VLOOKUP(Draft!J9, 'NO USAR1'!A4:L1000,2,FALSE)+(IF(ISBLANK(Draft!K8),0,VLOOKUP(Draft!K8, 'NO USAR1'!A4:L1000,2,FALSE)+(IF(ISBLANK(Draft!L9),0,VLOOKUP(Draft!L9, 'NO USAR1'!A4:L1000,2,FALSE)+IF(ISBLANK(Draft!M8),0,VLOOKUP(Draft!M8, 'NO USAR1'!A4:L1000,2,FALSE)+IF(ISBLANK(Draft!N9),0,VLOOKUP(Draft!N9, 'NO USAR1'!A4:L1000,2,FALSE))))))))))))))))))))))))</f>
        <v>2.097752739</v>
      </c>
      <c r="E10" s="23">
        <f>((IF(ISBLANK(Draft!C8),0,VLOOKUP(Draft!C8, 'NO USAR1'!A4:L1000,3,FALSE)+(IF(ISBLANK(Draft!D9),0,VLOOKUP(Draft!D9, 'NO USAR1'!A4:L1000,3,FALSE)+(IF(ISBLANK(Draft!E8),0,VLOOKUP(Draft!E8, 'NO USAR1'!A4:L1000,3,FALSE)+(IF(ISBLANK(Draft!F9),0,VLOOKUP(Draft!F9, 'NO USAR1'!A4:L1000,3,FALSE)+(IF(ISBLANK(Draft!G8),0,VLOOKUP(Draft!G8, 'NO USAR1'!A4:L1000,3,FALSE)+(IF(ISBLANK(Draft!H9),0,VLOOKUP(Draft!H9, 'NO USAR1'!A4:L1000,3,FALSE)+(IF(ISBLANK(Draft!I8),0,VLOOKUP(Draft!I8, 'NO USAR1'!A4:L1000,3,FALSE)+(IF(ISBLANK(Draft!J9),0,VLOOKUP(Draft!J9, 'NO USAR1'!A4:L1000,3,FALSE)+(IF(ISBLANK(Draft!K8),0,VLOOKUP(Draft!K8, 'NO USAR1'!A4:L1000,3,FALSE)+(IF(ISBLANK(Draft!L9),0,VLOOKUP(Draft!L9, 'NO USAR1'!A4:L1000,3,FALSE)+IF(ISBLANK(Draft!M8),0,VLOOKUP(Draft!M8, 'NO USAR1'!A4:L1000,3,FALSE)+IF(ISBLANK(Draft!N9),0,VLOOKUP(Draft!N9, 'NO USAR1'!A4:L1000,3,FALSE))))))))))))))))))))))))</f>
        <v>3.652186692</v>
      </c>
      <c r="F10" s="23">
        <f>((IF(ISBLANK(Draft!C8),0,VLOOKUP(Draft!C8, 'NO USAR1'!A4:L1000,4,FALSE)+(IF(ISBLANK(Draft!D9),0,VLOOKUP(Draft!D9, 'NO USAR1'!A4:L1000,4,FALSE)+(IF(ISBLANK(Draft!E8),0,VLOOKUP(Draft!E8, 'NO USAR1'!A4:L1000,4,FALSE)+(IF(ISBLANK(Draft!F9),0,VLOOKUP(Draft!F9, 'NO USAR1'!A4:L1000,4,FALSE)+(IF(ISBLANK(Draft!G8),0,VLOOKUP(Draft!G8, 'NO USAR1'!A4:L1000,4,FALSE)+(IF(ISBLANK(Draft!H9),0,VLOOKUP(Draft!H9, 'NO USAR1'!A4:L1000,4,FALSE)+(IF(ISBLANK(Draft!I8),0,VLOOKUP(Draft!I8, 'NO USAR1'!A4:L1000,4,FALSE)+(IF(ISBLANK(Draft!J9),0,VLOOKUP(Draft!J9, 'NO USAR1'!A4:L1000,4,FALSE)+(IF(ISBLANK(Draft!K8),0,VLOOKUP(Draft!K8, 'NO USAR1'!A4:L1000,4,FALSE)+(IF(ISBLANK(Draft!L9),0,VLOOKUP(Draft!L9, 'NO USAR1'!A4:L1000,4,FALSE)+IF(ISBLANK(Draft!M8),0,VLOOKUP(Draft!M8, 'NO USAR1'!A4:L1000,4,FALSE)+IF(ISBLANK(Draft!N9),0,VLOOKUP(Draft!N9, 'NO USAR1'!A4:L1000,4,FALSE))))))))))))))))))))))))</f>
        <v>1.379987238</v>
      </c>
      <c r="G10" s="42">
        <f>((IF(ISBLANK(Draft!C8),0,VLOOKUP(Draft!C8, 'NO USAR1'!A4:L1000,5,FALSE)+(IF(ISBLANK(Draft!D9),0,VLOOKUP(Draft!D9, 'NO USAR1'!A4:L1000,5,FALSE)+(IF(ISBLANK(Draft!E8),0,VLOOKUP(Draft!E8, 'NO USAR1'!A4:L1000,5,FALSE)+(IF(ISBLANK(Draft!F9),0,VLOOKUP(Draft!F9, 'NO USAR1'!A4:L1000,5,FALSE)+(IF(ISBLANK(Draft!G8),0,VLOOKUP(Draft!G8, 'NO USAR1'!A4:L1000,5,FALSE)+(IF(ISBLANK(Draft!H9),0,VLOOKUP(Draft!H9, 'NO USAR1'!A4:L1000,5,FALSE)+(IF(ISBLANK(Draft!I8),0,VLOOKUP(Draft!I8, 'NO USAR1'!A4:L1000,5,FALSE)+(IF(ISBLANK(Draft!J9),0,VLOOKUP(Draft!J9, 'NO USAR1'!A4:L1000,5,FALSE)+(IF(ISBLANK(Draft!K8),0,VLOOKUP(Draft!K8, 'NO USAR1'!A4:L1000,5,FALSE)+(IF(ISBLANK(Draft!L9),0,VLOOKUP(Draft!L9, 'NO USAR1'!A4:L1000,5,FALSE)+IF(ISBLANK(Draft!M8),0,VLOOKUP(Draft!M8, 'NO USAR1'!A4:L1000,5,FALSE)+IF(ISBLANK(Draft!N9),0,VLOOKUP(Draft!N9, 'NO USAR1'!A4:L1000,5,FALSE))))))))))))))))))))))))</f>
        <v>1.907417577</v>
      </c>
      <c r="H10" s="23">
        <f>((IF(ISBLANK(Draft!C8),0,VLOOKUP(Draft!C8, 'NO USAR1'!A4:L1000,6,FALSE)+(IF(ISBLANK(Draft!D9),0,VLOOKUP(Draft!D9, 'NO USAR1'!A4:L1000,6,FALSE)+(IF(ISBLANK(Draft!E8),0,VLOOKUP(Draft!E8, 'NO USAR1'!A4:L1000,6,FALSE)+(IF(ISBLANK(Draft!F9),0,VLOOKUP(Draft!F9, 'NO USAR1'!A4:L1000,6,FALSE)+(IF(ISBLANK(Draft!G8),0,VLOOKUP(Draft!G8, 'NO USAR1'!A4:L1000,6,FALSE)+(IF(ISBLANK(Draft!H9),0,VLOOKUP(Draft!H9, 'NO USAR1'!A4:L1000,6,FALSE)+(IF(ISBLANK(Draft!I8),0,VLOOKUP(Draft!I8, 'NO USAR1'!A4:L1000,6,FALSE)+(IF(ISBLANK(Draft!J9),0,VLOOKUP(Draft!J9, 'NO USAR1'!A4:L1000,6,FALSE)+(IF(ISBLANK(Draft!K8),0,VLOOKUP(Draft!K8, 'NO USAR1'!A4:L1000,6,FALSE)+(IF(ISBLANK(Draft!L9),0,VLOOKUP(Draft!L9, 'NO USAR1'!A4:L1000,6,FALSE)+IF(ISBLANK(Draft!M8),0,VLOOKUP(Draft!M8, 'NO USAR1'!A4:L1000,6,FALSE)+IF(ISBLANK(Draft!N9),0,VLOOKUP(Draft!N9, 'NO USAR1'!A4:L1000,6,FALSE))))))))))))))))))))))))</f>
        <v>1.163296243</v>
      </c>
      <c r="I10" s="23">
        <f>((IF(ISBLANK(Draft!C8),0,VLOOKUP(Draft!C8, 'NO USAR1'!A4:L1000,7,FALSE)+(IF(ISBLANK(Draft!D9),0,VLOOKUP(Draft!D9, 'NO USAR1'!A4:L1000,7,FALSE)+(IF(ISBLANK(Draft!E8),0,VLOOKUP(Draft!E8, 'NO USAR1'!A4:L1000,7,FALSE)+(IF(ISBLANK(Draft!F9),0,VLOOKUP(Draft!F9, 'NO USAR1'!A4:L1000,7,FALSE)+(IF(ISBLANK(Draft!G8),0,VLOOKUP(Draft!G8, 'NO USAR1'!A4:L1000,7,FALSE)+(IF(ISBLANK(Draft!H9),0,VLOOKUP(Draft!H9, 'NO USAR1'!A4:L1000,7,FALSE)+(IF(ISBLANK(Draft!I8),0,VLOOKUP(Draft!I8, 'NO USAR1'!A4:L1000,7,FALSE)+(IF(ISBLANK(Draft!J9),0,VLOOKUP(Draft!J9, 'NO USAR1'!A4:L1000,7,FALSE)+(IF(ISBLANK(Draft!K8),0,VLOOKUP(Draft!K8, 'NO USAR1'!A4:L1000,7,FALSE)+(IF(ISBLANK(Draft!L9),0,VLOOKUP(Draft!L9, 'NO USAR1'!A4:L1000,7,FALSE)+IF(ISBLANK(Draft!M8),0,VLOOKUP(Draft!M8, 'NO USAR1'!A4:L1000,7,FALSE)+IF(ISBLANK(Draft!N9),0,VLOOKUP(Draft!N9, 'NO USAR1'!A4:L1000,7,FALSE))))))))))))))))))))))))</f>
        <v>-2.411068322</v>
      </c>
      <c r="J10" s="23">
        <f>((IF(ISBLANK(Draft!C8),0,VLOOKUP(Draft!C8, 'NO USAR1'!A4:L1000,8,FALSE)+(IF(ISBLANK(Draft!D9),0,VLOOKUP(Draft!D9, 'NO USAR1'!A4:L1000,8,FALSE)+(IF(ISBLANK(Draft!E8),0,VLOOKUP(Draft!E8, 'NO USAR1'!A4:L1000,8,FALSE)+(IF(ISBLANK(Draft!F9),0,VLOOKUP(Draft!F9, 'NO USAR1'!A4:L1000,8,FALSE)+(IF(ISBLANK(Draft!G8),0,VLOOKUP(Draft!G8, 'NO USAR1'!A4:L1000,8,FALSE)+(IF(ISBLANK(Draft!H9),0,VLOOKUP(Draft!H9, 'NO USAR1'!A4:L1000,8,FALSE)+(IF(ISBLANK(Draft!I8),0,VLOOKUP(Draft!I8, 'NO USAR1'!A4:L1000,8,FALSE)+(IF(ISBLANK(Draft!J9),0,VLOOKUP(Draft!J9, 'NO USAR1'!A4:L1000,8,FALSE)+(IF(ISBLANK(Draft!K8),0,VLOOKUP(Draft!K8, 'NO USAR1'!A4:L1000,8,FALSE)+(IF(ISBLANK(Draft!L9),0,VLOOKUP(Draft!L9, 'NO USAR1'!A4:L1000,8,FALSE)+IF(ISBLANK(Draft!M8),0,VLOOKUP(Draft!M8, 'NO USAR1'!A4:L1000,8,FALSE)+IF(ISBLANK(Draft!N9),0,VLOOKUP(Draft!N9, 'NO USAR1'!A4:L1000,8,FALSE))))))))))))))))))))))))</f>
        <v>-3.787766386</v>
      </c>
      <c r="K10" s="23">
        <f>((IF(ISBLANK(Draft!C8),0,VLOOKUP(Draft!C8, 'NO USAR1'!A4:L1000,10,FALSE)+(IF(ISBLANK(Draft!D9),0,VLOOKUP(Draft!D9, 'NO USAR1'!A4:L1000,10,FALSE)+(IF(ISBLANK(Draft!E8),0,VLOOKUP(Draft!E8, 'NO USAR1'!A4:L1000,10,FALSE)+(IF(ISBLANK(Draft!F9),0,VLOOKUP(Draft!F9, 'NO USAR1'!A4:L1000,10,FALSE)+(IF(ISBLANK(Draft!G8),0,VLOOKUP(Draft!G8, 'NO USAR1'!A4:L1000,10,FALSE)+(IF(ISBLANK(Draft!H9),0,VLOOKUP(Draft!H9, 'NO USAR1'!A4:L1000,10,FALSE)+(IF(ISBLANK(Draft!I8),0,VLOOKUP(Draft!I8, 'NO USAR1'!A4:L1000,10,FALSE)+(IF(ISBLANK(Draft!J9),0,VLOOKUP(Draft!J9, 'NO USAR1'!A4:L1000,10,FALSE)+(IF(ISBLANK(Draft!K8),0,VLOOKUP(Draft!K8, 'NO USAR1'!A4:L1000,10,FALSE)+(IF(ISBLANK(Draft!L9),0,VLOOKUP(Draft!L9, 'NO USAR1'!A4:L1000,10,FALSE)+IF(ISBLANK(Draft!M8),0,VLOOKUP(Draft!M8, 'NO USAR1'!A4:L1000,10,FALSE)+IF(ISBLANK(Draft!N9),0,VLOOKUP(Draft!N9, 'NO USAR1'!A4:L1000,10,FALSE))))))))))))))))))))))))</f>
        <v>4.476644848</v>
      </c>
      <c r="L10" s="42">
        <f>((IF(ISBLANK(Draft!C8),0,VLOOKUP(Draft!C8, 'NO USAR1'!A4:L1000,12,FALSE)+(IF(ISBLANK(Draft!D9),0,VLOOKUP(Draft!D9, 'NO USAR1'!A4:L1000,12,FALSE)+(IF(ISBLANK(Draft!E8),0,VLOOKUP(Draft!E8, 'NO USAR1'!A4:L1000,12,FALSE)+(IF(ISBLANK(Draft!F9),0,VLOOKUP(Draft!F9, 'NO USAR1'!A4:L1000,12,FALSE)+(IF(ISBLANK(Draft!G8),0,VLOOKUP(Draft!G8, 'NO USAR1'!A4:L1000,12,FALSE)+(IF(ISBLANK(Draft!H9),0,VLOOKUP(Draft!H9, 'NO USAR1'!A4:L1000,12,FALSE)+(IF(ISBLANK(Draft!I8),0,VLOOKUP(Draft!I8, 'NO USAR1'!A4:L1000,12,FALSE)+(IF(ISBLANK(Draft!J9),0,VLOOKUP(Draft!J9, 'NO USAR1'!A4:L1000,12,FALSE)+(IF(ISBLANK(Draft!K8),0,VLOOKUP(Draft!K8, 'NO USAR1'!A4:L1000,12,FALSE)+(IF(ISBLANK(Draft!L9),0,VLOOKUP(Draft!L9, 'NO USAR1'!A4:L1000,12,FALSE)+IF(ISBLANK(Draft!M8),0,VLOOKUP(Draft!M8, 'NO USAR1'!A4:L1000,12,FALSE)+IF(ISBLANK(Draft!N9),0,VLOOKUP(Draft!N9, 'NO USAR1'!A4:L1000,12,FALSE))))))))))))))))))))))))</f>
        <v>1.02513888</v>
      </c>
      <c r="M10" s="49">
        <f t="array" ref="M10">if(M$3=$C10,"-", countif(indirect(address(row($C$4)+ VLOOKUP(M$3,$C$5:$C$16,1),COLUMN($D$4))):indirect(address(row($C$4)+ VLOOKUP(M$3,$C$5:$C$16,1),COLUMN($L$4)))&gt;indirect(address(row($C10),COLUMN($D$4))):indirect(address(row($C10),COLUMN($L$4))),TRUE()))</f>
        <v>3</v>
      </c>
      <c r="N10" s="49">
        <f t="array" ref="N10">if(N$3=$C10,"-", countif(indirect(address(row($C$4)+ VLOOKUP(N$3,$C$5:$C$16,1),COLUMN($D$4))):indirect(address(row($C$4)+ VLOOKUP(N$3,$C$5:$C$16,1),COLUMN($L$4)))&gt;indirect(address(row($C10),COLUMN($D$4))):indirect(address(row($C10),COLUMN($L$4))),TRUE()))</f>
        <v>5</v>
      </c>
      <c r="O10" s="49">
        <f t="array" ref="O10">if(O$3=$C10,"-", countif(indirect(address(row($C$4)+ VLOOKUP(O$3,$C$5:$C$16,1),COLUMN($D$4))):indirect(address(row($C$4)+ VLOOKUP(O$3,$C$5:$C$16,1),COLUMN($L$4)))&gt;indirect(address(row($C10),COLUMN($D$4))):indirect(address(row($C10),COLUMN($L$4))),TRUE()))</f>
        <v>4</v>
      </c>
      <c r="P10" s="49">
        <f t="array" ref="P10">if(P$3=$C10,"-", countif(indirect(address(row($C$4)+ VLOOKUP(P$3,$C$5:$C$16,1),COLUMN($D$4))):indirect(address(row($C$4)+ VLOOKUP(P$3,$C$5:$C$16,1),COLUMN($L$4)))&gt;indirect(address(row($C10),COLUMN($D$4))):indirect(address(row($C10),COLUMN($L$4))),TRUE()))</f>
        <v>4</v>
      </c>
      <c r="Q10" s="49">
        <f t="array" ref="Q10">if(Q$3=$C10,"-", countif(indirect(address(row($C$4)+ VLOOKUP(Q$3,$C$5:$C$16,1),COLUMN($D$4))):indirect(address(row($C$4)+ VLOOKUP(Q$3,$C$5:$C$16,1),COLUMN($L$4)))&gt;indirect(address(row($C10),COLUMN($D$4))):indirect(address(row($C10),COLUMN($L$4))),TRUE()))</f>
        <v>3</v>
      </c>
      <c r="R10" s="49" t="str">
        <f t="array" ref="R10">if(R$3=$C10,"-", countif(indirect(address(row($C$4)+ VLOOKUP(R$3,$C$5:$C$16,1),COLUMN($D$4))):indirect(address(row($C$4)+ VLOOKUP(R$3,$C$5:$C$16,1),COLUMN($L$4)))&gt;indirect(address(row($C10),COLUMN($D$4))):indirect(address(row($C10),COLUMN($L$4))),TRUE()))</f>
        <v>-</v>
      </c>
      <c r="S10" s="49">
        <f t="array" ref="S10">if(S$3=$C10,"-", countif(indirect(address(row($C$4)+ VLOOKUP(S$3,$C$5:$C$16,1),COLUMN($D$4))):indirect(address(row($C$4)+ VLOOKUP(S$3,$C$5:$C$16,1),COLUMN($L$4)))&gt;indirect(address(row($C10),COLUMN($D$4))):indirect(address(row($C10),COLUMN($L$4))),TRUE()))</f>
        <v>4</v>
      </c>
      <c r="T10" s="49">
        <f t="array" ref="T10">if(T$3=$C10,"-", countif(indirect(address(row($C$4)+ VLOOKUP(T$3,$C$5:$C$16,1),COLUMN($D$4))):indirect(address(row($C$4)+ VLOOKUP(T$3,$C$5:$C$16,1),COLUMN($L$4)))&gt;indirect(address(row($C10),COLUMN($D$4))):indirect(address(row($C10),COLUMN($L$4))),TRUE()))</f>
        <v>4</v>
      </c>
      <c r="U10" s="49">
        <f t="array" ref="U10">if(U$3=$C10,"-", countif(indirect(address(row($C$4)+ VLOOKUP(U$3,$C$5:$C$16,1),COLUMN($D$4))):indirect(address(row($C$4)+ VLOOKUP(U$3,$C$5:$C$16,1),COLUMN($L$4)))&gt;indirect(address(row($C10),COLUMN($D$4))):indirect(address(row($C10),COLUMN($L$4))),TRUE()))</f>
        <v>4</v>
      </c>
      <c r="V10" s="49">
        <f t="array" ref="V10">if(V$3=$C10,"-", countif(indirect(address(row($C$4)+ VLOOKUP(V$3,$C$5:$C$16,1),COLUMN($D$4))):indirect(address(row($C$4)+ VLOOKUP(V$3,$C$5:$C$16,1),COLUMN($L$4)))&gt;indirect(address(row($C10),COLUMN($D$4))):indirect(address(row($C10),COLUMN($L$4))),TRUE()))</f>
        <v>3</v>
      </c>
      <c r="W10" s="49">
        <f t="array" ref="W10">if(W$3=$C10,"-", countif(indirect(address(row($C$4)+ VLOOKUP(W$3,$C$5:$C$16,1),COLUMN($D$4))):indirect(address(row($C$4)+ VLOOKUP(W$3,$C$5:$C$16,1),COLUMN($L$4)))&gt;indirect(address(row($C10),COLUMN($D$4))):indirect(address(row($C10),COLUMN($L$4))),TRUE()))</f>
        <v>5</v>
      </c>
      <c r="X10" s="49">
        <f t="array" ref="X10">if(X$3=$C10,"-", countif(indirect(address(row($C$4)+ VLOOKUP(X$3,$C$5:$C$16,1),COLUMN($D$4))):indirect(address(row($C$4)+ VLOOKUP(X$3,$C$5:$C$16,1),COLUMN($L$4)))&gt;indirect(address(row($C10),COLUMN($D$4))):indirect(address(row($C10),COLUMN($L$4))),TRUE()))</f>
        <v>2</v>
      </c>
      <c r="Y10" s="49" t="str">
        <f t="array" ref="Y10">if(D$1=$C10,"-", countif(indirect(address(row($C$4)+ VLOOKUP(D$1,$C$5:$C$16,1),COLUMN($D$4))):indirect(address(row($C$4)+ VLOOKUP(D$1,$C$5:$C$16,1),COLUMN($L$4)))&gt;indirect(address(row($C10),COLUMN($D$4))):indirect(address(row($C10),COLUMN($L$4))),TRUE()))</f>
        <v>-</v>
      </c>
      <c r="Z10" s="23">
        <f>SUM(R$5:R$16)/99</f>
        <v>0.5858585859</v>
      </c>
    </row>
    <row r="11">
      <c r="B11" s="13" t="b">
        <f>Draft!B9</f>
        <v>0</v>
      </c>
      <c r="C11" s="12">
        <v>7.0</v>
      </c>
      <c r="D11" s="23">
        <f>((IF(ISBLANK(Draft!C9),0,VLOOKUP(Draft!C9, 'NO USAR1'!A4:L1000,2,FALSE)+(IF(ISBLANK(Draft!D8),0,VLOOKUP(Draft!D8, 'NO USAR1'!A4:L1000,2,FALSE)+(IF(ISBLANK(Draft!E9),0,VLOOKUP(Draft!E9, 'NO USAR1'!A4:L1000,2,FALSE)+(IF(ISBLANK(Draft!F8),0,VLOOKUP(Draft!F8, 'NO USAR1'!A4:L1000,2,FALSE)+(IF(ISBLANK(Draft!G9),0,VLOOKUP(Draft!G9, 'NO USAR1'!A4:L1000,2,FALSE)+(IF(ISBLANK(Draft!H8),0,VLOOKUP(Draft!H8, 'NO USAR1'!A4:L1000,2,FALSE)+(IF(ISBLANK(Draft!I9),0,VLOOKUP(Draft!I9, 'NO USAR1'!A4:L1000,2,FALSE)+(IF(ISBLANK(Draft!J8),0,VLOOKUP(Draft!J8, 'NO USAR1'!A4:L1000,2,FALSE)+(IF(ISBLANK(Draft!K9),0,VLOOKUP(Draft!K9, 'NO USAR1'!A4:L1000,2,FALSE)+(IF(ISBLANK(Draft!L8),0,VLOOKUP(Draft!L8, 'NO USAR1'!A4:L1000,2,FALSE)+IF(ISBLANK(Draft!M9),0,VLOOKUP(Draft!M9, 'NO USAR1'!A4:L1000,2,FALSE)+IF(ISBLANK(Draft!N8),0,VLOOKUP(Draft!N8, 'NO USAR1'!A4:L1000,2,FALSE))))))))))))))))))))))))</f>
        <v>-4.275331361</v>
      </c>
      <c r="E11" s="23">
        <f>((IF(ISBLANK(Draft!C9),0,VLOOKUP(Draft!C9, 'NO USAR1'!A4:L1000,3,FALSE)+(IF(ISBLANK(Draft!D8),0,VLOOKUP(Draft!D8, 'NO USAR1'!A4:L1000,3,FALSE)+(IF(ISBLANK(Draft!E9),0,VLOOKUP(Draft!E9, 'NO USAR1'!A4:L1000,3,FALSE)+(IF(ISBLANK(Draft!F8),0,VLOOKUP(Draft!F8, 'NO USAR1'!A4:L1000,3,FALSE)+(IF(ISBLANK(Draft!G9),0,VLOOKUP(Draft!G9, 'NO USAR1'!A4:L1000,3,FALSE)+(IF(ISBLANK(Draft!H8),0,VLOOKUP(Draft!H8, 'NO USAR1'!A4:L1000,3,FALSE)+(IF(ISBLANK(Draft!I9),0,VLOOKUP(Draft!I9, 'NO USAR1'!A4:L1000,3,FALSE)+(IF(ISBLANK(Draft!J8),0,VLOOKUP(Draft!J8, 'NO USAR1'!A4:L1000,3,FALSE)+(IF(ISBLANK(Draft!K9),0,VLOOKUP(Draft!K9, 'NO USAR1'!A4:L1000,3,FALSE)+(IF(ISBLANK(Draft!L8),0,VLOOKUP(Draft!L8, 'NO USAR1'!A4:L1000,3,FALSE)+IF(ISBLANK(Draft!M9),0,VLOOKUP(Draft!M9, 'NO USAR1'!A4:L1000,3,FALSE)+IF(ISBLANK(Draft!N8),0,VLOOKUP(Draft!N8, 'NO USAR1'!A4:L1000,3,FALSE))))))))))))))))))))))))</f>
        <v>-1.247595564</v>
      </c>
      <c r="F11" s="23">
        <f>((IF(ISBLANK(Draft!C9),0,VLOOKUP(Draft!C9, 'NO USAR1'!A4:L1000,4,FALSE)+(IF(ISBLANK(Draft!D8),0,VLOOKUP(Draft!D8, 'NO USAR1'!A4:L1000,4,FALSE)+(IF(ISBLANK(Draft!E9),0,VLOOKUP(Draft!E9, 'NO USAR1'!A4:L1000,4,FALSE)+(IF(ISBLANK(Draft!F8),0,VLOOKUP(Draft!F8, 'NO USAR1'!A4:L1000,4,FALSE)+(IF(ISBLANK(Draft!G9),0,VLOOKUP(Draft!G9, 'NO USAR1'!A4:L1000,4,FALSE)+(IF(ISBLANK(Draft!H8),0,VLOOKUP(Draft!H8, 'NO USAR1'!A4:L1000,4,FALSE)+(IF(ISBLANK(Draft!I9),0,VLOOKUP(Draft!I9, 'NO USAR1'!A4:L1000,4,FALSE)+(IF(ISBLANK(Draft!J8),0,VLOOKUP(Draft!J8, 'NO USAR1'!A4:L1000,4,FALSE)+(IF(ISBLANK(Draft!K9),0,VLOOKUP(Draft!K9, 'NO USAR1'!A4:L1000,4,FALSE)+(IF(ISBLANK(Draft!L8),0,VLOOKUP(Draft!L8, 'NO USAR1'!A4:L1000,4,FALSE)+IF(ISBLANK(Draft!M9),0,VLOOKUP(Draft!M9, 'NO USAR1'!A4:L1000,4,FALSE)+IF(ISBLANK(Draft!N8),0,VLOOKUP(Draft!N8, 'NO USAR1'!A4:L1000,4,FALSE))))))))))))))))))))))))</f>
        <v>2.93120577</v>
      </c>
      <c r="G11" s="23">
        <f>((IF(ISBLANK(Draft!C9),0,VLOOKUP(Draft!C9, 'NO USAR1'!A4:L1000,5,FALSE)+(IF(ISBLANK(Draft!D8),0,VLOOKUP(Draft!D8, 'NO USAR1'!A4:L1000,5,FALSE)+(IF(ISBLANK(Draft!E9),0,VLOOKUP(Draft!E9, 'NO USAR1'!A4:L1000,5,FALSE)+(IF(ISBLANK(Draft!F8),0,VLOOKUP(Draft!F8, 'NO USAR1'!A4:L1000,5,FALSE)+(IF(ISBLANK(Draft!G9),0,VLOOKUP(Draft!G9, 'NO USAR1'!A4:L1000,5,FALSE)+(IF(ISBLANK(Draft!H8),0,VLOOKUP(Draft!H8, 'NO USAR1'!A4:L1000,5,FALSE)+(IF(ISBLANK(Draft!I9),0,VLOOKUP(Draft!I9, 'NO USAR1'!A4:L1000,5,FALSE)+(IF(ISBLANK(Draft!J8),0,VLOOKUP(Draft!J8, 'NO USAR1'!A4:L1000,5,FALSE)+(IF(ISBLANK(Draft!K9),0,VLOOKUP(Draft!K9, 'NO USAR1'!A4:L1000,5,FALSE)+(IF(ISBLANK(Draft!L8),0,VLOOKUP(Draft!L8, 'NO USAR1'!A4:L1000,5,FALSE)+IF(ISBLANK(Draft!M9),0,VLOOKUP(Draft!M9, 'NO USAR1'!A4:L1000,5,FALSE)+IF(ISBLANK(Draft!N8),0,VLOOKUP(Draft!N8, 'NO USAR1'!A4:L1000,5,FALSE))))))))))))))))))))))))</f>
        <v>2.318316689</v>
      </c>
      <c r="H11" s="23">
        <f>((IF(ISBLANK(Draft!C9),0,VLOOKUP(Draft!C9, 'NO USAR1'!A4:L1000,6,FALSE)+(IF(ISBLANK(Draft!D8),0,VLOOKUP(Draft!D8, 'NO USAR1'!A4:L1000,6,FALSE)+(IF(ISBLANK(Draft!E9),0,VLOOKUP(Draft!E9, 'NO USAR1'!A4:L1000,6,FALSE)+(IF(ISBLANK(Draft!F8),0,VLOOKUP(Draft!F8, 'NO USAR1'!A4:L1000,6,FALSE)+(IF(ISBLANK(Draft!G9),0,VLOOKUP(Draft!G9, 'NO USAR1'!A4:L1000,6,FALSE)+(IF(ISBLANK(Draft!H8),0,VLOOKUP(Draft!H8, 'NO USAR1'!A4:L1000,6,FALSE)+(IF(ISBLANK(Draft!I9),0,VLOOKUP(Draft!I9, 'NO USAR1'!A4:L1000,6,FALSE)+(IF(ISBLANK(Draft!J8),0,VLOOKUP(Draft!J8, 'NO USAR1'!A4:L1000,6,FALSE)+(IF(ISBLANK(Draft!K9),0,VLOOKUP(Draft!K9, 'NO USAR1'!A4:L1000,6,FALSE)+(IF(ISBLANK(Draft!L8),0,VLOOKUP(Draft!L8, 'NO USAR1'!A4:L1000,6,FALSE)+IF(ISBLANK(Draft!M9),0,VLOOKUP(Draft!M9, 'NO USAR1'!A4:L1000,6,FALSE)+IF(ISBLANK(Draft!N8),0,VLOOKUP(Draft!N8, 'NO USAR1'!A4:L1000,6,FALSE))))))))))))))))))))))))</f>
        <v>0.1821765814</v>
      </c>
      <c r="I11" s="23">
        <f>((IF(ISBLANK(Draft!C9),0,VLOOKUP(Draft!C9, 'NO USAR1'!A4:L1000,7,FALSE)+(IF(ISBLANK(Draft!D8),0,VLOOKUP(Draft!D8, 'NO USAR1'!A4:L1000,7,FALSE)+(IF(ISBLANK(Draft!E9),0,VLOOKUP(Draft!E9, 'NO USAR1'!A4:L1000,7,FALSE)+(IF(ISBLANK(Draft!F8),0,VLOOKUP(Draft!F8, 'NO USAR1'!A4:L1000,7,FALSE)+(IF(ISBLANK(Draft!G9),0,VLOOKUP(Draft!G9, 'NO USAR1'!A4:L1000,7,FALSE)+(IF(ISBLANK(Draft!H8),0,VLOOKUP(Draft!H8, 'NO USAR1'!A4:L1000,7,FALSE)+(IF(ISBLANK(Draft!I9),0,VLOOKUP(Draft!I9, 'NO USAR1'!A4:L1000,7,FALSE)+(IF(ISBLANK(Draft!J8),0,VLOOKUP(Draft!J8, 'NO USAR1'!A4:L1000,7,FALSE)+(IF(ISBLANK(Draft!K9),0,VLOOKUP(Draft!K9, 'NO USAR1'!A4:L1000,7,FALSE)+(IF(ISBLANK(Draft!L8),0,VLOOKUP(Draft!L8, 'NO USAR1'!A4:L1000,7,FALSE)+IF(ISBLANK(Draft!M9),0,VLOOKUP(Draft!M9, 'NO USAR1'!A4:L1000,7,FALSE)+IF(ISBLANK(Draft!N8),0,VLOOKUP(Draft!N8, 'NO USAR1'!A4:L1000,7,FALSE))))))))))))))))))))))))</f>
        <v>4.592642755</v>
      </c>
      <c r="J11" s="42">
        <f>((IF(ISBLANK(Draft!C9),0,VLOOKUP(Draft!C9, 'NO USAR1'!A4:L1000,8,FALSE)+(IF(ISBLANK(Draft!D8),0,VLOOKUP(Draft!D8, 'NO USAR1'!A4:L1000,8,FALSE)+(IF(ISBLANK(Draft!E9),0,VLOOKUP(Draft!E9, 'NO USAR1'!A4:L1000,8,FALSE)+(IF(ISBLANK(Draft!F8),0,VLOOKUP(Draft!F8, 'NO USAR1'!A4:L1000,8,FALSE)+(IF(ISBLANK(Draft!G9),0,VLOOKUP(Draft!G9, 'NO USAR1'!A4:L1000,8,FALSE)+(IF(ISBLANK(Draft!H8),0,VLOOKUP(Draft!H8, 'NO USAR1'!A4:L1000,8,FALSE)+(IF(ISBLANK(Draft!I9),0,VLOOKUP(Draft!I9, 'NO USAR1'!A4:L1000,8,FALSE)+(IF(ISBLANK(Draft!J8),0,VLOOKUP(Draft!J8, 'NO USAR1'!A4:L1000,8,FALSE)+(IF(ISBLANK(Draft!K9),0,VLOOKUP(Draft!K9, 'NO USAR1'!A4:L1000,8,FALSE)+(IF(ISBLANK(Draft!L8),0,VLOOKUP(Draft!L8, 'NO USAR1'!A4:L1000,8,FALSE)+IF(ISBLANK(Draft!M9),0,VLOOKUP(Draft!M9, 'NO USAR1'!A4:L1000,8,FALSE)+IF(ISBLANK(Draft!N8),0,VLOOKUP(Draft!N8, 'NO USAR1'!A4:L1000,8,FALSE))))))))))))))))))))))))</f>
        <v>-0.3620159334</v>
      </c>
      <c r="K11" s="23">
        <f>((IF(ISBLANK(Draft!C9),0,VLOOKUP(Draft!C9, 'NO USAR1'!A4:L1000,10,FALSE)+(IF(ISBLANK(Draft!D8),0,VLOOKUP(Draft!D8, 'NO USAR1'!A4:L1000,10,FALSE)+(IF(ISBLANK(Draft!E9),0,VLOOKUP(Draft!E9, 'NO USAR1'!A4:L1000,10,FALSE)+(IF(ISBLANK(Draft!F8),0,VLOOKUP(Draft!F8, 'NO USAR1'!A4:L1000,10,FALSE)+(IF(ISBLANK(Draft!G9),0,VLOOKUP(Draft!G9, 'NO USAR1'!A4:L1000,10,FALSE)+(IF(ISBLANK(Draft!H8),0,VLOOKUP(Draft!H8, 'NO USAR1'!A4:L1000,10,FALSE)+(IF(ISBLANK(Draft!I9),0,VLOOKUP(Draft!I9, 'NO USAR1'!A4:L1000,10,FALSE)+(IF(ISBLANK(Draft!J8),0,VLOOKUP(Draft!J8, 'NO USAR1'!A4:L1000,10,FALSE)+(IF(ISBLANK(Draft!K9),0,VLOOKUP(Draft!K9, 'NO USAR1'!A4:L1000,10,FALSE)+(IF(ISBLANK(Draft!L8),0,VLOOKUP(Draft!L8, 'NO USAR1'!A4:L1000,10,FALSE)+IF(ISBLANK(Draft!M9),0,VLOOKUP(Draft!M9, 'NO USAR1'!A4:L1000,10,FALSE)+IF(ISBLANK(Draft!N8),0,VLOOKUP(Draft!N8, 'NO USAR1'!A4:L1000,10,FALSE))))))))))))))))))))))))</f>
        <v>0.9033794277</v>
      </c>
      <c r="L11" s="23">
        <f>((IF(ISBLANK(Draft!C9),0,VLOOKUP(Draft!C9, 'NO USAR1'!A4:L1000,12,FALSE)+(IF(ISBLANK(Draft!D8),0,VLOOKUP(Draft!D8, 'NO USAR1'!A4:L1000,12,FALSE)+(IF(ISBLANK(Draft!E9),0,VLOOKUP(Draft!E9, 'NO USAR1'!A4:L1000,12,FALSE)+(IF(ISBLANK(Draft!F8),0,VLOOKUP(Draft!F8, 'NO USAR1'!A4:L1000,12,FALSE)+(IF(ISBLANK(Draft!G9),0,VLOOKUP(Draft!G9, 'NO USAR1'!A4:L1000,12,FALSE)+(IF(ISBLANK(Draft!H8),0,VLOOKUP(Draft!H8, 'NO USAR1'!A4:L1000,12,FALSE)+(IF(ISBLANK(Draft!I9),0,VLOOKUP(Draft!I9, 'NO USAR1'!A4:L1000,12,FALSE)+(IF(ISBLANK(Draft!J8),0,VLOOKUP(Draft!J8, 'NO USAR1'!A4:L1000,12,FALSE)+(IF(ISBLANK(Draft!K9),0,VLOOKUP(Draft!K9, 'NO USAR1'!A4:L1000,12,FALSE)+(IF(ISBLANK(Draft!L8),0,VLOOKUP(Draft!L8, 'NO USAR1'!A4:L1000,12,FALSE)+IF(ISBLANK(Draft!M9),0,VLOOKUP(Draft!M9, 'NO USAR1'!A4:L1000,12,FALSE)+IF(ISBLANK(Draft!N8),0,VLOOKUP(Draft!N8, 'NO USAR1'!A4:L1000,12,FALSE))))))))))))))))))))))))</f>
        <v>-0.2992457423</v>
      </c>
      <c r="M11" s="49">
        <f t="array" ref="M11">if(M$3=$C11,"-", countif(indirect(address(row($C$4)+ VLOOKUP(M$3,$C$5:$C$16,1),COLUMN($D$4))):indirect(address(row($C$4)+ VLOOKUP(M$3,$C$5:$C$16,1),COLUMN($L$4)))&gt;indirect(address(row($C11),COLUMN($D$4))):indirect(address(row($C11),COLUMN($L$4))),TRUE()))</f>
        <v>3</v>
      </c>
      <c r="N11" s="49">
        <f t="array" ref="N11">if(N$3=$C11,"-", countif(indirect(address(row($C$4)+ VLOOKUP(N$3,$C$5:$C$16,1),COLUMN($D$4))):indirect(address(row($C$4)+ VLOOKUP(N$3,$C$5:$C$16,1),COLUMN($L$4)))&gt;indirect(address(row($C11),COLUMN($D$4))):indirect(address(row($C11),COLUMN($L$4))),TRUE()))</f>
        <v>5</v>
      </c>
      <c r="O11" s="49">
        <f t="array" ref="O11">if(O$3=$C11,"-", countif(indirect(address(row($C$4)+ VLOOKUP(O$3,$C$5:$C$16,1),COLUMN($D$4))):indirect(address(row($C$4)+ VLOOKUP(O$3,$C$5:$C$16,1),COLUMN($L$4)))&gt;indirect(address(row($C11),COLUMN($D$4))):indirect(address(row($C11),COLUMN($L$4))),TRUE()))</f>
        <v>4</v>
      </c>
      <c r="P11" s="49">
        <f t="array" ref="P11">if(P$3=$C11,"-", countif(indirect(address(row($C$4)+ VLOOKUP(P$3,$C$5:$C$16,1),COLUMN($D$4))):indirect(address(row($C$4)+ VLOOKUP(P$3,$C$5:$C$16,1),COLUMN($L$4)))&gt;indirect(address(row($C11),COLUMN($D$4))):indirect(address(row($C11),COLUMN($L$4))),TRUE()))</f>
        <v>3</v>
      </c>
      <c r="Q11" s="49">
        <f t="array" ref="Q11">if(Q$3=$C11,"-", countif(indirect(address(row($C$4)+ VLOOKUP(Q$3,$C$5:$C$16,1),COLUMN($D$4))):indirect(address(row($C$4)+ VLOOKUP(Q$3,$C$5:$C$16,1),COLUMN($L$4)))&gt;indirect(address(row($C11),COLUMN($D$4))):indirect(address(row($C11),COLUMN($L$4))),TRUE()))</f>
        <v>3</v>
      </c>
      <c r="R11" s="49">
        <f t="array" ref="R11">if(R$3=$C11,"-", countif(indirect(address(row($C$4)+ VLOOKUP(R$3,$C$5:$C$16,1),COLUMN($D$4))):indirect(address(row($C$4)+ VLOOKUP(R$3,$C$5:$C$16,1),COLUMN($L$4)))&gt;indirect(address(row($C11),COLUMN($D$4))):indirect(address(row($C11),COLUMN($L$4))),TRUE()))</f>
        <v>5</v>
      </c>
      <c r="S11" s="49" t="str">
        <f t="array" ref="S11">if(S$3=$C11,"-", countif(indirect(address(row($C$4)+ VLOOKUP(S$3,$C$5:$C$16,1),COLUMN($D$4))):indirect(address(row($C$4)+ VLOOKUP(S$3,$C$5:$C$16,1),COLUMN($L$4)))&gt;indirect(address(row($C11),COLUMN($D$4))):indirect(address(row($C11),COLUMN($L$4))),TRUE()))</f>
        <v>-</v>
      </c>
      <c r="T11" s="49">
        <f t="array" ref="T11">if(T$3=$C11,"-", countif(indirect(address(row($C$4)+ VLOOKUP(T$3,$C$5:$C$16,1),COLUMN($D$4))):indirect(address(row($C$4)+ VLOOKUP(T$3,$C$5:$C$16,1),COLUMN($L$4)))&gt;indirect(address(row($C11),COLUMN($D$4))):indirect(address(row($C11),COLUMN($L$4))),TRUE()))</f>
        <v>3</v>
      </c>
      <c r="U11" s="49">
        <f t="array" ref="U11">if(U$3=$C11,"-", countif(indirect(address(row($C$4)+ VLOOKUP(U$3,$C$5:$C$16,1),COLUMN($D$4))):indirect(address(row($C$4)+ VLOOKUP(U$3,$C$5:$C$16,1),COLUMN($L$4)))&gt;indirect(address(row($C11),COLUMN($D$4))):indirect(address(row($C11),COLUMN($L$4))),TRUE()))</f>
        <v>4</v>
      </c>
      <c r="V11" s="49">
        <f t="array" ref="V11">if(V$3=$C11,"-", countif(indirect(address(row($C$4)+ VLOOKUP(V$3,$C$5:$C$16,1),COLUMN($D$4))):indirect(address(row($C$4)+ VLOOKUP(V$3,$C$5:$C$16,1),COLUMN($L$4)))&gt;indirect(address(row($C11),COLUMN($D$4))):indirect(address(row($C11),COLUMN($L$4))),TRUE()))</f>
        <v>3</v>
      </c>
      <c r="W11" s="49">
        <f t="array" ref="W11">if(W$3=$C11,"-", countif(indirect(address(row($C$4)+ VLOOKUP(W$3,$C$5:$C$16,1),COLUMN($D$4))):indirect(address(row($C$4)+ VLOOKUP(W$3,$C$5:$C$16,1),COLUMN($L$4)))&gt;indirect(address(row($C11),COLUMN($D$4))):indirect(address(row($C11),COLUMN($L$4))),TRUE()))</f>
        <v>5</v>
      </c>
      <c r="X11" s="49">
        <f t="array" ref="X11">if(X$3=$C11,"-", countif(indirect(address(row($C$4)+ VLOOKUP(X$3,$C$5:$C$16,1),COLUMN($D$4))):indirect(address(row($C$4)+ VLOOKUP(X$3,$C$5:$C$16,1),COLUMN($L$4)))&gt;indirect(address(row($C11),COLUMN($D$4))):indirect(address(row($C11),COLUMN($L$4))),TRUE()))</f>
        <v>5</v>
      </c>
      <c r="Y11" s="49">
        <f t="array" ref="Y11">if(D$1=$C11,"-", countif(indirect(address(row($C$4)+ VLOOKUP(D$1,$C$5:$C$16,1),COLUMN($D$4))):indirect(address(row($C$4)+ VLOOKUP(D$1,$C$5:$C$16,1),COLUMN($L$4)))&gt;indirect(address(row($C11),COLUMN($D$4))):indirect(address(row($C11),COLUMN($L$4))),TRUE()))</f>
        <v>5</v>
      </c>
      <c r="Z11" s="23">
        <f>SUM(S$5:S$16)/99</f>
        <v>0.5656565657</v>
      </c>
    </row>
    <row r="12">
      <c r="B12" s="13" t="b">
        <f>Draft!B10</f>
        <v>0</v>
      </c>
      <c r="C12" s="12">
        <v>8.0</v>
      </c>
      <c r="D12" s="23">
        <f>((IF(ISBLANK(Draft!C10),0,VLOOKUP(Draft!C10, 'NO USAR1'!A4:L1000,2,FALSE)+(IF(ISBLANK(Draft!D7),0,VLOOKUP(Draft!D7, 'NO USAR1'!A4:L1000,2,FALSE)+(IF(ISBLANK(Draft!E10),0,VLOOKUP(Draft!E10, 'NO USAR1'!A4:L1000,2,FALSE)+(IF(ISBLANK(Draft!F7),0,VLOOKUP(Draft!F7, 'NO USAR1'!A4:L1000,2,FALSE)+(IF(ISBLANK(Draft!G10),0,VLOOKUP(Draft!G10, 'NO USAR1'!A4:L1000,2,FALSE)+(IF(ISBLANK(Draft!H7),0,VLOOKUP(Draft!H7, 'NO USAR1'!A4:L1000,2,FALSE)+(IF(ISBLANK(Draft!I10),0,VLOOKUP(Draft!I10, 'NO USAR1'!A4:L1000,2,FALSE)+(IF(ISBLANK(Draft!J7),0,VLOOKUP(Draft!J7, 'NO USAR1'!A4:L1000,2,FALSE)+(IF(ISBLANK(Draft!K10),0,VLOOKUP(Draft!K10, 'NO USAR1'!A4:L1000,2,FALSE)+(IF(ISBLANK(Draft!L7),0,VLOOKUP(Draft!L7, 'NO USAR1'!A4:L1000,2,FALSE)+IF(ISBLANK(Draft!M10),0,VLOOKUP(Draft!M10, 'NO USAR1'!A4:L1000,2,FALSE)+IF(ISBLANK(Draft!N7),0,VLOOKUP(Draft!N7, 'NO USAR1'!A4:L1000,2,FALSE))))))))))))))))))))))))</f>
        <v>2.133257385</v>
      </c>
      <c r="E12" s="23">
        <f>((IF(ISBLANK(Draft!C10),0,VLOOKUP(Draft!C10, 'NO USAR1'!A4:L1000,3,FALSE)+(IF(ISBLANK(Draft!D7),0,VLOOKUP(Draft!D7, 'NO USAR1'!A4:L1000,3,FALSE)+(IF(ISBLANK(Draft!E10),0,VLOOKUP(Draft!E10, 'NO USAR1'!A4:L1000,3,FALSE)+(IF(ISBLANK(Draft!F7),0,VLOOKUP(Draft!F7, 'NO USAR1'!A4:L1000,3,FALSE)+(IF(ISBLANK(Draft!G10),0,VLOOKUP(Draft!G10, 'NO USAR1'!A4:L1000,3,FALSE)+(IF(ISBLANK(Draft!H7),0,VLOOKUP(Draft!H7, 'NO USAR1'!A4:L1000,3,FALSE)+(IF(ISBLANK(Draft!I10),0,VLOOKUP(Draft!I10, 'NO USAR1'!A4:L1000,3,FALSE)+(IF(ISBLANK(Draft!J7),0,VLOOKUP(Draft!J7, 'NO USAR1'!A4:L1000,3,FALSE)+(IF(ISBLANK(Draft!K10),0,VLOOKUP(Draft!K10, 'NO USAR1'!A4:L1000,3,FALSE)+(IF(ISBLANK(Draft!L7),0,VLOOKUP(Draft!L7, 'NO USAR1'!A4:L1000,3,FALSE)+IF(ISBLANK(Draft!M10),0,VLOOKUP(Draft!M10, 'NO USAR1'!A4:L1000,3,FALSE)+IF(ISBLANK(Draft!N7),0,VLOOKUP(Draft!N7, 'NO USAR1'!A4:L1000,3,FALSE))))))))))))))))))))))))</f>
        <v>2.452240017</v>
      </c>
      <c r="F12" s="23">
        <f>((IF(ISBLANK(Draft!C10),0,VLOOKUP(Draft!C10, 'NO USAR1'!A4:L1000,4,FALSE)+(IF(ISBLANK(Draft!D7),0,VLOOKUP(Draft!D7, 'NO USAR1'!A4:L1000,4,FALSE)+(IF(ISBLANK(Draft!E10),0,VLOOKUP(Draft!E10, 'NO USAR1'!A4:L1000,4,FALSE)+(IF(ISBLANK(Draft!F7),0,VLOOKUP(Draft!F7, 'NO USAR1'!A4:L1000,4,FALSE)+(IF(ISBLANK(Draft!G10),0,VLOOKUP(Draft!G10, 'NO USAR1'!A4:L1000,4,FALSE)+(IF(ISBLANK(Draft!H7),0,VLOOKUP(Draft!H7, 'NO USAR1'!A4:L1000,4,FALSE)+(IF(ISBLANK(Draft!I10),0,VLOOKUP(Draft!I10, 'NO USAR1'!A4:L1000,4,FALSE)+(IF(ISBLANK(Draft!J7),0,VLOOKUP(Draft!J7, 'NO USAR1'!A4:L1000,4,FALSE)+(IF(ISBLANK(Draft!K10),0,VLOOKUP(Draft!K10, 'NO USAR1'!A4:L1000,4,FALSE)+(IF(ISBLANK(Draft!L7),0,VLOOKUP(Draft!L7, 'NO USAR1'!A4:L1000,4,FALSE)+IF(ISBLANK(Draft!M10),0,VLOOKUP(Draft!M10, 'NO USAR1'!A4:L1000,4,FALSE)+IF(ISBLANK(Draft!N7),0,VLOOKUP(Draft!N7, 'NO USAR1'!A4:L1000,4,FALSE))))))))))))))))))))))))</f>
        <v>2.196418044</v>
      </c>
      <c r="G12" s="42">
        <f>((IF(ISBLANK(Draft!C10),0,VLOOKUP(Draft!C10, 'NO USAR1'!A4:L1000,5,FALSE)+(IF(ISBLANK(Draft!D7),0,VLOOKUP(Draft!D7, 'NO USAR1'!A4:L1000,5,FALSE)+(IF(ISBLANK(Draft!E10),0,VLOOKUP(Draft!E10, 'NO USAR1'!A4:L1000,5,FALSE)+(IF(ISBLANK(Draft!F7),0,VLOOKUP(Draft!F7, 'NO USAR1'!A4:L1000,5,FALSE)+(IF(ISBLANK(Draft!G10),0,VLOOKUP(Draft!G10, 'NO USAR1'!A4:L1000,5,FALSE)+(IF(ISBLANK(Draft!H7),0,VLOOKUP(Draft!H7, 'NO USAR1'!A4:L1000,5,FALSE)+(IF(ISBLANK(Draft!I10),0,VLOOKUP(Draft!I10, 'NO USAR1'!A4:L1000,5,FALSE)+(IF(ISBLANK(Draft!J7),0,VLOOKUP(Draft!J7, 'NO USAR1'!A4:L1000,5,FALSE)+(IF(ISBLANK(Draft!K10),0,VLOOKUP(Draft!K10, 'NO USAR1'!A4:L1000,5,FALSE)+(IF(ISBLANK(Draft!L7),0,VLOOKUP(Draft!L7, 'NO USAR1'!A4:L1000,5,FALSE)+IF(ISBLANK(Draft!M10),0,VLOOKUP(Draft!M10, 'NO USAR1'!A4:L1000,5,FALSE)+IF(ISBLANK(Draft!N7),0,VLOOKUP(Draft!N7, 'NO USAR1'!A4:L1000,5,FALSE))))))))))))))))))))))))</f>
        <v>-0.2840443524</v>
      </c>
      <c r="H12" s="23">
        <f>((IF(ISBLANK(Draft!C10),0,VLOOKUP(Draft!C10, 'NO USAR1'!A4:L1000,6,FALSE)+(IF(ISBLANK(Draft!D7),0,VLOOKUP(Draft!D7, 'NO USAR1'!A4:L1000,6,FALSE)+(IF(ISBLANK(Draft!E10),0,VLOOKUP(Draft!E10, 'NO USAR1'!A4:L1000,6,FALSE)+(IF(ISBLANK(Draft!F7),0,VLOOKUP(Draft!F7, 'NO USAR1'!A4:L1000,6,FALSE)+(IF(ISBLANK(Draft!G10),0,VLOOKUP(Draft!G10, 'NO USAR1'!A4:L1000,6,FALSE)+(IF(ISBLANK(Draft!H7),0,VLOOKUP(Draft!H7, 'NO USAR1'!A4:L1000,6,FALSE)+(IF(ISBLANK(Draft!I10),0,VLOOKUP(Draft!I10, 'NO USAR1'!A4:L1000,6,FALSE)+(IF(ISBLANK(Draft!J7),0,VLOOKUP(Draft!J7, 'NO USAR1'!A4:L1000,6,FALSE)+(IF(ISBLANK(Draft!K10),0,VLOOKUP(Draft!K10, 'NO USAR1'!A4:L1000,6,FALSE)+(IF(ISBLANK(Draft!L7),0,VLOOKUP(Draft!L7, 'NO USAR1'!A4:L1000,6,FALSE)+IF(ISBLANK(Draft!M10),0,VLOOKUP(Draft!M10, 'NO USAR1'!A4:L1000,6,FALSE)+IF(ISBLANK(Draft!N7),0,VLOOKUP(Draft!N7, 'NO USAR1'!A4:L1000,6,FALSE))))))))))))))))))))))))</f>
        <v>-3.742302064</v>
      </c>
      <c r="I12" s="23">
        <f>((IF(ISBLANK(Draft!C10),0,VLOOKUP(Draft!C10, 'NO USAR1'!A4:L1000,7,FALSE)+(IF(ISBLANK(Draft!D7),0,VLOOKUP(Draft!D7, 'NO USAR1'!A4:L1000,7,FALSE)+(IF(ISBLANK(Draft!E10),0,VLOOKUP(Draft!E10, 'NO USAR1'!A4:L1000,7,FALSE)+(IF(ISBLANK(Draft!F7),0,VLOOKUP(Draft!F7, 'NO USAR1'!A4:L1000,7,FALSE)+(IF(ISBLANK(Draft!G10),0,VLOOKUP(Draft!G10, 'NO USAR1'!A4:L1000,7,FALSE)+(IF(ISBLANK(Draft!H7),0,VLOOKUP(Draft!H7, 'NO USAR1'!A4:L1000,7,FALSE)+(IF(ISBLANK(Draft!I10),0,VLOOKUP(Draft!I10, 'NO USAR1'!A4:L1000,7,FALSE)+(IF(ISBLANK(Draft!J7),0,VLOOKUP(Draft!J7, 'NO USAR1'!A4:L1000,7,FALSE)+(IF(ISBLANK(Draft!K10),0,VLOOKUP(Draft!K10, 'NO USAR1'!A4:L1000,7,FALSE)+(IF(ISBLANK(Draft!L7),0,VLOOKUP(Draft!L7, 'NO USAR1'!A4:L1000,7,FALSE)+IF(ISBLANK(Draft!M10),0,VLOOKUP(Draft!M10, 'NO USAR1'!A4:L1000,7,FALSE)+IF(ISBLANK(Draft!N7),0,VLOOKUP(Draft!N7, 'NO USAR1'!A4:L1000,7,FALSE))))))))))))))))))))))))</f>
        <v>-1.999085317</v>
      </c>
      <c r="J12" s="23">
        <f>((IF(ISBLANK(Draft!C10),0,VLOOKUP(Draft!C10, 'NO USAR1'!A4:L1000,8,FALSE)+(IF(ISBLANK(Draft!D7),0,VLOOKUP(Draft!D7, 'NO USAR1'!A4:L1000,8,FALSE)+(IF(ISBLANK(Draft!E10),0,VLOOKUP(Draft!E10, 'NO USAR1'!A4:L1000,8,FALSE)+(IF(ISBLANK(Draft!F7),0,VLOOKUP(Draft!F7, 'NO USAR1'!A4:L1000,8,FALSE)+(IF(ISBLANK(Draft!G10),0,VLOOKUP(Draft!G10, 'NO USAR1'!A4:L1000,8,FALSE)+(IF(ISBLANK(Draft!H7),0,VLOOKUP(Draft!H7, 'NO USAR1'!A4:L1000,8,FALSE)+(IF(ISBLANK(Draft!I10),0,VLOOKUP(Draft!I10, 'NO USAR1'!A4:L1000,8,FALSE)+(IF(ISBLANK(Draft!J7),0,VLOOKUP(Draft!J7, 'NO USAR1'!A4:L1000,8,FALSE)+(IF(ISBLANK(Draft!K10),0,VLOOKUP(Draft!K10, 'NO USAR1'!A4:L1000,8,FALSE)+(IF(ISBLANK(Draft!L7),0,VLOOKUP(Draft!L7, 'NO USAR1'!A4:L1000,8,FALSE)+IF(ISBLANK(Draft!M10),0,VLOOKUP(Draft!M10, 'NO USAR1'!A4:L1000,8,FALSE)+IF(ISBLANK(Draft!N7),0,VLOOKUP(Draft!N7, 'NO USAR1'!A4:L1000,8,FALSE))))))))))))))))))))))))</f>
        <v>-0.4179517573</v>
      </c>
      <c r="K12" s="23">
        <f>((IF(ISBLANK(Draft!C10),0,VLOOKUP(Draft!C10, 'NO USAR1'!A4:L1000,10,FALSE)+(IF(ISBLANK(Draft!D7),0,VLOOKUP(Draft!D7, 'NO USAR1'!A4:L1000,10,FALSE)+(IF(ISBLANK(Draft!E10),0,VLOOKUP(Draft!E10, 'NO USAR1'!A4:L1000,10,FALSE)+(IF(ISBLANK(Draft!F7),0,VLOOKUP(Draft!F7, 'NO USAR1'!A4:L1000,10,FALSE)+(IF(ISBLANK(Draft!G10),0,VLOOKUP(Draft!G10, 'NO USAR1'!A4:L1000,10,FALSE)+(IF(ISBLANK(Draft!H7),0,VLOOKUP(Draft!H7, 'NO USAR1'!A4:L1000,10,FALSE)+(IF(ISBLANK(Draft!I10),0,VLOOKUP(Draft!I10, 'NO USAR1'!A4:L1000,10,FALSE)+(IF(ISBLANK(Draft!J7),0,VLOOKUP(Draft!J7, 'NO USAR1'!A4:L1000,10,FALSE)+(IF(ISBLANK(Draft!K10),0,VLOOKUP(Draft!K10, 'NO USAR1'!A4:L1000,10,FALSE)+(IF(ISBLANK(Draft!L7),0,VLOOKUP(Draft!L7, 'NO USAR1'!A4:L1000,10,FALSE)+IF(ISBLANK(Draft!M10),0,VLOOKUP(Draft!M10, 'NO USAR1'!A4:L1000,10,FALSE)+IF(ISBLANK(Draft!N7),0,VLOOKUP(Draft!N7, 'NO USAR1'!A4:L1000,10,FALSE))))))))))))))))))))))))</f>
        <v>0.9076885687</v>
      </c>
      <c r="L12" s="23">
        <f>((IF(ISBLANK(Draft!C10),0,VLOOKUP(Draft!C10, 'NO USAR1'!A4:L1000,12,FALSE)+(IF(ISBLANK(Draft!D7),0,VLOOKUP(Draft!D7, 'NO USAR1'!A4:L1000,12,FALSE)+(IF(ISBLANK(Draft!E10),0,VLOOKUP(Draft!E10, 'NO USAR1'!A4:L1000,12,FALSE)+(IF(ISBLANK(Draft!F7),0,VLOOKUP(Draft!F7, 'NO USAR1'!A4:L1000,12,FALSE)+(IF(ISBLANK(Draft!G10),0,VLOOKUP(Draft!G10, 'NO USAR1'!A4:L1000,12,FALSE)+(IF(ISBLANK(Draft!H7),0,VLOOKUP(Draft!H7, 'NO USAR1'!A4:L1000,12,FALSE)+(IF(ISBLANK(Draft!I10),0,VLOOKUP(Draft!I10, 'NO USAR1'!A4:L1000,12,FALSE)+(IF(ISBLANK(Draft!J7),0,VLOOKUP(Draft!J7, 'NO USAR1'!A4:L1000,12,FALSE)+(IF(ISBLANK(Draft!K10),0,VLOOKUP(Draft!K10, 'NO USAR1'!A4:L1000,12,FALSE)+(IF(ISBLANK(Draft!L7),0,VLOOKUP(Draft!L7, 'NO USAR1'!A4:L1000,12,FALSE)+IF(ISBLANK(Draft!M10),0,VLOOKUP(Draft!M10, 'NO USAR1'!A4:L1000,12,FALSE)+IF(ISBLANK(Draft!N7),0,VLOOKUP(Draft!N7, 'NO USAR1'!A4:L1000,12,FALSE))))))))))))))))))))))))</f>
        <v>-3.058380371</v>
      </c>
      <c r="M12" s="49">
        <f t="array" ref="M12">if(M$3=$C12,"-", countif(indirect(address(row($C$4)+ VLOOKUP(M$3,$C$5:$C$16,1),COLUMN($D$4))):indirect(address(row($C$4)+ VLOOKUP(M$3,$C$5:$C$16,1),COLUMN($L$4)))&gt;indirect(address(row($C12),COLUMN($D$4))):indirect(address(row($C12),COLUMN($L$4))),TRUE()))</f>
        <v>5</v>
      </c>
      <c r="N12" s="49">
        <f t="array" ref="N12">if(N$3=$C12,"-", countif(indirect(address(row($C$4)+ VLOOKUP(N$3,$C$5:$C$16,1),COLUMN($D$4))):indirect(address(row($C$4)+ VLOOKUP(N$3,$C$5:$C$16,1),COLUMN($L$4)))&gt;indirect(address(row($C12),COLUMN($D$4))):indirect(address(row($C12),COLUMN($L$4))),TRUE()))</f>
        <v>5</v>
      </c>
      <c r="O12" s="49">
        <f t="array" ref="O12">if(O$3=$C12,"-", countif(indirect(address(row($C$4)+ VLOOKUP(O$3,$C$5:$C$16,1),COLUMN($D$4))):indirect(address(row($C$4)+ VLOOKUP(O$3,$C$5:$C$16,1),COLUMN($L$4)))&gt;indirect(address(row($C12),COLUMN($D$4))):indirect(address(row($C12),COLUMN($L$4))),TRUE()))</f>
        <v>5</v>
      </c>
      <c r="P12" s="49">
        <f t="array" ref="P12">if(P$3=$C12,"-", countif(indirect(address(row($C$4)+ VLOOKUP(P$3,$C$5:$C$16,1),COLUMN($D$4))):indirect(address(row($C$4)+ VLOOKUP(P$3,$C$5:$C$16,1),COLUMN($L$4)))&gt;indirect(address(row($C12),COLUMN($D$4))):indirect(address(row($C12),COLUMN($L$4))),TRUE()))</f>
        <v>5</v>
      </c>
      <c r="Q12" s="49">
        <f t="array" ref="Q12">if(Q$3=$C12,"-", countif(indirect(address(row($C$4)+ VLOOKUP(Q$3,$C$5:$C$16,1),COLUMN($D$4))):indirect(address(row($C$4)+ VLOOKUP(Q$3,$C$5:$C$16,1),COLUMN($L$4)))&gt;indirect(address(row($C12),COLUMN($D$4))):indirect(address(row($C12),COLUMN($L$4))),TRUE()))</f>
        <v>4</v>
      </c>
      <c r="R12" s="49">
        <f t="array" ref="R12">if(R$3=$C12,"-", countif(indirect(address(row($C$4)+ VLOOKUP(R$3,$C$5:$C$16,1),COLUMN($D$4))):indirect(address(row($C$4)+ VLOOKUP(R$3,$C$5:$C$16,1),COLUMN($L$4)))&gt;indirect(address(row($C12),COLUMN($D$4))):indirect(address(row($C12),COLUMN($L$4))),TRUE()))</f>
        <v>5</v>
      </c>
      <c r="S12" s="49">
        <f t="array" ref="S12">if(S$3=$C12,"-", countif(indirect(address(row($C$4)+ VLOOKUP(S$3,$C$5:$C$16,1),COLUMN($D$4))):indirect(address(row($C$4)+ VLOOKUP(S$3,$C$5:$C$16,1),COLUMN($L$4)))&gt;indirect(address(row($C12),COLUMN($D$4))):indirect(address(row($C12),COLUMN($L$4))),TRUE()))</f>
        <v>6</v>
      </c>
      <c r="T12" s="49" t="str">
        <f t="array" ref="T12">if(T$3=$C12,"-", countif(indirect(address(row($C$4)+ VLOOKUP(T$3,$C$5:$C$16,1),COLUMN($D$4))):indirect(address(row($C$4)+ VLOOKUP(T$3,$C$5:$C$16,1),COLUMN($L$4)))&gt;indirect(address(row($C12),COLUMN($D$4))):indirect(address(row($C12),COLUMN($L$4))),TRUE()))</f>
        <v>-</v>
      </c>
      <c r="U12" s="49">
        <f t="array" ref="U12">if(U$3=$C12,"-", countif(indirect(address(row($C$4)+ VLOOKUP(U$3,$C$5:$C$16,1),COLUMN($D$4))):indirect(address(row($C$4)+ VLOOKUP(U$3,$C$5:$C$16,1),COLUMN($L$4)))&gt;indirect(address(row($C12),COLUMN($D$4))):indirect(address(row($C12),COLUMN($L$4))),TRUE()))</f>
        <v>4</v>
      </c>
      <c r="V12" s="49">
        <f t="array" ref="V12">if(V$3=$C12,"-", countif(indirect(address(row($C$4)+ VLOOKUP(V$3,$C$5:$C$16,1),COLUMN($D$4))):indirect(address(row($C$4)+ VLOOKUP(V$3,$C$5:$C$16,1),COLUMN($L$4)))&gt;indirect(address(row($C12),COLUMN($D$4))):indirect(address(row($C12),COLUMN($L$4))),TRUE()))</f>
        <v>5</v>
      </c>
      <c r="W12" s="49">
        <f t="array" ref="W12">if(W$3=$C12,"-", countif(indirect(address(row($C$4)+ VLOOKUP(W$3,$C$5:$C$16,1),COLUMN($D$4))):indirect(address(row($C$4)+ VLOOKUP(W$3,$C$5:$C$16,1),COLUMN($L$4)))&gt;indirect(address(row($C12),COLUMN($D$4))):indirect(address(row($C12),COLUMN($L$4))),TRUE()))</f>
        <v>6</v>
      </c>
      <c r="X12" s="49">
        <f t="array" ref="X12">if(X$3=$C12,"-", countif(indirect(address(row($C$4)+ VLOOKUP(X$3,$C$5:$C$16,1),COLUMN($D$4))):indirect(address(row($C$4)+ VLOOKUP(X$3,$C$5:$C$16,1),COLUMN($L$4)))&gt;indirect(address(row($C12),COLUMN($D$4))):indirect(address(row($C12),COLUMN($L$4))),TRUE()))</f>
        <v>4</v>
      </c>
      <c r="Y12" s="49">
        <f t="array" ref="Y12">if(D$1=$C12,"-", countif(indirect(address(row($C$4)+ VLOOKUP(D$1,$C$5:$C$16,1),COLUMN($D$4))):indirect(address(row($C$4)+ VLOOKUP(D$1,$C$5:$C$16,1),COLUMN($L$4)))&gt;indirect(address(row($C12),COLUMN($D$4))):indirect(address(row($C12),COLUMN($L$4))),TRUE()))</f>
        <v>5</v>
      </c>
      <c r="Z12" s="23">
        <f>SUM(T$5:T$16)/99</f>
        <v>0.4444444444</v>
      </c>
      <c r="AA12" s="75"/>
    </row>
    <row r="13">
      <c r="B13" s="13" t="b">
        <f>Draft!B11</f>
        <v>0</v>
      </c>
      <c r="C13" s="12">
        <v>9.0</v>
      </c>
      <c r="D13" s="23">
        <f>((IF(ISBLANK(Draft!C11),0,VLOOKUP(Draft!C11, 'NO USAR1'!A4:L1000,2,FALSE)+(IF(ISBLANK(Draft!D6),0,VLOOKUP(Draft!D6, 'NO USAR1'!A4:L1000,2,FALSE)+(IF(ISBLANK(Draft!E11),0,VLOOKUP(Draft!E11, 'NO USAR1'!A4:L1000,2,FALSE)+(IF(ISBLANK(Draft!F6),0,VLOOKUP(Draft!F6, 'NO USAR1'!A4:L1000,2,FALSE)+(IF(ISBLANK(Draft!G11),0,VLOOKUP(Draft!G11, 'NO USAR1'!A4:L1000,2,FALSE)+(IF(ISBLANK(Draft!H6),0,VLOOKUP(Draft!H6, 'NO USAR1'!A4:L1000,2,FALSE)+(IF(ISBLANK(Draft!I11),0,VLOOKUP(Draft!I11, 'NO USAR1'!A4:L1000,2,FALSE)+(IF(ISBLANK(Draft!J6),0,VLOOKUP(Draft!J6, 'NO USAR1'!A4:L1000,2,FALSE)+(IF(ISBLANK(Draft!K11),0,VLOOKUP(Draft!K11, 'NO USAR1'!A4:L1000,2,FALSE)+(IF(ISBLANK(Draft!L6),0,VLOOKUP(Draft!L6, 'NO USAR1'!A4:L1000,2,FALSE)+IF(ISBLANK(Draft!M11),0,VLOOKUP(Draft!M11, 'NO USAR1'!A4:L1000,2,FALSE)+IF(ISBLANK(Draft!N6),0,VLOOKUP(Draft!N6, 'NO USAR1'!A4:L1000,2,FALSE))))))))))))))))))))))))</f>
        <v>1.973486475</v>
      </c>
      <c r="E13" s="23">
        <f>((IF(ISBLANK(Draft!C11),0,VLOOKUP(Draft!C11, 'NO USAR1'!A4:L1000,3,FALSE)+(IF(ISBLANK(Draft!D6),0,VLOOKUP(Draft!D6, 'NO USAR1'!A4:L1000,3,FALSE)+(IF(ISBLANK(Draft!E11),0,VLOOKUP(Draft!E11, 'NO USAR1'!A4:L1000,3,FALSE)+(IF(ISBLANK(Draft!F6),0,VLOOKUP(Draft!F6, 'NO USAR1'!A4:L1000,3,FALSE)+(IF(ISBLANK(Draft!G11),0,VLOOKUP(Draft!G11, 'NO USAR1'!A4:L1000,3,FALSE)+(IF(ISBLANK(Draft!H6),0,VLOOKUP(Draft!H6, 'NO USAR1'!A4:L1000,3,FALSE)+(IF(ISBLANK(Draft!I11),0,VLOOKUP(Draft!I11, 'NO USAR1'!A4:L1000,3,FALSE)+(IF(ISBLANK(Draft!J6),0,VLOOKUP(Draft!J6, 'NO USAR1'!A4:L1000,3,FALSE)+(IF(ISBLANK(Draft!K11),0,VLOOKUP(Draft!K11, 'NO USAR1'!A4:L1000,3,FALSE)+(IF(ISBLANK(Draft!L6),0,VLOOKUP(Draft!L6, 'NO USAR1'!A4:L1000,3,FALSE)+IF(ISBLANK(Draft!M11),0,VLOOKUP(Draft!M11, 'NO USAR1'!A4:L1000,3,FALSE)+IF(ISBLANK(Draft!N6),0,VLOOKUP(Draft!N6, 'NO USAR1'!A4:L1000,3,FALSE))))))))))))))))))))))))</f>
        <v>-0.2476400017</v>
      </c>
      <c r="F13" s="23">
        <f>((IF(ISBLANK(Draft!C11),0,VLOOKUP(Draft!C11, 'NO USAR1'!A4:L1000,4,FALSE)+(IF(ISBLANK(Draft!D6),0,VLOOKUP(Draft!D6, 'NO USAR1'!A4:L1000,4,FALSE)+(IF(ISBLANK(Draft!E11),0,VLOOKUP(Draft!E11, 'NO USAR1'!A4:L1000,4,FALSE)+(IF(ISBLANK(Draft!F6),0,VLOOKUP(Draft!F6, 'NO USAR1'!A4:L1000,4,FALSE)+(IF(ISBLANK(Draft!G11),0,VLOOKUP(Draft!G11, 'NO USAR1'!A4:L1000,4,FALSE)+(IF(ISBLANK(Draft!H6),0,VLOOKUP(Draft!H6, 'NO USAR1'!A4:L1000,4,FALSE)+(IF(ISBLANK(Draft!I11),0,VLOOKUP(Draft!I11, 'NO USAR1'!A4:L1000,4,FALSE)+(IF(ISBLANK(Draft!J6),0,VLOOKUP(Draft!J6, 'NO USAR1'!A4:L1000,4,FALSE)+(IF(ISBLANK(Draft!K11),0,VLOOKUP(Draft!K11, 'NO USAR1'!A4:L1000,4,FALSE)+(IF(ISBLANK(Draft!L6),0,VLOOKUP(Draft!L6, 'NO USAR1'!A4:L1000,4,FALSE)+IF(ISBLANK(Draft!M11),0,VLOOKUP(Draft!M11, 'NO USAR1'!A4:L1000,4,FALSE)+IF(ISBLANK(Draft!N6),0,VLOOKUP(Draft!N6, 'NO USAR1'!A4:L1000,4,FALSE))))))))))))))))))))))))</f>
        <v>-0.538625156</v>
      </c>
      <c r="G13" s="23">
        <f>((IF(ISBLANK(Draft!C11),0,VLOOKUP(Draft!C11, 'NO USAR1'!A4:L1000,5,FALSE)+(IF(ISBLANK(Draft!D6),0,VLOOKUP(Draft!D6, 'NO USAR1'!A4:L1000,5,FALSE)+(IF(ISBLANK(Draft!E11),0,VLOOKUP(Draft!E11, 'NO USAR1'!A4:L1000,5,FALSE)+(IF(ISBLANK(Draft!F6),0,VLOOKUP(Draft!F6, 'NO USAR1'!A4:L1000,5,FALSE)+(IF(ISBLANK(Draft!G11),0,VLOOKUP(Draft!G11, 'NO USAR1'!A4:L1000,5,FALSE)+(IF(ISBLANK(Draft!H6),0,VLOOKUP(Draft!H6, 'NO USAR1'!A4:L1000,5,FALSE)+(IF(ISBLANK(Draft!I11),0,VLOOKUP(Draft!I11, 'NO USAR1'!A4:L1000,5,FALSE)+(IF(ISBLANK(Draft!J6),0,VLOOKUP(Draft!J6, 'NO USAR1'!A4:L1000,5,FALSE)+(IF(ISBLANK(Draft!K11),0,VLOOKUP(Draft!K11, 'NO USAR1'!A4:L1000,5,FALSE)+(IF(ISBLANK(Draft!L6),0,VLOOKUP(Draft!L6, 'NO USAR1'!A4:L1000,5,FALSE)+IF(ISBLANK(Draft!M11),0,VLOOKUP(Draft!M11, 'NO USAR1'!A4:L1000,5,FALSE)+IF(ISBLANK(Draft!N6),0,VLOOKUP(Draft!N6, 'NO USAR1'!A4:L1000,5,FALSE))))))))))))))))))))))))</f>
        <v>3.140114912</v>
      </c>
      <c r="H13" s="23">
        <f>((IF(ISBLANK(Draft!C11),0,VLOOKUP(Draft!C11, 'NO USAR1'!A4:L1000,6,FALSE)+(IF(ISBLANK(Draft!D6),0,VLOOKUP(Draft!D6, 'NO USAR1'!A4:L1000,6,FALSE)+(IF(ISBLANK(Draft!E11),0,VLOOKUP(Draft!E11, 'NO USAR1'!A4:L1000,6,FALSE)+(IF(ISBLANK(Draft!F6),0,VLOOKUP(Draft!F6, 'NO USAR1'!A4:L1000,6,FALSE)+(IF(ISBLANK(Draft!G11),0,VLOOKUP(Draft!G11, 'NO USAR1'!A4:L1000,6,FALSE)+(IF(ISBLANK(Draft!H6),0,VLOOKUP(Draft!H6, 'NO USAR1'!A4:L1000,6,FALSE)+(IF(ISBLANK(Draft!I11),0,VLOOKUP(Draft!I11, 'NO USAR1'!A4:L1000,6,FALSE)+(IF(ISBLANK(Draft!J6),0,VLOOKUP(Draft!J6, 'NO USAR1'!A4:L1000,6,FALSE)+(IF(ISBLANK(Draft!K11),0,VLOOKUP(Draft!K11, 'NO USAR1'!A4:L1000,6,FALSE)+(IF(ISBLANK(Draft!L6),0,VLOOKUP(Draft!L6, 'NO USAR1'!A4:L1000,6,FALSE)+IF(ISBLANK(Draft!M11),0,VLOOKUP(Draft!M11, 'NO USAR1'!A4:L1000,6,FALSE)+IF(ISBLANK(Draft!N6),0,VLOOKUP(Draft!N6, 'NO USAR1'!A4:L1000,6,FALSE))))))))))))))))))))))))</f>
        <v>-0.4719031929</v>
      </c>
      <c r="I13" s="23">
        <f>((IF(ISBLANK(Draft!C11),0,VLOOKUP(Draft!C11, 'NO USAR1'!A4:L1000,7,FALSE)+(IF(ISBLANK(Draft!D6),0,VLOOKUP(Draft!D6, 'NO USAR1'!A4:L1000,7,FALSE)+(IF(ISBLANK(Draft!E11),0,VLOOKUP(Draft!E11, 'NO USAR1'!A4:L1000,7,FALSE)+(IF(ISBLANK(Draft!F6),0,VLOOKUP(Draft!F6, 'NO USAR1'!A4:L1000,7,FALSE)+(IF(ISBLANK(Draft!G11),0,VLOOKUP(Draft!G11, 'NO USAR1'!A4:L1000,7,FALSE)+(IF(ISBLANK(Draft!H6),0,VLOOKUP(Draft!H6, 'NO USAR1'!A4:L1000,7,FALSE)+(IF(ISBLANK(Draft!I11),0,VLOOKUP(Draft!I11, 'NO USAR1'!A4:L1000,7,FALSE)+(IF(ISBLANK(Draft!J6),0,VLOOKUP(Draft!J6, 'NO USAR1'!A4:L1000,7,FALSE)+(IF(ISBLANK(Draft!K11),0,VLOOKUP(Draft!K11, 'NO USAR1'!A4:L1000,7,FALSE)+(IF(ISBLANK(Draft!L6),0,VLOOKUP(Draft!L6, 'NO USAR1'!A4:L1000,7,FALSE)+IF(ISBLANK(Draft!M11),0,VLOOKUP(Draft!M11, 'NO USAR1'!A4:L1000,7,FALSE)+IF(ISBLANK(Draft!N6),0,VLOOKUP(Draft!N6, 'NO USAR1'!A4:L1000,7,FALSE))))))))))))))))))))))))</f>
        <v>0.2668212076</v>
      </c>
      <c r="J13" s="23">
        <f>((IF(ISBLANK(Draft!C11),0,VLOOKUP(Draft!C11, 'NO USAR1'!A4:L1000,8,FALSE)+(IF(ISBLANK(Draft!D6),0,VLOOKUP(Draft!D6, 'NO USAR1'!A4:L1000,8,FALSE)+(IF(ISBLANK(Draft!E11),0,VLOOKUP(Draft!E11, 'NO USAR1'!A4:L1000,8,FALSE)+(IF(ISBLANK(Draft!F6),0,VLOOKUP(Draft!F6, 'NO USAR1'!A4:L1000,8,FALSE)+(IF(ISBLANK(Draft!G11),0,VLOOKUP(Draft!G11, 'NO USAR1'!A4:L1000,8,FALSE)+(IF(ISBLANK(Draft!H6),0,VLOOKUP(Draft!H6, 'NO USAR1'!A4:L1000,8,FALSE)+(IF(ISBLANK(Draft!I11),0,VLOOKUP(Draft!I11, 'NO USAR1'!A4:L1000,8,FALSE)+(IF(ISBLANK(Draft!J6),0,VLOOKUP(Draft!J6, 'NO USAR1'!A4:L1000,8,FALSE)+(IF(ISBLANK(Draft!K11),0,VLOOKUP(Draft!K11, 'NO USAR1'!A4:L1000,8,FALSE)+(IF(ISBLANK(Draft!L6),0,VLOOKUP(Draft!L6, 'NO USAR1'!A4:L1000,8,FALSE)+IF(ISBLANK(Draft!M11),0,VLOOKUP(Draft!M11, 'NO USAR1'!A4:L1000,8,FALSE)+IF(ISBLANK(Draft!N6),0,VLOOKUP(Draft!N6, 'NO USAR1'!A4:L1000,8,FALSE))))))))))))))))))))))))</f>
        <v>-2.892435445</v>
      </c>
      <c r="K13" s="23">
        <f>((IF(ISBLANK(Draft!C11),0,VLOOKUP(Draft!C11, 'NO USAR1'!A4:L1000,10,FALSE)+(IF(ISBLANK(Draft!D6),0,VLOOKUP(Draft!D6, 'NO USAR1'!A4:L1000,10,FALSE)+(IF(ISBLANK(Draft!E11),0,VLOOKUP(Draft!E11, 'NO USAR1'!A4:L1000,10,FALSE)+(IF(ISBLANK(Draft!F6),0,VLOOKUP(Draft!F6, 'NO USAR1'!A4:L1000,10,FALSE)+(IF(ISBLANK(Draft!G11),0,VLOOKUP(Draft!G11, 'NO USAR1'!A4:L1000,10,FALSE)+(IF(ISBLANK(Draft!H6),0,VLOOKUP(Draft!H6, 'NO USAR1'!A4:L1000,10,FALSE)+(IF(ISBLANK(Draft!I11),0,VLOOKUP(Draft!I11, 'NO USAR1'!A4:L1000,10,FALSE)+(IF(ISBLANK(Draft!J6),0,VLOOKUP(Draft!J6, 'NO USAR1'!A4:L1000,10,FALSE)+(IF(ISBLANK(Draft!K11),0,VLOOKUP(Draft!K11, 'NO USAR1'!A4:L1000,10,FALSE)+(IF(ISBLANK(Draft!L6),0,VLOOKUP(Draft!L6, 'NO USAR1'!A4:L1000,10,FALSE)+IF(ISBLANK(Draft!M11),0,VLOOKUP(Draft!M11, 'NO USAR1'!A4:L1000,10,FALSE)+IF(ISBLANK(Draft!N6),0,VLOOKUP(Draft!N6, 'NO USAR1'!A4:L1000,10,FALSE))))))))))))))))))))))))</f>
        <v>0.5101549305</v>
      </c>
      <c r="L13" s="23">
        <f>((IF(ISBLANK(Draft!C11),0,VLOOKUP(Draft!C11, 'NO USAR1'!A4:L1000,12,FALSE)+(IF(ISBLANK(Draft!D6),0,VLOOKUP(Draft!D6, 'NO USAR1'!A4:L1000,12,FALSE)+(IF(ISBLANK(Draft!E11),0,VLOOKUP(Draft!E11, 'NO USAR1'!A4:L1000,12,FALSE)+(IF(ISBLANK(Draft!F6),0,VLOOKUP(Draft!F6, 'NO USAR1'!A4:L1000,12,FALSE)+(IF(ISBLANK(Draft!G11),0,VLOOKUP(Draft!G11, 'NO USAR1'!A4:L1000,12,FALSE)+(IF(ISBLANK(Draft!H6),0,VLOOKUP(Draft!H6, 'NO USAR1'!A4:L1000,12,FALSE)+(IF(ISBLANK(Draft!I11),0,VLOOKUP(Draft!I11, 'NO USAR1'!A4:L1000,12,FALSE)+(IF(ISBLANK(Draft!J6),0,VLOOKUP(Draft!J6, 'NO USAR1'!A4:L1000,12,FALSE)+(IF(ISBLANK(Draft!K11),0,VLOOKUP(Draft!K11, 'NO USAR1'!A4:L1000,12,FALSE)+(IF(ISBLANK(Draft!L6),0,VLOOKUP(Draft!L6, 'NO USAR1'!A4:L1000,12,FALSE)+IF(ISBLANK(Draft!M11),0,VLOOKUP(Draft!M11, 'NO USAR1'!A4:L1000,12,FALSE)+IF(ISBLANK(Draft!N6),0,VLOOKUP(Draft!N6, 'NO USAR1'!A4:L1000,12,FALSE))))))))))))))))))))))))</f>
        <v>2.239158116</v>
      </c>
      <c r="M13" s="49">
        <f t="array" ref="M13">if(M$3=$C13,"-", countif(indirect(address(row($C$4)+ VLOOKUP(M$3,$C$5:$C$16,1),COLUMN($D$4))):indirect(address(row($C$4)+ VLOOKUP(M$3,$C$5:$C$16,1),COLUMN($L$4)))&gt;indirect(address(row($C13),COLUMN($D$4))):indirect(address(row($C13),COLUMN($L$4))),TRUE()))</f>
        <v>3</v>
      </c>
      <c r="N13" s="49">
        <f t="array" ref="N13">if(N$3=$C13,"-", countif(indirect(address(row($C$4)+ VLOOKUP(N$3,$C$5:$C$16,1),COLUMN($D$4))):indirect(address(row($C$4)+ VLOOKUP(N$3,$C$5:$C$16,1),COLUMN($L$4)))&gt;indirect(address(row($C13),COLUMN($D$4))):indirect(address(row($C13),COLUMN($L$4))),TRUE()))</f>
        <v>4</v>
      </c>
      <c r="O13" s="49">
        <f t="array" ref="O13">if(O$3=$C13,"-", countif(indirect(address(row($C$4)+ VLOOKUP(O$3,$C$5:$C$16,1),COLUMN($D$4))):indirect(address(row($C$4)+ VLOOKUP(O$3,$C$5:$C$16,1),COLUMN($L$4)))&gt;indirect(address(row($C13),COLUMN($D$4))):indirect(address(row($C13),COLUMN($L$4))),TRUE()))</f>
        <v>4</v>
      </c>
      <c r="P13" s="49">
        <f t="array" ref="P13">if(P$3=$C13,"-", countif(indirect(address(row($C$4)+ VLOOKUP(P$3,$C$5:$C$16,1),COLUMN($D$4))):indirect(address(row($C$4)+ VLOOKUP(P$3,$C$5:$C$16,1),COLUMN($L$4)))&gt;indirect(address(row($C13),COLUMN($D$4))):indirect(address(row($C13),COLUMN($L$4))),TRUE()))</f>
        <v>4</v>
      </c>
      <c r="Q13" s="49">
        <f t="array" ref="Q13">if(Q$3=$C13,"-", countif(indirect(address(row($C$4)+ VLOOKUP(Q$3,$C$5:$C$16,1),COLUMN($D$4))):indirect(address(row($C$4)+ VLOOKUP(Q$3,$C$5:$C$16,1),COLUMN($L$4)))&gt;indirect(address(row($C13),COLUMN($D$4))):indirect(address(row($C13),COLUMN($L$4))),TRUE()))</f>
        <v>3</v>
      </c>
      <c r="R13" s="49">
        <f t="array" ref="R13">if(R$3=$C13,"-", countif(indirect(address(row($C$4)+ VLOOKUP(R$3,$C$5:$C$16,1),COLUMN($D$4))):indirect(address(row($C$4)+ VLOOKUP(R$3,$C$5:$C$16,1),COLUMN($L$4)))&gt;indirect(address(row($C13),COLUMN($D$4))):indirect(address(row($C13),COLUMN($L$4))),TRUE()))</f>
        <v>5</v>
      </c>
      <c r="S13" s="49">
        <f t="array" ref="S13">if(S$3=$C13,"-", countif(indirect(address(row($C$4)+ VLOOKUP(S$3,$C$5:$C$16,1),COLUMN($D$4))):indirect(address(row($C$4)+ VLOOKUP(S$3,$C$5:$C$16,1),COLUMN($L$4)))&gt;indirect(address(row($C13),COLUMN($D$4))):indirect(address(row($C13),COLUMN($L$4))),TRUE()))</f>
        <v>5</v>
      </c>
      <c r="T13" s="49">
        <f t="array" ref="T13">if(T$3=$C13,"-", countif(indirect(address(row($C$4)+ VLOOKUP(T$3,$C$5:$C$16,1),COLUMN($D$4))):indirect(address(row($C$4)+ VLOOKUP(T$3,$C$5:$C$16,1),COLUMN($L$4)))&gt;indirect(address(row($C13),COLUMN($D$4))):indirect(address(row($C13),COLUMN($L$4))),TRUE()))</f>
        <v>5</v>
      </c>
      <c r="U13" s="49" t="str">
        <f t="array" ref="U13">if(U$3=$C13,"-", countif(indirect(address(row($C$4)+ VLOOKUP(U$3,$C$5:$C$16,1),COLUMN($D$4))):indirect(address(row($C$4)+ VLOOKUP(U$3,$C$5:$C$16,1),COLUMN($L$4)))&gt;indirect(address(row($C13),COLUMN($D$4))):indirect(address(row($C13),COLUMN($L$4))),TRUE()))</f>
        <v>-</v>
      </c>
      <c r="V13" s="49">
        <f t="array" ref="V13">if(V$3=$C13,"-", countif(indirect(address(row($C$4)+ VLOOKUP(V$3,$C$5:$C$16,1),COLUMN($D$4))):indirect(address(row($C$4)+ VLOOKUP(V$3,$C$5:$C$16,1),COLUMN($L$4)))&gt;indirect(address(row($C13),COLUMN($D$4))):indirect(address(row($C13),COLUMN($L$4))),TRUE()))</f>
        <v>3</v>
      </c>
      <c r="W13" s="49">
        <f t="array" ref="W13">if(W$3=$C13,"-", countif(indirect(address(row($C$4)+ VLOOKUP(W$3,$C$5:$C$16,1),COLUMN($D$4))):indirect(address(row($C$4)+ VLOOKUP(W$3,$C$5:$C$16,1),COLUMN($L$4)))&gt;indirect(address(row($C13),COLUMN($D$4))):indirect(address(row($C13),COLUMN($L$4))),TRUE()))</f>
        <v>5</v>
      </c>
      <c r="X13" s="49">
        <f t="array" ref="X13">if(X$3=$C13,"-", countif(indirect(address(row($C$4)+ VLOOKUP(X$3,$C$5:$C$16,1),COLUMN($D$4))):indirect(address(row($C$4)+ VLOOKUP(X$3,$C$5:$C$16,1),COLUMN($L$4)))&gt;indirect(address(row($C13),COLUMN($D$4))):indirect(address(row($C13),COLUMN($L$4))),TRUE()))</f>
        <v>4</v>
      </c>
      <c r="Y13" s="49">
        <f t="array" ref="Y13">if(D$1=$C13,"-", countif(indirect(address(row($C$4)+ VLOOKUP(D$1,$C$5:$C$16,1),COLUMN($D$4))):indirect(address(row($C$4)+ VLOOKUP(D$1,$C$5:$C$16,1),COLUMN($L$4)))&gt;indirect(address(row($C13),COLUMN($D$4))):indirect(address(row($C13),COLUMN($L$4))),TRUE()))</f>
        <v>5</v>
      </c>
      <c r="Z13" s="23">
        <f>SUM(U$5:U$16)/99</f>
        <v>0.5454545455</v>
      </c>
    </row>
    <row r="14">
      <c r="B14" s="13" t="b">
        <f>Draft!B12</f>
        <v>0</v>
      </c>
      <c r="C14" s="12">
        <v>10.0</v>
      </c>
      <c r="D14" s="23">
        <f>((IF(ISBLANK(Draft!C12),0,VLOOKUP(Draft!C12, 'NO USAR1'!A4:L1000,2,FALSE)+(IF(ISBLANK(Draft!D5),0,VLOOKUP(Draft!D5, 'NO USAR1'!A4:L1000,2,FALSE)+(IF(ISBLANK(Draft!E12),0,VLOOKUP(Draft!E12, 'NO USAR1'!A4:L1000,2,FALSE)+(IF(ISBLANK(Draft!F5),0,VLOOKUP(Draft!F5, 'NO USAR1'!A4:L1000,2,FALSE)+(IF(ISBLANK(Draft!G12),0,VLOOKUP(Draft!G12, 'NO USAR1'!A4:L1000,2,FALSE)+(IF(ISBLANK(Draft!H5),0,VLOOKUP(Draft!H5, 'NO USAR1'!A4:L1000,2,FALSE)+(IF(ISBLANK(Draft!I12),0,VLOOKUP(Draft!I12, 'NO USAR1'!A4:L1000,2,FALSE)+(IF(ISBLANK(Draft!J5),0,VLOOKUP(Draft!J5, 'NO USAR1'!A4:L1000,2,FALSE)+(IF(ISBLANK(Draft!K12),0,VLOOKUP(Draft!K12, 'NO USAR1'!A4:L1000,2,FALSE)+(IF(ISBLANK(Draft!L5),0,VLOOKUP(Draft!L5, 'NO USAR1'!A4:L1000,2,FALSE)+IF(ISBLANK(Draft!M12),0,VLOOKUP(Draft!M12, 'NO USAR1'!A4:L1000,2,FALSE)+IF(ISBLANK(Draft!N5),0,VLOOKUP(Draft!N5, 'NO USAR1'!A4:L1000,2,FALSE))))))))))))))))))))))))</f>
        <v>1.920229505</v>
      </c>
      <c r="E14" s="23">
        <f>((IF(ISBLANK(Draft!C12),0,VLOOKUP(Draft!C12, 'NO USAR1'!A4:L1000,3,FALSE)+(IF(ISBLANK(Draft!D5),0,VLOOKUP(Draft!D5, 'NO USAR1'!A4:L1000,3,FALSE)+(IF(ISBLANK(Draft!E12),0,VLOOKUP(Draft!E12, 'NO USAR1'!A4:L1000,3,FALSE)+(IF(ISBLANK(Draft!F5),0,VLOOKUP(Draft!F5, 'NO USAR1'!A4:L1000,3,FALSE)+(IF(ISBLANK(Draft!G12),0,VLOOKUP(Draft!G12, 'NO USAR1'!A4:L1000,3,FALSE)+(IF(ISBLANK(Draft!H5),0,VLOOKUP(Draft!H5, 'NO USAR1'!A4:L1000,3,FALSE)+(IF(ISBLANK(Draft!I12),0,VLOOKUP(Draft!I12, 'NO USAR1'!A4:L1000,3,FALSE)+(IF(ISBLANK(Draft!J5),0,VLOOKUP(Draft!J5, 'NO USAR1'!A4:L1000,3,FALSE)+(IF(ISBLANK(Draft!K12),0,VLOOKUP(Draft!K12, 'NO USAR1'!A4:L1000,3,FALSE)+(IF(ISBLANK(Draft!L5),0,VLOOKUP(Draft!L5, 'NO USAR1'!A4:L1000,3,FALSE)+IF(ISBLANK(Draft!M12),0,VLOOKUP(Draft!M12, 'NO USAR1'!A4:L1000,3,FALSE)+IF(ISBLANK(Draft!N5),0,VLOOKUP(Draft!N5, 'NO USAR1'!A4:L1000,3,FALSE))))))))))))))))))))))))</f>
        <v>3.952173361</v>
      </c>
      <c r="F14" s="23">
        <f>((IF(ISBLANK(Draft!C12),0,VLOOKUP(Draft!C12, 'NO USAR1'!A4:L1000,4,FALSE)+(IF(ISBLANK(Draft!D5),0,VLOOKUP(Draft!D5, 'NO USAR1'!A4:L1000,4,FALSE)+(IF(ISBLANK(Draft!E12),0,VLOOKUP(Draft!E12, 'NO USAR1'!A4:L1000,4,FALSE)+(IF(ISBLANK(Draft!F5),0,VLOOKUP(Draft!F5, 'NO USAR1'!A4:L1000,4,FALSE)+(IF(ISBLANK(Draft!G12),0,VLOOKUP(Draft!G12, 'NO USAR1'!A4:L1000,4,FALSE)+(IF(ISBLANK(Draft!H5),0,VLOOKUP(Draft!H5, 'NO USAR1'!A4:L1000,4,FALSE)+(IF(ISBLANK(Draft!I12),0,VLOOKUP(Draft!I12, 'NO USAR1'!A4:L1000,4,FALSE)+(IF(ISBLANK(Draft!J5),0,VLOOKUP(Draft!J5, 'NO USAR1'!A4:L1000,4,FALSE)+(IF(ISBLANK(Draft!K12),0,VLOOKUP(Draft!K12, 'NO USAR1'!A4:L1000,4,FALSE)+(IF(ISBLANK(Draft!L5),0,VLOOKUP(Draft!L5, 'NO USAR1'!A4:L1000,4,FALSE)+IF(ISBLANK(Draft!M12),0,VLOOKUP(Draft!M12, 'NO USAR1'!A4:L1000,4,FALSE)+IF(ISBLANK(Draft!N5),0,VLOOKUP(Draft!N5, 'NO USAR1'!A4:L1000,4,FALSE))))))))))))))))))))))))</f>
        <v>-0.7019113172</v>
      </c>
      <c r="G14" s="23">
        <f>((IF(ISBLANK(Draft!C12),0,VLOOKUP(Draft!C12, 'NO USAR1'!A4:L1000,5,FALSE)+(IF(ISBLANK(Draft!D5),0,VLOOKUP(Draft!D5, 'NO USAR1'!A4:L1000,5,FALSE)+(IF(ISBLANK(Draft!E12),0,VLOOKUP(Draft!E12, 'NO USAR1'!A4:L1000,5,FALSE)+(IF(ISBLANK(Draft!F5),0,VLOOKUP(Draft!F5, 'NO USAR1'!A4:L1000,5,FALSE)+(IF(ISBLANK(Draft!G12),0,VLOOKUP(Draft!G12, 'NO USAR1'!A4:L1000,5,FALSE)+(IF(ISBLANK(Draft!H5),0,VLOOKUP(Draft!H5, 'NO USAR1'!A4:L1000,5,FALSE)+(IF(ISBLANK(Draft!I12),0,VLOOKUP(Draft!I12, 'NO USAR1'!A4:L1000,5,FALSE)+(IF(ISBLANK(Draft!J5),0,VLOOKUP(Draft!J5, 'NO USAR1'!A4:L1000,5,FALSE)+(IF(ISBLANK(Draft!K12),0,VLOOKUP(Draft!K12, 'NO USAR1'!A4:L1000,5,FALSE)+(IF(ISBLANK(Draft!L5),0,VLOOKUP(Draft!L5, 'NO USAR1'!A4:L1000,5,FALSE)+IF(ISBLANK(Draft!M12),0,VLOOKUP(Draft!M12, 'NO USAR1'!A4:L1000,5,FALSE)+IF(ISBLANK(Draft!N5),0,VLOOKUP(Draft!N5, 'NO USAR1'!A4:L1000,5,FALSE))))))))))))))))))))))))</f>
        <v>1.268241181</v>
      </c>
      <c r="H14" s="23">
        <f>((IF(ISBLANK(Draft!C12),0,VLOOKUP(Draft!C12, 'NO USAR1'!A4:L1000,6,FALSE)+(IF(ISBLANK(Draft!D5),0,VLOOKUP(Draft!D5, 'NO USAR1'!A4:L1000,6,FALSE)+(IF(ISBLANK(Draft!E12),0,VLOOKUP(Draft!E12, 'NO USAR1'!A4:L1000,6,FALSE)+(IF(ISBLANK(Draft!F5),0,VLOOKUP(Draft!F5, 'NO USAR1'!A4:L1000,6,FALSE)+(IF(ISBLANK(Draft!G12),0,VLOOKUP(Draft!G12, 'NO USAR1'!A4:L1000,6,FALSE)+(IF(ISBLANK(Draft!H5),0,VLOOKUP(Draft!H5, 'NO USAR1'!A4:L1000,6,FALSE)+(IF(ISBLANK(Draft!I12),0,VLOOKUP(Draft!I12, 'NO USAR1'!A4:L1000,6,FALSE)+(IF(ISBLANK(Draft!J5),0,VLOOKUP(Draft!J5, 'NO USAR1'!A4:L1000,6,FALSE)+(IF(ISBLANK(Draft!K12),0,VLOOKUP(Draft!K12, 'NO USAR1'!A4:L1000,6,FALSE)+(IF(ISBLANK(Draft!L5),0,VLOOKUP(Draft!L5, 'NO USAR1'!A4:L1000,6,FALSE)+IF(ISBLANK(Draft!M12),0,VLOOKUP(Draft!M12, 'NO USAR1'!A4:L1000,6,FALSE)+IF(ISBLANK(Draft!N5),0,VLOOKUP(Draft!N5, 'NO USAR1'!A4:L1000,6,FALSE))))))))))))))))))))))))</f>
        <v>-0.1448633057</v>
      </c>
      <c r="I14" s="23">
        <f>((IF(ISBLANK(Draft!C12),0,VLOOKUP(Draft!C12, 'NO USAR1'!A4:L1000,7,FALSE)+(IF(ISBLANK(Draft!D5),0,VLOOKUP(Draft!D5, 'NO USAR1'!A4:L1000,7,FALSE)+(IF(ISBLANK(Draft!E12),0,VLOOKUP(Draft!E12, 'NO USAR1'!A4:L1000,7,FALSE)+(IF(ISBLANK(Draft!F5),0,VLOOKUP(Draft!F5, 'NO USAR1'!A4:L1000,7,FALSE)+(IF(ISBLANK(Draft!G12),0,VLOOKUP(Draft!G12, 'NO USAR1'!A4:L1000,7,FALSE)+(IF(ISBLANK(Draft!H5),0,VLOOKUP(Draft!H5, 'NO USAR1'!A4:L1000,7,FALSE)+(IF(ISBLANK(Draft!I12),0,VLOOKUP(Draft!I12, 'NO USAR1'!A4:L1000,7,FALSE)+(IF(ISBLANK(Draft!J5),0,VLOOKUP(Draft!J5, 'NO USAR1'!A4:L1000,7,FALSE)+(IF(ISBLANK(Draft!K12),0,VLOOKUP(Draft!K12, 'NO USAR1'!A4:L1000,7,FALSE)+(IF(ISBLANK(Draft!L5),0,VLOOKUP(Draft!L5, 'NO USAR1'!A4:L1000,7,FALSE)+IF(ISBLANK(Draft!M12),0,VLOOKUP(Draft!M12, 'NO USAR1'!A4:L1000,7,FALSE)+IF(ISBLANK(Draft!N5),0,VLOOKUP(Draft!N5, 'NO USAR1'!A4:L1000,7,FALSE))))))))))))))))))))))))</f>
        <v>-1.587102313</v>
      </c>
      <c r="J14" s="23">
        <f>((IF(ISBLANK(Draft!C12),0,VLOOKUP(Draft!C12, 'NO USAR1'!A4:L1000,8,FALSE)+(IF(ISBLANK(Draft!D5),0,VLOOKUP(Draft!D5, 'NO USAR1'!A4:L1000,8,FALSE)+(IF(ISBLANK(Draft!E12),0,VLOOKUP(Draft!E12, 'NO USAR1'!A4:L1000,8,FALSE)+(IF(ISBLANK(Draft!F5),0,VLOOKUP(Draft!F5, 'NO USAR1'!A4:L1000,8,FALSE)+(IF(ISBLANK(Draft!G12),0,VLOOKUP(Draft!G12, 'NO USAR1'!A4:L1000,8,FALSE)+(IF(ISBLANK(Draft!H5),0,VLOOKUP(Draft!H5, 'NO USAR1'!A4:L1000,8,FALSE)+(IF(ISBLANK(Draft!I12),0,VLOOKUP(Draft!I12, 'NO USAR1'!A4:L1000,8,FALSE)+(IF(ISBLANK(Draft!J5),0,VLOOKUP(Draft!J5, 'NO USAR1'!A4:L1000,8,FALSE)+(IF(ISBLANK(Draft!K12),0,VLOOKUP(Draft!K12, 'NO USAR1'!A4:L1000,8,FALSE)+(IF(ISBLANK(Draft!L5),0,VLOOKUP(Draft!L5, 'NO USAR1'!A4:L1000,8,FALSE)+IF(ISBLANK(Draft!M12),0,VLOOKUP(Draft!M12, 'NO USAR1'!A4:L1000,8,FALSE)+IF(ISBLANK(Draft!N5),0,VLOOKUP(Draft!N5, 'NO USAR1'!A4:L1000,8,FALSE))))))))))))))))))))))))</f>
        <v>-4.970916566</v>
      </c>
      <c r="K14" s="23">
        <f>((IF(ISBLANK(Draft!C12),0,VLOOKUP(Draft!C12, 'NO USAR1'!A4:L1000,10,FALSE)+(IF(ISBLANK(Draft!D5),0,VLOOKUP(Draft!D5, 'NO USAR1'!A4:L1000,10,FALSE)+(IF(ISBLANK(Draft!E12),0,VLOOKUP(Draft!E12, 'NO USAR1'!A4:L1000,10,FALSE)+(IF(ISBLANK(Draft!F5),0,VLOOKUP(Draft!F5, 'NO USAR1'!A4:L1000,10,FALSE)+(IF(ISBLANK(Draft!G12),0,VLOOKUP(Draft!G12, 'NO USAR1'!A4:L1000,10,FALSE)+(IF(ISBLANK(Draft!H5),0,VLOOKUP(Draft!H5, 'NO USAR1'!A4:L1000,10,FALSE)+(IF(ISBLANK(Draft!I12),0,VLOOKUP(Draft!I12, 'NO USAR1'!A4:L1000,10,FALSE)+(IF(ISBLANK(Draft!J5),0,VLOOKUP(Draft!J5, 'NO USAR1'!A4:L1000,10,FALSE)+(IF(ISBLANK(Draft!K12),0,VLOOKUP(Draft!K12, 'NO USAR1'!A4:L1000,10,FALSE)+(IF(ISBLANK(Draft!L5),0,VLOOKUP(Draft!L5, 'NO USAR1'!A4:L1000,10,FALSE)+IF(ISBLANK(Draft!M12),0,VLOOKUP(Draft!M12, 'NO USAR1'!A4:L1000,10,FALSE)+IF(ISBLANK(Draft!N5),0,VLOOKUP(Draft!N5, 'NO USAR1'!A4:L1000,7,FALSE))))))))))))))))))))))))</f>
        <v>5.576015605</v>
      </c>
      <c r="L14" s="23">
        <f>((IF(ISBLANK(Draft!C12),0,VLOOKUP(Draft!C12, 'NO USAR1'!A4:L1000,12,FALSE)+(IF(ISBLANK(Draft!D5),0,VLOOKUP(Draft!D5, 'NO USAR1'!A4:L1000,12,FALSE)+(IF(ISBLANK(Draft!E12),0,VLOOKUP(Draft!E12, 'NO USAR1'!A4:L1000,12,FALSE)+(IF(ISBLANK(Draft!F5),0,VLOOKUP(Draft!F5, 'NO USAR1'!A4:L1000,12,FALSE)+(IF(ISBLANK(Draft!G12),0,VLOOKUP(Draft!G12, 'NO USAR1'!A4:L1000,12,FALSE)+(IF(ISBLANK(Draft!H5),0,VLOOKUP(Draft!H5, 'NO USAR1'!A4:L1000,12,FALSE)+(IF(ISBLANK(Draft!I12),0,VLOOKUP(Draft!I12, 'NO USAR1'!A4:L1000,12,FALSE)+(IF(ISBLANK(Draft!J5),0,VLOOKUP(Draft!J5, 'NO USAR1'!A4:L1000,12,FALSE)+(IF(ISBLANK(Draft!K12),0,VLOOKUP(Draft!K12, 'NO USAR1'!A4:L1000,12,FALSE)+(IF(ISBLANK(Draft!L5),0,VLOOKUP(Draft!L5, 'NO USAR1'!A4:L1000,12,FALSE)+IF(ISBLANK(Draft!M12),0,VLOOKUP(Draft!M12, 'NO USAR1'!A4:L1000,12,FALSE)+IF(ISBLANK(Draft!N5),0,VLOOKUP(Draft!N5, 'NO USAR1'!A4:L1000,12,FALSE))))))))))))))))))))))))</f>
        <v>-5.37605346</v>
      </c>
      <c r="M14" s="49">
        <f t="array" ref="M14">if(M$3=$C14,"-", countif(indirect(address(row($C$4)+ VLOOKUP(M$3,$C$5:$C$16,1),COLUMN($D$4))):indirect(address(row($C$4)+ VLOOKUP(M$3,$C$5:$C$16,1),COLUMN($L$4)))&gt;indirect(address(row($C14),COLUMN($D$4))):indirect(address(row($C14),COLUMN($L$4))),TRUE()))</f>
        <v>6</v>
      </c>
      <c r="N14" s="49">
        <f t="array" ref="N14">if(N$3=$C14,"-", countif(indirect(address(row($C$4)+ VLOOKUP(N$3,$C$5:$C$16,1),COLUMN($D$4))):indirect(address(row($C$4)+ VLOOKUP(N$3,$C$5:$C$16,1),COLUMN($L$4)))&gt;indirect(address(row($C14),COLUMN($D$4))):indirect(address(row($C14),COLUMN($L$4))),TRUE()))</f>
        <v>6</v>
      </c>
      <c r="O14" s="49">
        <f t="array" ref="O14">if(O$3=$C14,"-", countif(indirect(address(row($C$4)+ VLOOKUP(O$3,$C$5:$C$16,1),COLUMN($D$4))):indirect(address(row($C$4)+ VLOOKUP(O$3,$C$5:$C$16,1),COLUMN($L$4)))&gt;indirect(address(row($C14),COLUMN($D$4))):indirect(address(row($C14),COLUMN($L$4))),TRUE()))</f>
        <v>4</v>
      </c>
      <c r="P14" s="49">
        <f t="array" ref="P14">if(P$3=$C14,"-", countif(indirect(address(row($C$4)+ VLOOKUP(P$3,$C$5:$C$16,1),COLUMN($D$4))):indirect(address(row($C$4)+ VLOOKUP(P$3,$C$5:$C$16,1),COLUMN($L$4)))&gt;indirect(address(row($C14),COLUMN($D$4))):indirect(address(row($C14),COLUMN($L$4))),TRUE()))</f>
        <v>6</v>
      </c>
      <c r="Q14" s="49">
        <f t="array" ref="Q14">if(Q$3=$C14,"-", countif(indirect(address(row($C$4)+ VLOOKUP(Q$3,$C$5:$C$16,1),COLUMN($D$4))):indirect(address(row($C$4)+ VLOOKUP(Q$3,$C$5:$C$16,1),COLUMN($L$4)))&gt;indirect(address(row($C14),COLUMN($D$4))):indirect(address(row($C14),COLUMN($L$4))),TRUE()))</f>
        <v>5</v>
      </c>
      <c r="R14" s="49">
        <f t="array" ref="R14">if(R$3=$C14,"-", countif(indirect(address(row($C$4)+ VLOOKUP(R$3,$C$5:$C$16,1),COLUMN($D$4))):indirect(address(row($C$4)+ VLOOKUP(R$3,$C$5:$C$16,1),COLUMN($L$4)))&gt;indirect(address(row($C14),COLUMN($D$4))):indirect(address(row($C14),COLUMN($L$4))),TRUE()))</f>
        <v>6</v>
      </c>
      <c r="S14" s="49">
        <f t="array" ref="S14">if(S$3=$C14,"-", countif(indirect(address(row($C$4)+ VLOOKUP(S$3,$C$5:$C$16,1),COLUMN($D$4))):indirect(address(row($C$4)+ VLOOKUP(S$3,$C$5:$C$16,1),COLUMN($L$4)))&gt;indirect(address(row($C14),COLUMN($D$4))):indirect(address(row($C14),COLUMN($L$4))),TRUE()))</f>
        <v>6</v>
      </c>
      <c r="T14" s="49">
        <f t="array" ref="T14">if(T$3=$C14,"-", countif(indirect(address(row($C$4)+ VLOOKUP(T$3,$C$5:$C$16,1),COLUMN($D$4))):indirect(address(row($C$4)+ VLOOKUP(T$3,$C$5:$C$16,1),COLUMN($L$4)))&gt;indirect(address(row($C14),COLUMN($D$4))):indirect(address(row($C14),COLUMN($L$4))),TRUE()))</f>
        <v>4</v>
      </c>
      <c r="U14" s="49">
        <f t="array" ref="U14">if(U$3=$C14,"-", countif(indirect(address(row($C$4)+ VLOOKUP(U$3,$C$5:$C$16,1),COLUMN($D$4))):indirect(address(row($C$4)+ VLOOKUP(U$3,$C$5:$C$16,1),COLUMN($L$4)))&gt;indirect(address(row($C14),COLUMN($D$4))):indirect(address(row($C14),COLUMN($L$4))),TRUE()))</f>
        <v>6</v>
      </c>
      <c r="V14" s="49" t="str">
        <f t="array" ref="V14">if(V$3=$C14,"-", countif(indirect(address(row($C$4)+ VLOOKUP(V$3,$C$5:$C$16,1),COLUMN($D$4))):indirect(address(row($C$4)+ VLOOKUP(V$3,$C$5:$C$16,1),COLUMN($L$4)))&gt;indirect(address(row($C14),COLUMN($D$4))):indirect(address(row($C14),COLUMN($L$4))),TRUE()))</f>
        <v>-</v>
      </c>
      <c r="W14" s="49">
        <f t="array" ref="W14">if(W$3=$C14,"-", countif(indirect(address(row($C$4)+ VLOOKUP(W$3,$C$5:$C$16,1),COLUMN($D$4))):indirect(address(row($C$4)+ VLOOKUP(W$3,$C$5:$C$16,1),COLUMN($L$4)))&gt;indirect(address(row($C14),COLUMN($D$4))):indirect(address(row($C14),COLUMN($L$4))),TRUE()))</f>
        <v>7</v>
      </c>
      <c r="X14" s="49">
        <f t="array" ref="X14">if(X$3=$C14,"-", countif(indirect(address(row($C$4)+ VLOOKUP(X$3,$C$5:$C$16,1),COLUMN($D$4))):indirect(address(row($C$4)+ VLOOKUP(X$3,$C$5:$C$16,1),COLUMN($L$4)))&gt;indirect(address(row($C14),COLUMN($D$4))):indirect(address(row($C14),COLUMN($L$4))),TRUE()))</f>
        <v>3</v>
      </c>
      <c r="Y14" s="49">
        <f t="array" ref="Y14">if(D$1=$C14,"-", countif(indirect(address(row($C$4)+ VLOOKUP(D$1,$C$5:$C$16,1),COLUMN($D$4))):indirect(address(row($C$4)+ VLOOKUP(D$1,$C$5:$C$16,1),COLUMN($L$4)))&gt;indirect(address(row($C14),COLUMN($D$4))):indirect(address(row($C14),COLUMN($L$4))),TRUE()))</f>
        <v>6</v>
      </c>
      <c r="Z14" s="23">
        <f>SUM(V$5:V$16)/99</f>
        <v>0.404040404</v>
      </c>
    </row>
    <row r="15">
      <c r="B15" s="13" t="b">
        <f>Draft!B13</f>
        <v>0</v>
      </c>
      <c r="C15" s="12">
        <v>11.0</v>
      </c>
      <c r="D15" s="23">
        <f>((IF(ISBLANK(Draft!C13),0,VLOOKUP(Draft!C13, 'NO USAR1'!A4:L1000,2,FALSE)+(IF(ISBLANK(Draft!D4),0,VLOOKUP(Draft!D4, 'NO USAR1'!A4:L1000,2,FALSE)+(IF(ISBLANK(Draft!E13),0,VLOOKUP(Draft!E13, 'NO USAR1'!A4:L1000,2,FALSE)+(IF(ISBLANK(Draft!F4),0,VLOOKUP(Draft!F4, 'NO USAR1'!A4:L1000,2,FALSE)+(IF(ISBLANK(Draft!G13),0,VLOOKUP(Draft!G13, 'NO USAR1'!A4:L1000,2,FALSE)+(IF(ISBLANK(Draft!H4),0,VLOOKUP(Draft!H4, 'NO USAR1'!A4:L1000,2,FALSE)+(IF(ISBLANK(Draft!I13),0,VLOOKUP(Draft!I13, 'NO USAR1'!A4:L1000,2,FALSE)+(IF(ISBLANK(Draft!J4),0,VLOOKUP(Draft!J4, 'NO USAR1'!A4:L1000,2,FALSE)+(IF(ISBLANK(Draft!K13),0,VLOOKUP(Draft!K13, 'NO USAR1'!A4:L1000,2,FALSE)+(IF(ISBLANK(Draft!L4),0,VLOOKUP(Draft!L4, 'NO USAR1'!A4:L1000,2,FALSE)+IF(ISBLANK(Draft!M13),0,VLOOKUP(Draft!M13, 'NO USAR1'!A4:L1000,2,FALSE)+IF(ISBLANK(Draft!N4),0,VLOOKUP(Draft!N4, 'NO USAR1'!A4:L1000,2,FALSE))))))))))))))))))))))))</f>
        <v>3.305983018</v>
      </c>
      <c r="E15" s="23">
        <f>((IF(ISBLANK(Draft!C13),0,VLOOKUP(Draft!C13, 'NO USAR1'!A4:L1000,3,FALSE)+(IF(ISBLANK(Draft!D4),0,VLOOKUP(Draft!D4, 'NO USAR1'!A4:L1000,3,FALSE)+(IF(ISBLANK(Draft!E13),0,VLOOKUP(Draft!E13, 'NO USAR1'!A4:L1000,3,FALSE)+(IF(ISBLANK(Draft!F4),0,VLOOKUP(Draft!F4, 'NO USAR1'!A4:L1000,3,FALSE)+(IF(ISBLANK(Draft!G13),0,VLOOKUP(Draft!G13, 'NO USAR1'!A4:L1000,3,FALSE)+(IF(ISBLANK(Draft!H4),0,VLOOKUP(Draft!H4, 'NO USAR1'!A4:L1000,3,FALSE)+(IF(ISBLANK(Draft!I13),0,VLOOKUP(Draft!I13, 'NO USAR1'!A4:L1000,3,FALSE)+(IF(ISBLANK(Draft!J4),0,VLOOKUP(Draft!J4, 'NO USAR1'!A4:L1000,3,FALSE)+(IF(ISBLANK(Draft!K13),0,VLOOKUP(Draft!K13, 'NO USAR1'!A4:L1000,3,FALSE)+(IF(ISBLANK(Draft!L4),0,VLOOKUP(Draft!L4, 'NO USAR1'!A4:L1000,3,FALSE)+IF(ISBLANK(Draft!M13),0,VLOOKUP(Draft!M13, 'NO USAR1'!A4:L1000,3,FALSE)+IF(ISBLANK(Draft!N4),0,VLOOKUP(Draft!N4, 'NO USAR1'!A4:L1000,3,FALSE))))))))))))))))))))))))</f>
        <v>0.979151118</v>
      </c>
      <c r="F15" s="23">
        <f>((IF(ISBLANK(Draft!C13),0,VLOOKUP(Draft!C13, 'NO USAR1'!A4:L1000,4,FALSE)+(IF(ISBLANK(Draft!D4),0,VLOOKUP(Draft!D4, 'NO USAR1'!A4:L1000,4,FALSE)+(IF(ISBLANK(Draft!E13),0,VLOOKUP(Draft!E13, 'NO USAR1'!A4:L1000,4,FALSE)+(IF(ISBLANK(Draft!F4),0,VLOOKUP(Draft!F4, 'NO USAR1'!A4:L1000,4,FALSE)+(IF(ISBLANK(Draft!G13),0,VLOOKUP(Draft!G13, 'NO USAR1'!A4:L1000,4,FALSE)+(IF(ISBLANK(Draft!H4),0,VLOOKUP(Draft!H4, 'NO USAR1'!A4:L1000,4,FALSE)+(IF(ISBLANK(Draft!I13),0,VLOOKUP(Draft!I13, 'NO USAR1'!A4:L1000,4,FALSE)+(IF(ISBLANK(Draft!J4),0,VLOOKUP(Draft!J4, 'NO USAR1'!A4:L1000,4,FALSE)+(IF(ISBLANK(Draft!K13),0,VLOOKUP(Draft!K13, 'NO USAR1'!A4:L1000,4,FALSE)+(IF(ISBLANK(Draft!L4),0,VLOOKUP(Draft!L4, 'NO USAR1'!A4:L1000,4,FALSE)+IF(ISBLANK(Draft!M13),0,VLOOKUP(Draft!M13, 'NO USAR1'!A4:L1000,4,FALSE)+IF(ISBLANK(Draft!N4),0,VLOOKUP(Draft!N4, 'NO USAR1'!A4:L1000,4,FALSE))))))))))))))))))))))))</f>
        <v>3.155313286</v>
      </c>
      <c r="G15" s="23">
        <f>((IF(ISBLANK(Draft!C13),0,VLOOKUP(Draft!C13, 'NO USAR1'!A4:L1000,5,FALSE)+(IF(ISBLANK(Draft!D4),0,VLOOKUP(Draft!D4, 'NO USAR1'!A4:L1000,5,FALSE)+(IF(ISBLANK(Draft!E13),0,VLOOKUP(Draft!E13, 'NO USAR1'!A4:L1000,5,FALSE)+(IF(ISBLANK(Draft!F4),0,VLOOKUP(Draft!F4, 'NO USAR1'!A4:L1000,5,FALSE)+(IF(ISBLANK(Draft!G13),0,VLOOKUP(Draft!G13, 'NO USAR1'!A4:L1000,5,FALSE)+(IF(ISBLANK(Draft!H4),0,VLOOKUP(Draft!H4, 'NO USAR1'!A4:L1000,5,FALSE)+(IF(ISBLANK(Draft!I13),0,VLOOKUP(Draft!I13, 'NO USAR1'!A4:L1000,5,FALSE)+(IF(ISBLANK(Draft!J4),0,VLOOKUP(Draft!J4, 'NO USAR1'!A4:L1000,5,FALSE)+(IF(ISBLANK(Draft!K13),0,VLOOKUP(Draft!K13, 'NO USAR1'!A4:L1000,5,FALSE)+(IF(ISBLANK(Draft!L4),0,VLOOKUP(Draft!L4, 'NO USAR1'!A4:L1000,5,FALSE)+IF(ISBLANK(Draft!M13),0,VLOOKUP(Draft!M13, 'NO USAR1'!A4:L1000,5,FALSE)+IF(ISBLANK(Draft!N4),0,VLOOKUP(Draft!N4, 'NO USAR1'!A4:L1000,5,FALSE))))))))))))))))))))))))</f>
        <v>1.452701483</v>
      </c>
      <c r="H15" s="23">
        <f>((IF(ISBLANK(Draft!C13),0,VLOOKUP(Draft!C13, 'NO USAR1'!A4:L1000,6,FALSE)+(IF(ISBLANK(Draft!D4),0,VLOOKUP(Draft!D4, 'NO USAR1'!A4:L1000,6,FALSE)+(IF(ISBLANK(Draft!E13),0,VLOOKUP(Draft!E13, 'NO USAR1'!A4:L1000,6,FALSE)+(IF(ISBLANK(Draft!F4),0,VLOOKUP(Draft!F4, 'NO USAR1'!A4:L1000,6,FALSE)+(IF(ISBLANK(Draft!G13),0,VLOOKUP(Draft!G13, 'NO USAR1'!A4:L1000,6,FALSE)+(IF(ISBLANK(Draft!H4),0,VLOOKUP(Draft!H4, 'NO USAR1'!A4:L1000,6,FALSE)+(IF(ISBLANK(Draft!I13),0,VLOOKUP(Draft!I13, 'NO USAR1'!A4:L1000,6,FALSE)+(IF(ISBLANK(Draft!J4),0,VLOOKUP(Draft!J4, 'NO USAR1'!A4:L1000,6,FALSE)+(IF(ISBLANK(Draft!K13),0,VLOOKUP(Draft!K13, 'NO USAR1'!A4:L1000,6,FALSE)+(IF(ISBLANK(Draft!L4),0,VLOOKUP(Draft!L4, 'NO USAR1'!A4:L1000,6,FALSE)+IF(ISBLANK(Draft!M13),0,VLOOKUP(Draft!M13, 'NO USAR1'!A4:L1000,6,FALSE)+IF(ISBLANK(Draft!N4),0,VLOOKUP(Draft!N4, 'NO USAR1'!A4:L1000,6,FALSE))))))))))))))))))))))))</f>
        <v>2.170754687</v>
      </c>
      <c r="I15" s="23">
        <f>((IF(ISBLANK(Draft!C13),0,VLOOKUP(Draft!C13, 'NO USAR1'!A4:L1000,7,FALSE)+(IF(ISBLANK(Draft!D4),0,VLOOKUP(Draft!D4, 'NO USAR1'!A4:L1000,7,FALSE)+(IF(ISBLANK(Draft!E13),0,VLOOKUP(Draft!E13, 'NO USAR1'!A4:L1000,7,FALSE)+(IF(ISBLANK(Draft!F4),0,VLOOKUP(Draft!F4, 'NO USAR1'!A4:L1000,7,FALSE)+(IF(ISBLANK(Draft!G13),0,VLOOKUP(Draft!G13, 'NO USAR1'!A4:L1000,7,FALSE)+(IF(ISBLANK(Draft!H4),0,VLOOKUP(Draft!H4, 'NO USAR1'!A4:L1000,7,FALSE)+(IF(ISBLANK(Draft!I13),0,VLOOKUP(Draft!I13, 'NO USAR1'!A4:L1000,7,FALSE)+(IF(ISBLANK(Draft!J4),0,VLOOKUP(Draft!J4, 'NO USAR1'!A4:L1000,7,FALSE)+(IF(ISBLANK(Draft!K13),0,VLOOKUP(Draft!K13, 'NO USAR1'!A4:L1000,7,FALSE)+(IF(ISBLANK(Draft!L4),0,VLOOKUP(Draft!L4, 'NO USAR1'!A4:L1000,7,FALSE)+IF(ISBLANK(Draft!M13),0,VLOOKUP(Draft!M13, 'NO USAR1'!A4:L1000,7,FALSE)+IF(ISBLANK(Draft!N4),0,VLOOKUP(Draft!N4, 'NO USAR1'!A4:L1000,7,FALSE))))))))))))))))))))))))</f>
        <v>-0.9801877523</v>
      </c>
      <c r="J15" s="23">
        <f>((IF(ISBLANK(Draft!C13),0,VLOOKUP(Draft!C13, 'NO USAR1'!A4:L1000,8,FALSE)+(IF(ISBLANK(Draft!D4),0,VLOOKUP(Draft!D4, 'NO USAR1'!A4:L1000,8,FALSE)+(IF(ISBLANK(Draft!E13),0,VLOOKUP(Draft!E13, 'NO USAR1'!A4:L1000,8,FALSE)+(IF(ISBLANK(Draft!F4),0,VLOOKUP(Draft!F4, 'NO USAR1'!A4:L1000,8,FALSE)+(IF(ISBLANK(Draft!G13),0,VLOOKUP(Draft!G13, 'NO USAR1'!A4:L1000,8,FALSE)+(IF(ISBLANK(Draft!H4),0,VLOOKUP(Draft!H4, 'NO USAR1'!A4:L1000,8,FALSE)+(IF(ISBLANK(Draft!I13),0,VLOOKUP(Draft!I13, 'NO USAR1'!A4:L1000,8,FALSE)+(IF(ISBLANK(Draft!J4),0,VLOOKUP(Draft!J4, 'NO USAR1'!A4:L1000,8,FALSE)+(IF(ISBLANK(Draft!K13),0,VLOOKUP(Draft!K13, 'NO USAR1'!A4:L1000,8,FALSE)+(IF(ISBLANK(Draft!L4),0,VLOOKUP(Draft!L4, 'NO USAR1'!A4:L1000,8,FALSE)+IF(ISBLANK(Draft!M13),0,VLOOKUP(Draft!M13, 'NO USAR1'!A4:L1000,8,FALSE)+IF(ISBLANK(Draft!N4),0,VLOOKUP(Draft!N4, 'NO USAR1'!A4:L1000,8,FALSE))))))))))))))))))))))))</f>
        <v>0.147806941</v>
      </c>
      <c r="K15" s="23">
        <f>((IF(ISBLANK(Draft!C13),0,VLOOKUP(Draft!C13, 'NO USAR1'!A4:L1000,10,FALSE)+(IF(ISBLANK(Draft!D4),0,VLOOKUP(Draft!D4, 'NO USAR1'!A4:L1000,10,FALSE)+(IF(ISBLANK(Draft!E13),0,VLOOKUP(Draft!E13, 'NO USAR1'!A4:L1000,10,FALSE)+(IF(ISBLANK(Draft!F4),0,VLOOKUP(Draft!F4, 'NO USAR1'!A4:L1000,10,FALSE)+(IF(ISBLANK(Draft!G13),0,VLOOKUP(Draft!G13, 'NO USAR1'!A4:L1000,10,FALSE)+(IF(ISBLANK(Draft!H4),0,VLOOKUP(Draft!H4, 'NO USAR1'!A4:L1000,10,FALSE)+(IF(ISBLANK(Draft!I13),0,VLOOKUP(Draft!I13, 'NO USAR1'!A4:L1000,10,FALSE)+(IF(ISBLANK(Draft!J4),0,VLOOKUP(Draft!J4, 'NO USAR1'!A4:L1000,10,FALSE)+(IF(ISBLANK(Draft!K13),0,VLOOKUP(Draft!K13, 'NO USAR1'!A4:L1000,10,FALSE)+(IF(ISBLANK(Draft!L4),0,VLOOKUP(Draft!L4, 'NO USAR1'!A4:L1000,10,FALSE)+IF(ISBLANK(Draft!M13),0,VLOOKUP(Draft!M13, 'NO USAR1'!A4:L1000,10,FALSE)+IF(ISBLANK(Draft!N4),0,VLOOKUP(Draft!N4, 'NO USAR1'!A4:L1000,10,FALSE))))))))))))))))))))))))</f>
        <v>-2.099275828</v>
      </c>
      <c r="L15" s="23">
        <f>((IF(ISBLANK(Draft!C13),0,VLOOKUP(Draft!C13, 'NO USAR1'!A4:L1000,12,FALSE)+(IF(ISBLANK(Draft!D4),0,VLOOKUP(Draft!D4, 'NO USAR1'!A4:L1000,12,FALSE)+(IF(ISBLANK(Draft!E13),0,VLOOKUP(Draft!E13, 'NO USAR1'!A4:L1000,12,FALSE)+(IF(ISBLANK(Draft!F4),0,VLOOKUP(Draft!F4, 'NO USAR1'!A4:L1000,12,FALSE)+(IF(ISBLANK(Draft!G13),0,VLOOKUP(Draft!G13, 'NO USAR1'!A4:L1000,12,FALSE)+(IF(ISBLANK(Draft!H4),0,VLOOKUP(Draft!H4, 'NO USAR1'!A4:L1000,12,FALSE)+(IF(ISBLANK(Draft!I13),0,VLOOKUP(Draft!I13, 'NO USAR1'!A4:L1000,12,FALSE)+(IF(ISBLANK(Draft!J4),0,VLOOKUP(Draft!J4, 'NO USAR1'!A4:L1000,12,FALSE)+(IF(ISBLANK(Draft!K13),0,VLOOKUP(Draft!K13, 'NO USAR1'!A4:L1000,12,FALSE)+(IF(ISBLANK(Draft!L4),0,VLOOKUP(Draft!L4, 'NO USAR1'!A4:L1000,12,FALSE)+IF(ISBLANK(Draft!M13),0,VLOOKUP(Draft!M13, 'NO USAR1'!A4:L1000,12,FALSE)+IF(ISBLANK(Draft!N4),0,VLOOKUP(Draft!N4, 'NO USAR1'!A4:L1000,12,FALSE))))))))))))))))))))))))</f>
        <v>-3.435400378</v>
      </c>
      <c r="M15" s="49">
        <f t="array" ref="M15">if(M$3=$C15,"-", countif(indirect(address(row($C$4)+ VLOOKUP(M$3,$C$5:$C$16,1),COLUMN($D$4))):indirect(address(row($C$4)+ VLOOKUP(M$3,$C$5:$C$16,1),COLUMN($L$4)))&gt;indirect(address(row($C15),COLUMN($D$4))):indirect(address(row($C15),COLUMN($L$4))),TRUE()))</f>
        <v>4</v>
      </c>
      <c r="N15" s="49">
        <f t="array" ref="N15">if(N$3=$C15,"-", countif(indirect(address(row($C$4)+ VLOOKUP(N$3,$C$5:$C$16,1),COLUMN($D$4))):indirect(address(row($C$4)+ VLOOKUP(N$3,$C$5:$C$16,1),COLUMN($L$4)))&gt;indirect(address(row($C15),COLUMN($D$4))):indirect(address(row($C15),COLUMN($L$4))),TRUE()))</f>
        <v>4</v>
      </c>
      <c r="O15" s="49">
        <f t="array" ref="O15">if(O$3=$C15,"-", countif(indirect(address(row($C$4)+ VLOOKUP(O$3,$C$5:$C$16,1),COLUMN($D$4))):indirect(address(row($C$4)+ VLOOKUP(O$3,$C$5:$C$16,1),COLUMN($L$4)))&gt;indirect(address(row($C15),COLUMN($D$4))):indirect(address(row($C15),COLUMN($L$4))),TRUE()))</f>
        <v>5</v>
      </c>
      <c r="P15" s="49">
        <f t="array" ref="P15">if(P$3=$C15,"-", countif(indirect(address(row($C$4)+ VLOOKUP(P$3,$C$5:$C$16,1),COLUMN($D$4))):indirect(address(row($C$4)+ VLOOKUP(P$3,$C$5:$C$16,1),COLUMN($L$4)))&gt;indirect(address(row($C15),COLUMN($D$4))):indirect(address(row($C15),COLUMN($L$4))),TRUE()))</f>
        <v>4</v>
      </c>
      <c r="Q15" s="49">
        <f t="array" ref="Q15">if(Q$3=$C15,"-", countif(indirect(address(row($C$4)+ VLOOKUP(Q$3,$C$5:$C$16,1),COLUMN($D$4))):indirect(address(row($C$4)+ VLOOKUP(Q$3,$C$5:$C$16,1),COLUMN($L$4)))&gt;indirect(address(row($C15),COLUMN($D$4))):indirect(address(row($C15),COLUMN($L$4))),TRUE()))</f>
        <v>3</v>
      </c>
      <c r="R15" s="49">
        <f t="array" ref="R15">if(R$3=$C15,"-", countif(indirect(address(row($C$4)+ VLOOKUP(R$3,$C$5:$C$16,1),COLUMN($D$4))):indirect(address(row($C$4)+ VLOOKUP(R$3,$C$5:$C$16,1),COLUMN($L$4)))&gt;indirect(address(row($C15),COLUMN($D$4))):indirect(address(row($C15),COLUMN($L$4))),TRUE()))</f>
        <v>4</v>
      </c>
      <c r="S15" s="49">
        <f t="array" ref="S15">if(S$3=$C15,"-", countif(indirect(address(row($C$4)+ VLOOKUP(S$3,$C$5:$C$16,1),COLUMN($D$4))):indirect(address(row($C$4)+ VLOOKUP(S$3,$C$5:$C$16,1),COLUMN($L$4)))&gt;indirect(address(row($C15),COLUMN($D$4))):indirect(address(row($C15),COLUMN($L$4))),TRUE()))</f>
        <v>4</v>
      </c>
      <c r="T15" s="49">
        <f t="array" ref="T15">if(T$3=$C15,"-", countif(indirect(address(row($C$4)+ VLOOKUP(T$3,$C$5:$C$16,1),COLUMN($D$4))):indirect(address(row($C$4)+ VLOOKUP(T$3,$C$5:$C$16,1),COLUMN($L$4)))&gt;indirect(address(row($C15),COLUMN($D$4))):indirect(address(row($C15),COLUMN($L$4))),TRUE()))</f>
        <v>3</v>
      </c>
      <c r="U15" s="49">
        <f t="array" ref="U15">if(U$3=$C15,"-", countif(indirect(address(row($C$4)+ VLOOKUP(U$3,$C$5:$C$16,1),COLUMN($D$4))):indirect(address(row($C$4)+ VLOOKUP(U$3,$C$5:$C$16,1),COLUMN($L$4)))&gt;indirect(address(row($C15),COLUMN($D$4))):indirect(address(row($C15),COLUMN($L$4))),TRUE()))</f>
        <v>4</v>
      </c>
      <c r="V15" s="49">
        <f t="array" ref="V15">if(V$3=$C15,"-", countif(indirect(address(row($C$4)+ VLOOKUP(V$3,$C$5:$C$16,1),COLUMN($D$4))):indirect(address(row($C$4)+ VLOOKUP(V$3,$C$5:$C$16,1),COLUMN($L$4)))&gt;indirect(address(row($C15),COLUMN($D$4))):indirect(address(row($C15),COLUMN($L$4))),TRUE()))</f>
        <v>2</v>
      </c>
      <c r="W15" s="49" t="str">
        <f t="array" ref="W15">if(W$3=$C15,"-", countif(indirect(address(row($C$4)+ VLOOKUP(W$3,$C$5:$C$16,1),COLUMN($D$4))):indirect(address(row($C$4)+ VLOOKUP(W$3,$C$5:$C$16,1),COLUMN($L$4)))&gt;indirect(address(row($C15),COLUMN($D$4))):indirect(address(row($C15),COLUMN($L$4))),TRUE()))</f>
        <v>-</v>
      </c>
      <c r="X15" s="49">
        <f t="array" ref="X15">if(X$3=$C15,"-", countif(indirect(address(row($C$4)+ VLOOKUP(X$3,$C$5:$C$16,1),COLUMN($D$4))):indirect(address(row($C$4)+ VLOOKUP(X$3,$C$5:$C$16,1),COLUMN($L$4)))&gt;indirect(address(row($C15),COLUMN($D$4))):indirect(address(row($C15),COLUMN($L$4))),TRUE()))</f>
        <v>4</v>
      </c>
      <c r="Y15" s="49">
        <f t="array" ref="Y15">if(D$1=$C15,"-", countif(indirect(address(row($C$4)+ VLOOKUP(D$1,$C$5:$C$16,1),COLUMN($D$4))):indirect(address(row($C$4)+ VLOOKUP(D$1,$C$5:$C$16,1),COLUMN($L$4)))&gt;indirect(address(row($C15),COLUMN($D$4))):indirect(address(row($C15),COLUMN($L$4))),TRUE()))</f>
        <v>4</v>
      </c>
      <c r="Z15" s="23">
        <f>SUM(W$5:W$16)/99</f>
        <v>0.5858585859</v>
      </c>
    </row>
    <row r="16">
      <c r="B16" s="13" t="b">
        <f>Draft!B14</f>
        <v>0</v>
      </c>
      <c r="C16" s="12">
        <v>12.0</v>
      </c>
      <c r="D16" s="23">
        <f>((IF(ISBLANK(Draft!C14),0,VLOOKUP(Draft!C14, 'NO USAR1'!A4:L1000,2,FALSE)+(IF(ISBLANK(Draft!D3),0,VLOOKUP(Draft!D3, 'NO USAR1'!A4:L1000,2,FALSE)+(IF(ISBLANK(Draft!E14),0,VLOOKUP(Draft!E14, 'NO USAR1'!A4:L1000,2,FALSE)+(IF(ISBLANK(Draft!F3),0,VLOOKUP(Draft!F3, 'NO USAR1'!A4:L1000,2,FALSE)+(IF(ISBLANK(Draft!G14),0,VLOOKUP(Draft!G14, 'NO USAR1'!A4:L1000,2,FALSE)+(IF(ISBLANK(Draft!H3),0,VLOOKUP(Draft!H3, 'NO USAR1'!A4:L1000,2,FALSE)+(IF(ISBLANK(Draft!I14),0,VLOOKUP(Draft!I14, 'NO USAR1'!A4:L1000,2,FALSE)+(IF(ISBLANK(Draft!J3),0,VLOOKUP(Draft!J3, 'NO USAR1'!A4:L1000,2,FALSE)+(IF(ISBLANK(Draft!K14),0,VLOOKUP(Draft!K14, 'NO USAR1'!A4:L1000,2,FALSE)+(IF(ISBLANK(Draft!L3),0,VLOOKUP(Draft!L3, 'NO USAR1'!A4:L1000,2,FALSE)+IF(ISBLANK(Draft!M14),0,VLOOKUP(Draft!M14, 'NO USAR1'!A4:L1000,2,FALSE)+IF(ISBLANK(Draft!N3),0,VLOOKUP(Draft!N3, 'NO USAR1'!A4:L1000,2,FALSE))))))))))))))))))))))))</f>
        <v>0.2337587819</v>
      </c>
      <c r="E16" s="23">
        <f>((IF(ISBLANK(Draft!C14),0,VLOOKUP(Draft!C14, 'NO USAR1'!A4:L1000,3,FALSE)+(IF(ISBLANK(Draft!D3),0,VLOOKUP(Draft!D3, 'NO USAR1'!A4:L1000,3,FALSE)+(IF(ISBLANK(Draft!E14),0,VLOOKUP(Draft!E14, 'NO USAR1'!A4:L1000,3,FALSE)+(IF(ISBLANK(Draft!F3),0,VLOOKUP(Draft!F3, 'NO USAR1'!A4:L1000,3,FALSE)+(IF(ISBLANK(Draft!G14),0,VLOOKUP(Draft!G14, 'NO USAR1'!A4:L1000,3,FALSE)+(IF(ISBLANK(Draft!H3),0,VLOOKUP(Draft!H3, 'NO USAR1'!A4:L1000,3,FALSE)+(IF(ISBLANK(Draft!I14),0,VLOOKUP(Draft!I14, 'NO USAR1'!A4:L1000,3,FALSE)+(IF(ISBLANK(Draft!J3),0,VLOOKUP(Draft!J3, 'NO USAR1'!A4:L1000,3,FALSE)+(IF(ISBLANK(Draft!K14),0,VLOOKUP(Draft!K14, 'NO USAR1'!A4:L1000,3,FALSE)+(IF(ISBLANK(Draft!L3),0,VLOOKUP(Draft!L3, 'NO USAR1'!A4:L1000,3,FALSE)+IF(ISBLANK(Draft!M14),0,VLOOKUP(Draft!M14, 'NO USAR1'!A4:L1000,3,FALSE)+IF(ISBLANK(Draft!N3),0,VLOOKUP(Draft!N3, 'NO USAR1'!A4:L1000,3,FALSE))))))))))))))))))))))))</f>
        <v>2.552235573</v>
      </c>
      <c r="F16" s="23">
        <f>((IF(ISBLANK(Draft!C14),0,VLOOKUP(Draft!C14, 'NO USAR1'!A4:L1000,4,FALSE)+(IF(ISBLANK(Draft!D3),0,VLOOKUP(Draft!D3, 'NO USAR1'!A4:L1000,4,FALSE)+(IF(ISBLANK(Draft!E14),0,VLOOKUP(Draft!E14, 'NO USAR1'!A4:L1000,4,FALSE)+(IF(ISBLANK(Draft!F3),0,VLOOKUP(Draft!F3, 'NO USAR1'!A4:L1000,4,FALSE)+(IF(ISBLANK(Draft!G14),0,VLOOKUP(Draft!G14, 'NO USAR1'!A4:L1000,4,FALSE)+(IF(ISBLANK(Draft!H3),0,VLOOKUP(Draft!H3, 'NO USAR1'!A4:L1000,4,FALSE)+(IF(ISBLANK(Draft!I14),0,VLOOKUP(Draft!I14, 'NO USAR1'!A4:L1000,4,FALSE)+(IF(ISBLANK(Draft!J3),0,VLOOKUP(Draft!J3, 'NO USAR1'!A4:L1000,4,FALSE)+(IF(ISBLANK(Draft!K14),0,VLOOKUP(Draft!K14, 'NO USAR1'!A4:L1000,4,FALSE)+(IF(ISBLANK(Draft!L3),0,VLOOKUP(Draft!L3, 'NO USAR1'!A4:L1000,4,FALSE)+IF(ISBLANK(Draft!M14),0,VLOOKUP(Draft!M14, 'NO USAR1'!A4:L1000,4,FALSE)+IF(ISBLANK(Draft!N3),0,VLOOKUP(Draft!N3, 'NO USAR1'!A4:L1000,4,FALSE))))))))))))))))))))))))</f>
        <v>-4.090099162</v>
      </c>
      <c r="G16" s="23">
        <f>((IF(ISBLANK(Draft!C14),0,VLOOKUP(Draft!C14, 'NO USAR1'!A4:L1000,5,FALSE)+(IF(ISBLANK(Draft!D3),0,VLOOKUP(Draft!D3, 'NO USAR1'!A4:L1000,5,FALSE)+(IF(ISBLANK(Draft!E14),0,VLOOKUP(Draft!E14, 'NO USAR1'!A4:L1000,5,FALSE)+(IF(ISBLANK(Draft!F3),0,VLOOKUP(Draft!F3, 'NO USAR1'!A4:L1000,5,FALSE)+(IF(ISBLANK(Draft!G14),0,VLOOKUP(Draft!G14, 'NO USAR1'!A4:L1000,5,FALSE)+(IF(ISBLANK(Draft!H3),0,VLOOKUP(Draft!H3, 'NO USAR1'!A4:L1000,5,FALSE)+(IF(ISBLANK(Draft!I14),0,VLOOKUP(Draft!I14, 'NO USAR1'!A4:L1000,5,FALSE)+(IF(ISBLANK(Draft!J3),0,VLOOKUP(Draft!J3, 'NO USAR1'!A4:L1000,5,FALSE)+(IF(ISBLANK(Draft!K14),0,VLOOKUP(Draft!K14, 'NO USAR1'!A4:L1000,5,FALSE)+(IF(ISBLANK(Draft!L3),0,VLOOKUP(Draft!L3, 'NO USAR1'!A4:L1000,5,FALSE)+IF(ISBLANK(Draft!M14),0,VLOOKUP(Draft!M14, 'NO USAR1'!A4:L1000,5,FALSE)+IF(ISBLANK(Draft!N3),0,VLOOKUP(Draft!N3, 'NO USAR1'!A4:L1000,5,FALSE))))))))))))))))))))))))</f>
        <v>3.185770369</v>
      </c>
      <c r="H16" s="23">
        <f>((IF(ISBLANK(Draft!C14),0,VLOOKUP(Draft!C14, 'NO USAR1'!A4:L1000,6,FALSE)+(IF(ISBLANK(Draft!D3),0,VLOOKUP(Draft!D3, 'NO USAR1'!A4:L1000,6,FALSE)+(IF(ISBLANK(Draft!E14),0,VLOOKUP(Draft!E14, 'NO USAR1'!A4:L1000,6,FALSE)+(IF(ISBLANK(Draft!F3),0,VLOOKUP(Draft!F3, 'NO USAR1'!A4:L1000,6,FALSE)+(IF(ISBLANK(Draft!G14),0,VLOOKUP(Draft!G14, 'NO USAR1'!A4:L1000,6,FALSE)+(IF(ISBLANK(Draft!H3),0,VLOOKUP(Draft!H3, 'NO USAR1'!A4:L1000,6,FALSE)+(IF(ISBLANK(Draft!I14),0,VLOOKUP(Draft!I14, 'NO USAR1'!A4:L1000,6,FALSE)+(IF(ISBLANK(Draft!J3),0,VLOOKUP(Draft!J3, 'NO USAR1'!A4:L1000,6,FALSE)+(IF(ISBLANK(Draft!K14),0,VLOOKUP(Draft!K14, 'NO USAR1'!A4:L1000,6,FALSE)+(IF(ISBLANK(Draft!L3),0,VLOOKUP(Draft!L3, 'NO USAR1'!A4:L1000,6,FALSE)+IF(ISBLANK(Draft!M14),0,VLOOKUP(Draft!M14, 'NO USAR1'!A4:L1000,6,FALSE)+IF(ISBLANK(Draft!N3),0,VLOOKUP(Draft!N3, 'NO USAR1'!A4:L1000,6,FALSE))))))))))))))))))))))))</f>
        <v>3.77961534</v>
      </c>
      <c r="I16" s="23">
        <f>((IF(ISBLANK(Draft!C14),0,VLOOKUP(Draft!C14, 'NO USAR1'!A4:L1000,7,FALSE)+(IF(ISBLANK(Draft!D3),0,VLOOKUP(Draft!D3, 'NO USAR1'!A4:L1000,7,FALSE)+(IF(ISBLANK(Draft!E14),0,VLOOKUP(Draft!E14, 'NO USAR1'!A4:L1000,7,FALSE)+(IF(ISBLANK(Draft!F3),0,VLOOKUP(Draft!F3, 'NO USAR1'!A4:L1000,7,FALSE)+(IF(ISBLANK(Draft!G14),0,VLOOKUP(Draft!G14, 'NO USAR1'!A4:L1000,7,FALSE)+(IF(ISBLANK(Draft!H3),0,VLOOKUP(Draft!H3, 'NO USAR1'!A4:L1000,7,FALSE)+(IF(ISBLANK(Draft!I14),0,VLOOKUP(Draft!I14, 'NO USAR1'!A4:L1000,7,FALSE)+(IF(ISBLANK(Draft!J3),0,VLOOKUP(Draft!J3, 'NO USAR1'!A4:L1000,7,FALSE)+(IF(ISBLANK(Draft!K14),0,VLOOKUP(Draft!K14, 'NO USAR1'!A4:L1000,7,FALSE)+(IF(ISBLANK(Draft!L3),0,VLOOKUP(Draft!L3, 'NO USAR1'!A4:L1000,7,FALSE)+IF(ISBLANK(Draft!M14),0,VLOOKUP(Draft!M14, 'NO USAR1'!A4:L1000,7,FALSE)+IF(ISBLANK(Draft!N3),0,VLOOKUP(Draft!N3, 'NO USAR1'!A4:L1000,7,FALSE))))))))))))))))))))))))</f>
        <v>-2.617059824</v>
      </c>
      <c r="J16" s="23">
        <f>((IF(ISBLANK(Draft!C14),0,VLOOKUP(Draft!C14, 'NO USAR1'!A4:L1000,8,FALSE)+(IF(ISBLANK(Draft!D3),0,VLOOKUP(Draft!D3, 'NO USAR1'!A4:L1000,8,FALSE)+(IF(ISBLANK(Draft!E14),0,VLOOKUP(Draft!E14, 'NO USAR1'!A4:L1000,8,FALSE)+(IF(ISBLANK(Draft!F3),0,VLOOKUP(Draft!F3, 'NO USAR1'!A4:L1000,8,FALSE)+(IF(ISBLANK(Draft!G14),0,VLOOKUP(Draft!G14, 'NO USAR1'!A4:L1000,8,FALSE)+(IF(ISBLANK(Draft!H3),0,VLOOKUP(Draft!H3, 'NO USAR1'!A4:L1000,8,FALSE)+(IF(ISBLANK(Draft!I14),0,VLOOKUP(Draft!I14, 'NO USAR1'!A4:L1000,8,FALSE)+(IF(ISBLANK(Draft!J3),0,VLOOKUP(Draft!J3, 'NO USAR1'!A4:L1000,8,FALSE)+(IF(ISBLANK(Draft!K14),0,VLOOKUP(Draft!K14, 'NO USAR1'!A4:L1000,8,FALSE)+(IF(ISBLANK(Draft!L3),0,VLOOKUP(Draft!L3, 'NO USAR1'!A4:L1000,8,FALSE)+IF(ISBLANK(Draft!M14),0,VLOOKUP(Draft!M14, 'NO USAR1'!A4:L1000,8,FALSE)+IF(ISBLANK(Draft!N3),0,VLOOKUP(Draft!N3, 'NO USAR1'!A4:L1000,8,FALSE))))))))))))))))))))))))</f>
        <v>-6.419667548</v>
      </c>
      <c r="K16" s="23">
        <f>((IF(ISBLANK(Draft!C14),0,VLOOKUP(Draft!C14, 'NO USAR1'!A4:L1000,10,FALSE)+(IF(ISBLANK(Draft!D3),0,VLOOKUP(Draft!D3, 'NO USAR1'!A4:L1000,10,FALSE)+(IF(ISBLANK(Draft!E14),0,VLOOKUP(Draft!E14, 'NO USAR1'!A4:L1000,10,FALSE)+(IF(ISBLANK(Draft!F3),0,VLOOKUP(Draft!F3, 'NO USAR1'!A4:L1000,10,FALSE)+(IF(ISBLANK(Draft!G14),0,VLOOKUP(Draft!G14, 'NO USAR1'!A4:L1000,10,FALSE)+(IF(ISBLANK(Draft!H3),0,VLOOKUP(Draft!H3, 'NO USAR1'!A4:L1000,10,FALSE)+(IF(ISBLANK(Draft!I14),0,VLOOKUP(Draft!I14, 'NO USAR1'!A4:L1000,10,FALSE)+(IF(ISBLANK(Draft!J3),0,VLOOKUP(Draft!J3, 'NO USAR1'!A4:L1000,10,FALSE)+(IF(ISBLANK(Draft!K14),0,VLOOKUP(Draft!K14, 'NO USAR1'!A4:L1000,10,FALSE)+(IF(ISBLANK(Draft!L3),0,VLOOKUP(Draft!L3, 'NO USAR1'!A4:L1000,10,FALSE)+IF(ISBLANK(Draft!M14),0,VLOOKUP(Draft!M14, 'NO USAR1'!A4:L1000,10,FALSE)+IF(ISBLANK(Draft!N3),0,VLOOKUP(Draft!N3, 'NO USAR1'!A4:L1000,10,FALSE))))))))))))))))))))))))</f>
        <v>2.428977789</v>
      </c>
      <c r="L16" s="23">
        <f>((IF(ISBLANK(Draft!C14),0,VLOOKUP(Draft!C14, 'NO USAR1'!A4:L1000,12,FALSE)+(IF(ISBLANK(Draft!D3),0,VLOOKUP(Draft!D3, 'NO USAR1'!A4:L1000,12,FALSE)+(IF(ISBLANK(Draft!E14),0,VLOOKUP(Draft!E14, 'NO USAR1'!A4:L1000,12,FALSE)+(IF(ISBLANK(Draft!F3),0,VLOOKUP(Draft!F3, 'NO USAR1'!A4:L1000,12,FALSE)+(IF(ISBLANK(Draft!G14),0,VLOOKUP(Draft!G14, 'NO USAR1'!A4:L1000,12,FALSE)+(IF(ISBLANK(Draft!H3),0,VLOOKUP(Draft!H3, 'NO USAR1'!A4:L1000,12,FALSE)+(IF(ISBLANK(Draft!I14),0,VLOOKUP(Draft!I14, 'NO USAR1'!A4:L1000,12,FALSE)+(IF(ISBLANK(Draft!J3),0,VLOOKUP(Draft!J3, 'NO USAR1'!A4:L1000,12,FALSE)+(IF(ISBLANK(Draft!K14),0,VLOOKUP(Draft!K14, 'NO USAR1'!A4:L1000,12,FALSE)+(IF(ISBLANK(Draft!L3),0,VLOOKUP(Draft!L3, 'NO USAR1'!A4:L1000,12,FALSE)+IF(ISBLANK(Draft!M14),0,VLOOKUP(Draft!M14, 'NO USAR1'!A4:L1000,12,FALSE)+IF(ISBLANK(Draft!N3),0,VLOOKUP(Draft!N3, 'NO USAR1'!A4:L1000,12,FALSE))))))))))))))))))))))))</f>
        <v>-3.499841912</v>
      </c>
      <c r="M16" s="49">
        <f t="array" ref="M16">if(M$3=$C16,"-", countif(indirect(address(row($C$4)+ VLOOKUP(M$3,$C$5:$C$16,1),COLUMN($D$4))):indirect(address(row($C$4)+ VLOOKUP(M$3,$C$5:$C$16,1),COLUMN($L$4)))&gt;indirect(address(row($C16),COLUMN($D$4))):indirect(address(row($C16),COLUMN($L$4))),TRUE()))</f>
        <v>5</v>
      </c>
      <c r="N16" s="49">
        <f t="array" ref="N16">if(N$3=$C16,"-", countif(indirect(address(row($C$4)+ VLOOKUP(N$3,$C$5:$C$16,1),COLUMN($D$4))):indirect(address(row($C$4)+ VLOOKUP(N$3,$C$5:$C$16,1),COLUMN($L$4)))&gt;indirect(address(row($C16),COLUMN($D$4))):indirect(address(row($C16),COLUMN($L$4))),TRUE()))</f>
        <v>4</v>
      </c>
      <c r="O16" s="49">
        <f t="array" ref="O16">if(O$3=$C16,"-", countif(indirect(address(row($C$4)+ VLOOKUP(O$3,$C$5:$C$16,1),COLUMN($D$4))):indirect(address(row($C$4)+ VLOOKUP(O$3,$C$5:$C$16,1),COLUMN($L$4)))&gt;indirect(address(row($C16),COLUMN($D$4))):indirect(address(row($C16),COLUMN($L$4))),TRUE()))</f>
        <v>5</v>
      </c>
      <c r="P16" s="49">
        <f t="array" ref="P16">if(P$3=$C16,"-", countif(indirect(address(row($C$4)+ VLOOKUP(P$3,$C$5:$C$16,1),COLUMN($D$4))):indirect(address(row($C$4)+ VLOOKUP(P$3,$C$5:$C$16,1),COLUMN($L$4)))&gt;indirect(address(row($C16),COLUMN($D$4))):indirect(address(row($C16),COLUMN($L$4))),TRUE()))</f>
        <v>4</v>
      </c>
      <c r="Q16" s="49">
        <f t="array" ref="Q16">if(Q$3=$C16,"-", countif(indirect(address(row($C$4)+ VLOOKUP(Q$3,$C$5:$C$16,1),COLUMN($D$4))):indirect(address(row($C$4)+ VLOOKUP(Q$3,$C$5:$C$16,1),COLUMN($L$4)))&gt;indirect(address(row($C16),COLUMN($D$4))):indirect(address(row($C16),COLUMN($L$4))),TRUE()))</f>
        <v>5</v>
      </c>
      <c r="R16" s="49">
        <f t="array" ref="R16">if(R$3=$C16,"-", countif(indirect(address(row($C$4)+ VLOOKUP(R$3,$C$5:$C$16,1),COLUMN($D$4))):indirect(address(row($C$4)+ VLOOKUP(R$3,$C$5:$C$16,1),COLUMN($L$4)))&gt;indirect(address(row($C16),COLUMN($D$4))):indirect(address(row($C16),COLUMN($L$4))),TRUE()))</f>
        <v>7</v>
      </c>
      <c r="S16" s="49">
        <f t="array" ref="S16">if(S$3=$C16,"-", countif(indirect(address(row($C$4)+ VLOOKUP(S$3,$C$5:$C$16,1),COLUMN($D$4))):indirect(address(row($C$4)+ VLOOKUP(S$3,$C$5:$C$16,1),COLUMN($L$4)))&gt;indirect(address(row($C16),COLUMN($D$4))):indirect(address(row($C16),COLUMN($L$4))),TRUE()))</f>
        <v>4</v>
      </c>
      <c r="T16" s="49">
        <f t="array" ref="T16">if(T$3=$C16,"-", countif(indirect(address(row($C$4)+ VLOOKUP(T$3,$C$5:$C$16,1),COLUMN($D$4))):indirect(address(row($C$4)+ VLOOKUP(T$3,$C$5:$C$16,1),COLUMN($L$4)))&gt;indirect(address(row($C16),COLUMN($D$4))):indirect(address(row($C16),COLUMN($L$4))),TRUE()))</f>
        <v>5</v>
      </c>
      <c r="U16" s="49">
        <f t="array" ref="U16">if(U$3=$C16,"-", countif(indirect(address(row($C$4)+ VLOOKUP(U$3,$C$5:$C$16,1),COLUMN($D$4))):indirect(address(row($C$4)+ VLOOKUP(U$3,$C$5:$C$16,1),COLUMN($L$4)))&gt;indirect(address(row($C16),COLUMN($D$4))):indirect(address(row($C16),COLUMN($L$4))),TRUE()))</f>
        <v>5</v>
      </c>
      <c r="V16" s="49">
        <f t="array" ref="V16">if(V$3=$C16,"-", countif(indirect(address(row($C$4)+ VLOOKUP(V$3,$C$5:$C$16,1),COLUMN($D$4))):indirect(address(row($C$4)+ VLOOKUP(V$3,$C$5:$C$16,1),COLUMN($L$4)))&gt;indirect(address(row($C16),COLUMN($D$4))):indirect(address(row($C16),COLUMN($L$4))),TRUE()))</f>
        <v>6</v>
      </c>
      <c r="W16" s="49">
        <f t="array" ref="W16">if(W$3=$C16,"-", countif(indirect(address(row($C$4)+ VLOOKUP(W$3,$C$5:$C$16,1),COLUMN($D$4))):indirect(address(row($C$4)+ VLOOKUP(W$3,$C$5:$C$16,1),COLUMN($L$4)))&gt;indirect(address(row($C16),COLUMN($D$4))):indirect(address(row($C16),COLUMN($L$4))),TRUE()))</f>
        <v>5</v>
      </c>
      <c r="X16" s="49" t="str">
        <f t="array" ref="X16">if(X$3=$C16,"-", countif(indirect(address(row($C$4)+ VLOOKUP(X$3,$C$5:$C$16,1),COLUMN($D$4))):indirect(address(row($C$4)+ VLOOKUP(X$3,$C$5:$C$16,1),COLUMN($L$4)))&gt;indirect(address(row($C16),COLUMN($D$4))):indirect(address(row($C16),COLUMN($L$4))),TRUE()))</f>
        <v>-</v>
      </c>
      <c r="Y16" s="49">
        <f t="array" ref="Y16">if(D$1=$C16,"-", countif(indirect(address(row($C$4)+ VLOOKUP(D$1,$C$5:$C$16,1),COLUMN($D$4))):indirect(address(row($C$4)+ VLOOKUP(D$1,$C$5:$C$16,1),COLUMN($L$4)))&gt;indirect(address(row($C16),COLUMN($D$4))):indirect(address(row($C16),COLUMN($L$4))),TRUE()))</f>
        <v>7</v>
      </c>
      <c r="Z16" s="23">
        <f>SUM(X$5:X$16)/99</f>
        <v>0.4444444444</v>
      </c>
    </row>
    <row r="17">
      <c r="D17" s="43"/>
      <c r="M17" s="83"/>
    </row>
    <row r="19">
      <c r="B19" s="25"/>
      <c r="C19" s="84" t="str">
        <f>'NO USAR1'!A3</f>
        <v>NAME</v>
      </c>
      <c r="D19" s="21" t="s">
        <v>2</v>
      </c>
      <c r="E19" s="21" t="s">
        <v>3</v>
      </c>
      <c r="F19" s="21" t="s">
        <v>5</v>
      </c>
      <c r="G19" s="21" t="s">
        <v>7</v>
      </c>
      <c r="H19" s="21" t="s">
        <v>9</v>
      </c>
      <c r="I19" s="21" t="s">
        <v>10</v>
      </c>
      <c r="J19" s="21" t="s">
        <v>12</v>
      </c>
      <c r="K19" s="21" t="s">
        <v>13</v>
      </c>
      <c r="L19" s="21" t="s">
        <v>15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4" t="s">
        <v>207</v>
      </c>
      <c r="Z19" s="4" t="s">
        <v>216</v>
      </c>
      <c r="AA19" s="4" t="s">
        <v>207</v>
      </c>
    </row>
    <row r="20">
      <c r="B20" s="12">
        <v>1.0</v>
      </c>
      <c r="C20" s="12" t="str">
        <f t="array" ref="C20">INDIRECT("Draft!C"&amp;TEXT(D1+2,"0"))</f>
        <v>Kevin Durant</v>
      </c>
      <c r="D20" s="85">
        <f>IF($C20="","", VLOOKUP($C20,'NO USAR2'!$B$2:$R$397,11,False))</f>
        <v>29.2</v>
      </c>
      <c r="E20" s="85">
        <f>IF($C20="","", VLOOKUP($C20,'NO USAR2'!$B$2:$R$397,10,False))</f>
        <v>2.1</v>
      </c>
      <c r="F20" s="85">
        <f>IF($C20="","", VLOOKUP($C20,'NO USAR2'!$B$2:$R$397,12,False))</f>
        <v>7.2</v>
      </c>
      <c r="G20" s="85">
        <f>IF($C20="","", VLOOKUP($C20,'NO USAR2'!$B$2:$R$397,13,False))</f>
        <v>6.3</v>
      </c>
      <c r="H20" s="85">
        <f>IF($C20="","", VLOOKUP($C20,'NO USAR2'!$B$2:$R$397,14,False))</f>
        <v>0.9</v>
      </c>
      <c r="I20" s="85">
        <f>IF($C20="","", VLOOKUP($C20,'NO USAR2'!$B$2:$R$397,15,False))</f>
        <v>0.9</v>
      </c>
      <c r="J20" s="26">
        <f> IF($C20="","", 100*VLOOKUP($C20,'NO USAR2'!$B$2:$R$397,6,False)/VLOOKUP($C20,'NO USAR1'!$A$3:$L$399,9,False))</f>
        <v>52.02020202</v>
      </c>
      <c r="K20" s="26">
        <f>IF($C20="","", 100*VLOOKUP($C20,'NO USAR2'!$B$2:$R$397,9,False))</f>
        <v>90.4109589</v>
      </c>
      <c r="L20" s="85">
        <f>IF($C20="","", VLOOKUP($C20,'NO USAR2'!$B$2:$R$397,16,False))</f>
        <v>3.4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 t="str">
        <f>IF($C20="","", VLOOKUP($C20,'NO USAR2'!$B$2:$C$397,2,FALSE))</f>
        <v>SF/PF</v>
      </c>
      <c r="Z20" s="25">
        <f t="array" ref="Z20">COUNTIF(FIND(AA20,$Y$20:$Y$31),"&gt;0")</f>
        <v>4</v>
      </c>
      <c r="AA20" s="12" t="s">
        <v>33</v>
      </c>
    </row>
    <row r="21">
      <c r="B21" s="12">
        <v>2.0</v>
      </c>
      <c r="C21" s="86" t="str">
        <f t="array" ref="C21">INDIRECT("Draft!D"&amp;TEXT(15-D1,"0"))</f>
        <v>Fred VanVleet</v>
      </c>
      <c r="D21" s="85">
        <f>IF($C21="","", VLOOKUP($C21,'NO USAR2'!$B$2:$R$397,11,False))</f>
        <v>20</v>
      </c>
      <c r="E21" s="85">
        <f>IF($C21="","", VLOOKUP($C21,'NO USAR2'!$B$2:$R$397,10,False))</f>
        <v>3.6</v>
      </c>
      <c r="F21" s="85">
        <f>IF($C21="","", VLOOKUP($C21,'NO USAR2'!$B$2:$R$397,12,False))</f>
        <v>4.4</v>
      </c>
      <c r="G21" s="85">
        <f>IF($C21="","", VLOOKUP($C21,'NO USAR2'!$B$2:$R$397,13,False))</f>
        <v>6.6</v>
      </c>
      <c r="H21" s="85">
        <f>IF($C21="","", VLOOKUP($C21,'NO USAR2'!$B$2:$R$397,14,False))</f>
        <v>1.5</v>
      </c>
      <c r="I21" s="85">
        <f>IF($C21="","", VLOOKUP($C21,'NO USAR2'!$B$2:$R$397,15,False))</f>
        <v>0.5</v>
      </c>
      <c r="J21" s="26">
        <f> IF($C21="","", 100*VLOOKUP($C21,'NO USAR2'!$B$2:$R$397,6,False)/VLOOKUP($C21,'NO USAR1'!$A$3:$L$399,9,False))</f>
        <v>40.36144578</v>
      </c>
      <c r="K21" s="26">
        <f>IF($C21="","", 100*VLOOKUP($C21,'NO USAR2'!$B$2:$R$397,9,False))</f>
        <v>88.23529412</v>
      </c>
      <c r="L21" s="85">
        <f>IF($C21="","", VLOOKUP($C21,'NO USAR2'!$B$2:$R$397,16,False))</f>
        <v>2.6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 t="str">
        <f>IF($C21="","", VLOOKUP($C21,'NO USAR2'!$B$2:$C$397,2,FALSE))</f>
        <v>PG/SF</v>
      </c>
      <c r="Z21" s="25">
        <f t="array" ref="Z21">COUNTIF(FIND(AA21,$Y$20:$Y$31),"&gt;0")</f>
        <v>3</v>
      </c>
      <c r="AA21" s="12" t="s">
        <v>34</v>
      </c>
    </row>
    <row r="22">
      <c r="B22" s="12">
        <v>3.0</v>
      </c>
      <c r="C22" s="17" t="str">
        <f t="array" ref="C22">INDIRECT("Draft!E"&amp;TEXT(D1+2,"0"))</f>
        <v>Jimmy Butler</v>
      </c>
      <c r="D22" s="85">
        <f>IF($C22="","", VLOOKUP($C22,'NO USAR2'!$B$2:$R$397,11,False))</f>
        <v>21.3</v>
      </c>
      <c r="E22" s="85">
        <f>IF($C22="","", VLOOKUP($C22,'NO USAR2'!$B$2:$R$397,10,False))</f>
        <v>0.5</v>
      </c>
      <c r="F22" s="85">
        <f>IF($C22="","", VLOOKUP($C22,'NO USAR2'!$B$2:$R$397,12,False))</f>
        <v>6</v>
      </c>
      <c r="G22" s="85">
        <f>IF($C22="","", VLOOKUP($C22,'NO USAR2'!$B$2:$R$397,13,False))</f>
        <v>5.3</v>
      </c>
      <c r="H22" s="85">
        <f>IF($C22="","", VLOOKUP($C22,'NO USAR2'!$B$2:$R$397,14,False))</f>
        <v>1.6</v>
      </c>
      <c r="I22" s="85">
        <f>IF($C22="","", VLOOKUP($C22,'NO USAR2'!$B$2:$R$397,15,False))</f>
        <v>0.5</v>
      </c>
      <c r="J22" s="26">
        <f> IF($C22="","", 100*VLOOKUP($C22,'NO USAR2'!$B$2:$R$397,6,False)/VLOOKUP($C22,'NO USAR1'!$A$3:$L$399,9,False))</f>
        <v>47.61904762</v>
      </c>
      <c r="K22" s="26">
        <f>IF($C22="","", 100*VLOOKUP($C22,'NO USAR2'!$B$2:$R$397,9,False))</f>
        <v>85.8974359</v>
      </c>
      <c r="L22" s="85">
        <f>IF($C22="","", VLOOKUP($C22,'NO USAR2'!$B$2:$R$397,16,False))</f>
        <v>2.1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 t="str">
        <f>IF($C22="","", VLOOKUP($C22,'NO USAR2'!$B$2:$C$397,2,FALSE))</f>
        <v>PG/SG</v>
      </c>
      <c r="Z22" s="25">
        <f t="array" ref="Z22">COUNTIF(FIND(AA22,$Y$20:$Y$31),"&gt;0")</f>
        <v>3</v>
      </c>
      <c r="AA22" s="12" t="s">
        <v>35</v>
      </c>
    </row>
    <row r="23">
      <c r="B23" s="12">
        <v>4.0</v>
      </c>
      <c r="C23" s="87" t="str">
        <f t="array" ref="C23">INDIRECT("Draft!F"&amp;TEXT(15-D1,"0"))</f>
        <v>Nikola Vucevic</v>
      </c>
      <c r="D23" s="85">
        <f>IF($C23="","", VLOOKUP($C23,'NO USAR2'!$B$2:$R$397,11,False))</f>
        <v>17.2</v>
      </c>
      <c r="E23" s="85">
        <f>IF($C23="","", VLOOKUP($C23,'NO USAR2'!$B$2:$R$397,10,False))</f>
        <v>1.4</v>
      </c>
      <c r="F23" s="85">
        <f>IF($C23="","", VLOOKUP($C23,'NO USAR2'!$B$2:$R$397,12,False))</f>
        <v>10.6</v>
      </c>
      <c r="G23" s="85">
        <f>IF($C23="","", VLOOKUP($C23,'NO USAR2'!$B$2:$R$397,13,False))</f>
        <v>3.1</v>
      </c>
      <c r="H23" s="85">
        <f>IF($C23="","", VLOOKUP($C23,'NO USAR2'!$B$2:$R$397,14,False))</f>
        <v>1</v>
      </c>
      <c r="I23" s="85">
        <f>IF($C23="","", VLOOKUP($C23,'NO USAR2'!$B$2:$R$397,15,False))</f>
        <v>1</v>
      </c>
      <c r="J23" s="26">
        <f> IF($C23="","", 100*VLOOKUP($C23,'NO USAR2'!$B$2:$R$397,6,False)/VLOOKUP($C23,'NO USAR1'!$A$3:$L$399,9,False))</f>
        <v>47.4025974</v>
      </c>
      <c r="K23" s="26">
        <f>IF($C23="","", 100*VLOOKUP($C23,'NO USAR2'!$B$2:$R$397,9,False))</f>
        <v>76.47058824</v>
      </c>
      <c r="L23" s="85">
        <f>IF($C23="","", VLOOKUP($C23,'NO USAR2'!$B$2:$R$397,16,False))</f>
        <v>1.9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 t="str">
        <f>IF($C23="","", VLOOKUP($C23,'NO USAR2'!$B$2:$C$397,2,FALSE))</f>
        <v>C</v>
      </c>
      <c r="Z23" s="25">
        <f t="array" ref="Z23">COUNTIF(FIND(AA23,$Y$20:$Y$31),"&gt;0")</f>
        <v>4</v>
      </c>
      <c r="AA23" s="12" t="s">
        <v>36</v>
      </c>
    </row>
    <row r="24">
      <c r="B24" s="12">
        <v>5.0</v>
      </c>
      <c r="C24" s="17" t="str">
        <f t="array" ref="C24">INDIRECT("Draft!G"&amp;TEXT(D1+2,"0"))</f>
        <v>Desmond Bane</v>
      </c>
      <c r="D24" s="85">
        <f>IF($C24="","", VLOOKUP($C24,'NO USAR2'!$B$2:$R$397,11,False))</f>
        <v>19</v>
      </c>
      <c r="E24" s="85">
        <f>IF($C24="","", VLOOKUP($C24,'NO USAR2'!$B$2:$R$397,10,False))</f>
        <v>3.1</v>
      </c>
      <c r="F24" s="85">
        <f>IF($C24="","", VLOOKUP($C24,'NO USAR2'!$B$2:$R$397,12,False))</f>
        <v>4.5</v>
      </c>
      <c r="G24" s="85">
        <f>IF($C24="","", VLOOKUP($C24,'NO USAR2'!$B$2:$R$397,13,False))</f>
        <v>2.8</v>
      </c>
      <c r="H24" s="85">
        <f>IF($C24="","", VLOOKUP($C24,'NO USAR2'!$B$2:$R$397,14,False))</f>
        <v>1.2</v>
      </c>
      <c r="I24" s="85">
        <f>IF($C24="","", VLOOKUP($C24,'NO USAR2'!$B$2:$R$397,15,False))</f>
        <v>0.4</v>
      </c>
      <c r="J24" s="26">
        <f> IF($C24="","", 100*VLOOKUP($C24,'NO USAR2'!$B$2:$R$397,6,False)/VLOOKUP($C24,'NO USAR1'!$A$3:$L$399,9,False))</f>
        <v>46.05263158</v>
      </c>
      <c r="K24" s="26">
        <f>IF($C24="","", 100*VLOOKUP($C24,'NO USAR2'!$B$2:$R$397,9,False))</f>
        <v>90.47619048</v>
      </c>
      <c r="L24" s="85">
        <f>IF($C24="","", VLOOKUP($C24,'NO USAR2'!$B$2:$R$397,16,False))</f>
        <v>1.6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 t="str">
        <f>IF($C24="","", VLOOKUP($C24,'NO USAR2'!$B$2:$C$397,2,FALSE))</f>
        <v>SG</v>
      </c>
      <c r="Z24" s="25">
        <f t="array" ref="Z24">COUNTIF(FIND(AA24,$Y$20:$Y$31),"&gt;0")</f>
        <v>3</v>
      </c>
      <c r="AA24" s="12" t="s">
        <v>37</v>
      </c>
    </row>
    <row r="25">
      <c r="B25" s="12">
        <v>6.0</v>
      </c>
      <c r="C25" s="87" t="str">
        <f t="array" ref="C25">INDIRECT("Draft!H"&amp;TEXT(15-D1,"0"))</f>
        <v>D'Angelo Russell</v>
      </c>
      <c r="D25" s="85">
        <f>IF($C25="","", VLOOKUP($C25,'NO USAR2'!$B$2:$R$397,11,False))</f>
        <v>17.7</v>
      </c>
      <c r="E25" s="85">
        <f>IF($C25="","", VLOOKUP($C25,'NO USAR2'!$B$2:$R$397,10,False))</f>
        <v>2.6</v>
      </c>
      <c r="F25" s="85">
        <f>IF($C25="","", VLOOKUP($C25,'NO USAR2'!$B$2:$R$397,12,False))</f>
        <v>3.4</v>
      </c>
      <c r="G25" s="85">
        <f>IF($C25="","", VLOOKUP($C25,'NO USAR2'!$B$2:$R$397,13,False))</f>
        <v>7</v>
      </c>
      <c r="H25" s="85">
        <f>IF($C25="","", VLOOKUP($C25,'NO USAR2'!$B$2:$R$397,14,False))</f>
        <v>1</v>
      </c>
      <c r="I25" s="85">
        <f>IF($C25="","", VLOOKUP($C25,'NO USAR2'!$B$2:$R$397,15,False))</f>
        <v>0.3</v>
      </c>
      <c r="J25" s="26">
        <f> IF($C25="","", 100*VLOOKUP($C25,'NO USAR2'!$B$2:$R$397,6,False)/VLOOKUP($C25,'NO USAR1'!$A$3:$L$399,9,False))</f>
        <v>41.95804196</v>
      </c>
      <c r="K25" s="26">
        <f>IF($C25="","", 100*VLOOKUP($C25,'NO USAR2'!$B$2:$R$397,9,False))</f>
        <v>78.94736842</v>
      </c>
      <c r="L25" s="85">
        <f>IF($C25="","", VLOOKUP($C25,'NO USAR2'!$B$2:$R$397,16,False))</f>
        <v>2.6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 t="str">
        <f>IF($C25="","", VLOOKUP($C25,'NO USAR2'!$B$2:$C$397,2,FALSE))</f>
        <v>PG/SG</v>
      </c>
      <c r="Z25" s="3"/>
      <c r="AA25" s="3"/>
    </row>
    <row r="26">
      <c r="B26" s="12">
        <v>7.0</v>
      </c>
      <c r="C26" s="17" t="str">
        <f t="array" ref="C26">INDIRECT("Draft!I"&amp;TEXT(D1+2,"0"))</f>
        <v>Jusuf Nurkic</v>
      </c>
      <c r="D26" s="85">
        <f>IF($C26="","", VLOOKUP($C26,'NO USAR2'!$B$2:$R$397,11,False))</f>
        <v>13.8</v>
      </c>
      <c r="E26" s="85">
        <f>IF($C26="","", VLOOKUP($C26,'NO USAR2'!$B$2:$R$397,10,False))</f>
        <v>0.3</v>
      </c>
      <c r="F26" s="85">
        <f>IF($C26="","", VLOOKUP($C26,'NO USAR2'!$B$2:$R$397,12,False))</f>
        <v>10.9</v>
      </c>
      <c r="G26" s="85">
        <f>IF($C26="","", VLOOKUP($C26,'NO USAR2'!$B$2:$R$397,13,False))</f>
        <v>2.6</v>
      </c>
      <c r="H26" s="85">
        <f>IF($C26="","", VLOOKUP($C26,'NO USAR2'!$B$2:$R$397,14,False))</f>
        <v>1.1</v>
      </c>
      <c r="I26" s="85">
        <f>IF($C26="","", VLOOKUP($C26,'NO USAR2'!$B$2:$R$397,15,False))</f>
        <v>0.8</v>
      </c>
      <c r="J26" s="26">
        <f> IF($C26="","", 100*VLOOKUP($C26,'NO USAR2'!$B$2:$R$397,6,False)/VLOOKUP($C26,'NO USAR1'!$A$3:$L$399,9,False))</f>
        <v>51.48514851</v>
      </c>
      <c r="K26" s="26">
        <f>IF($C26="","", 100*VLOOKUP($C26,'NO USAR2'!$B$2:$R$397,9,False))</f>
        <v>66.66666667</v>
      </c>
      <c r="L26" s="85">
        <f>IF($C26="","", VLOOKUP($C26,'NO USAR2'!$B$2:$R$397,16,False))</f>
        <v>2.7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 t="str">
        <f>IF($C26="","", VLOOKUP($C26,'NO USAR2'!$B$2:$C$397,2,FALSE))</f>
        <v>C</v>
      </c>
      <c r="Z26" s="3"/>
      <c r="AA26" s="3"/>
    </row>
    <row r="27">
      <c r="B27" s="12">
        <v>8.0</v>
      </c>
      <c r="C27" s="87" t="str">
        <f t="array" ref="C27">INDIRECT("Draft!J"&amp;TEXT(15-D1,"0"))</f>
        <v>Saddiq Bey</v>
      </c>
      <c r="D27" s="85">
        <f>IF($C27="","", VLOOKUP($C27,'NO USAR2'!$B$2:$R$397,11,False))</f>
        <v>17.5</v>
      </c>
      <c r="E27" s="85">
        <f>IF($C27="","", VLOOKUP($C27,'NO USAR2'!$B$2:$R$397,10,False))</f>
        <v>2.9</v>
      </c>
      <c r="F27" s="85">
        <f>IF($C27="","", VLOOKUP($C27,'NO USAR2'!$B$2:$R$397,12,False))</f>
        <v>5.6</v>
      </c>
      <c r="G27" s="85">
        <f>IF($C27="","", VLOOKUP($C27,'NO USAR2'!$B$2:$R$397,13,False))</f>
        <v>2.9</v>
      </c>
      <c r="H27" s="85">
        <f>IF($C27="","", VLOOKUP($C27,'NO USAR2'!$B$2:$R$397,14,False))</f>
        <v>0.9</v>
      </c>
      <c r="I27" s="85">
        <f>IF($C27="","", VLOOKUP($C27,'NO USAR2'!$B$2:$R$397,15,False))</f>
        <v>0.2</v>
      </c>
      <c r="J27" s="26">
        <f> IF($C27="","", 100*VLOOKUP($C27,'NO USAR2'!$B$2:$R$397,6,False)/VLOOKUP($C27,'NO USAR1'!$A$3:$L$399,9,False))</f>
        <v>41.66666667</v>
      </c>
      <c r="K27" s="26">
        <f>IF($C27="","", 100*VLOOKUP($C27,'NO USAR2'!$B$2:$R$397,9,False))</f>
        <v>84.375</v>
      </c>
      <c r="L27" s="85">
        <f>IF($C27="","", VLOOKUP($C27,'NO USAR2'!$B$2:$R$397,16,False))</f>
        <v>1.2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 t="str">
        <f>IF($C27="","", VLOOKUP($C27,'NO USAR2'!$B$2:$C$397,2,FALSE))</f>
        <v>SF/PF</v>
      </c>
      <c r="Z27" s="3"/>
      <c r="AA27" s="3"/>
    </row>
    <row r="28">
      <c r="B28" s="12">
        <v>9.0</v>
      </c>
      <c r="C28" s="17" t="str">
        <f t="array" ref="C28">INDIRECT("Draft!K"&amp;TEXT(D1+2,"0"))</f>
        <v>Keegan Murray</v>
      </c>
      <c r="D28" s="85">
        <f>IF($C28="","", VLOOKUP($C28,'NO USAR2'!$B$2:$R$397,11,False))</f>
        <v>16.2</v>
      </c>
      <c r="E28" s="85">
        <f>IF($C28="","", VLOOKUP($C28,'NO USAR2'!$B$2:$R$397,10,False))</f>
        <v>1.3</v>
      </c>
      <c r="F28" s="85">
        <f>IF($C28="","", VLOOKUP($C28,'NO USAR2'!$B$2:$R$397,12,False))</f>
        <v>6</v>
      </c>
      <c r="G28" s="85">
        <f>IF($C28="","", VLOOKUP($C28,'NO USAR2'!$B$2:$R$397,13,False))</f>
        <v>1</v>
      </c>
      <c r="H28" s="85">
        <f>IF($C28="","", VLOOKUP($C28,'NO USAR2'!$B$2:$R$397,14,False))</f>
        <v>0.7</v>
      </c>
      <c r="I28" s="85">
        <f>IF($C28="","", VLOOKUP($C28,'NO USAR2'!$B$2:$R$397,15,False))</f>
        <v>1</v>
      </c>
      <c r="J28" s="26">
        <f> IF($C28="","", 100*VLOOKUP($C28,'NO USAR2'!$B$2:$R$397,6,False)/VLOOKUP($C28,'NO USAR1'!$A$3:$L$399,9,False))</f>
        <v>51.28205128</v>
      </c>
      <c r="K28" s="26">
        <f>IF($C28="","", 100*VLOOKUP($C28,'NO USAR2'!$B$2:$R$397,9,False))</f>
        <v>75.67567568</v>
      </c>
      <c r="L28" s="85">
        <f>IF($C28="","", VLOOKUP($C28,'NO USAR2'!$B$2:$R$397,16,False))</f>
        <v>1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 t="str">
        <f>IF($C28="","", VLOOKUP($C28,'NO USAR2'!$B$2:$C$397,2,FALSE))</f>
        <v>PF</v>
      </c>
      <c r="Z28" s="3"/>
      <c r="AA28" s="3"/>
      <c r="AB28" s="14"/>
    </row>
    <row r="29">
      <c r="B29" s="12">
        <v>10.0</v>
      </c>
      <c r="C29" s="87" t="str">
        <f t="array" ref="C29">INDIRECT("Draft!L"&amp;TEXT(15-D1,"0"))</f>
        <v>Monte Morris</v>
      </c>
      <c r="D29" s="85">
        <f>IF($C29="","", VLOOKUP($C29,'NO USAR2'!$B$2:$R$397,11,False))</f>
        <v>12.6</v>
      </c>
      <c r="E29" s="85">
        <f>IF($C29="","", VLOOKUP($C29,'NO USAR2'!$B$2:$R$397,10,False))</f>
        <v>1.8</v>
      </c>
      <c r="F29" s="85">
        <f>IF($C29="","", VLOOKUP($C29,'NO USAR2'!$B$2:$R$397,12,False))</f>
        <v>3</v>
      </c>
      <c r="G29" s="85">
        <f>IF($C29="","", VLOOKUP($C29,'NO USAR2'!$B$2:$R$397,13,False))</f>
        <v>6.2</v>
      </c>
      <c r="H29" s="85">
        <f>IF($C29="","", VLOOKUP($C29,'NO USAR2'!$B$2:$R$397,14,False))</f>
        <v>0.8</v>
      </c>
      <c r="I29" s="85">
        <f>IF($C29="","", VLOOKUP($C29,'NO USAR2'!$B$2:$R$397,15,False))</f>
        <v>0.2</v>
      </c>
      <c r="J29" s="26">
        <f> IF($C29="","", 100*VLOOKUP($C29,'NO USAR2'!$B$2:$R$397,6,False)/VLOOKUP($C29,'NO USAR1'!$A$3:$L$399,9,False))</f>
        <v>48</v>
      </c>
      <c r="K29" s="26">
        <f>IF($C29="","", 100*VLOOKUP($C29,'NO USAR2'!$B$2:$R$397,9,False))</f>
        <v>85.71428571</v>
      </c>
      <c r="L29" s="85">
        <f>IF($C29="","", VLOOKUP($C29,'NO USAR2'!$B$2:$R$397,16,False))</f>
        <v>1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 t="str">
        <f>IF($C29="","", VLOOKUP($C29,'NO USAR2'!$B$2:$C$397,2,FALSE))</f>
        <v>PG</v>
      </c>
      <c r="Z29" s="3"/>
      <c r="AA29" s="3"/>
    </row>
    <row r="30">
      <c r="B30" s="12">
        <v>11.0</v>
      </c>
      <c r="C30" s="17" t="str">
        <f t="array" ref="C30">INDIRECT("Draft!M"&amp;TEXT(D1+2,"0"))</f>
        <v>Bobby Portis</v>
      </c>
      <c r="D30" s="85">
        <f>IF($C30="","", VLOOKUP($C30,'NO USAR2'!$B$2:$R$397,11,False))</f>
        <v>13.8</v>
      </c>
      <c r="E30" s="85">
        <f>IF($C30="","", VLOOKUP($C30,'NO USAR2'!$B$2:$R$397,10,False))</f>
        <v>1.8</v>
      </c>
      <c r="F30" s="85">
        <f>IF($C30="","", VLOOKUP($C30,'NO USAR2'!$B$2:$R$397,12,False))</f>
        <v>8.6</v>
      </c>
      <c r="G30" s="85">
        <f>IF($C30="","", VLOOKUP($C30,'NO USAR2'!$B$2:$R$397,13,False))</f>
        <v>1.1</v>
      </c>
      <c r="H30" s="85">
        <f>IF($C30="","", VLOOKUP($C30,'NO USAR2'!$B$2:$R$397,14,False))</f>
        <v>0.7</v>
      </c>
      <c r="I30" s="85">
        <f>IF($C30="","", VLOOKUP($C30,'NO USAR2'!$B$2:$R$397,15,False))</f>
        <v>0.7</v>
      </c>
      <c r="J30" s="26">
        <f> IF($C30="","", 100*VLOOKUP($C30,'NO USAR2'!$B$2:$R$397,6,False)/VLOOKUP($C30,'NO USAR1'!$A$3:$L$399,9,False))</f>
        <v>48.24561404</v>
      </c>
      <c r="K30" s="26">
        <f>IF($C30="","", 100*VLOOKUP($C30,'NO USAR2'!$B$2:$R$397,9,False))</f>
        <v>73.33333333</v>
      </c>
      <c r="L30" s="85">
        <f>IF($C30="","", VLOOKUP($C30,'NO USAR2'!$B$2:$R$397,16,False))</f>
        <v>1.2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 t="str">
        <f>IF($C30="","", VLOOKUP($C30,'NO USAR2'!$B$2:$C$397,2,FALSE))</f>
        <v>PF/C</v>
      </c>
      <c r="Z30" s="3"/>
      <c r="AA30" s="3"/>
    </row>
    <row r="31">
      <c r="B31" s="12">
        <v>12.0</v>
      </c>
      <c r="C31" s="87" t="str">
        <f t="array" ref="C31">INDIRECT("Draft!N"&amp;TEXT(15-D1,"0"))</f>
        <v/>
      </c>
      <c r="D31" s="85" t="str">
        <f>IF($C31="","", VLOOKUP($C31,'NO USAR2'!$B$2:$R$397,11,False))</f>
        <v/>
      </c>
      <c r="E31" s="85" t="str">
        <f>IF($C31="","", VLOOKUP($C31,'NO USAR2'!$B$2:$R$397,10,False))</f>
        <v/>
      </c>
      <c r="F31" s="85" t="str">
        <f>IF($C31="","", VLOOKUP($C31,'NO USAR2'!$B$2:$R$397,12,False))</f>
        <v/>
      </c>
      <c r="G31" s="85" t="str">
        <f>IF($C31="","", VLOOKUP($C31,'NO USAR2'!$B$2:$R$397,13,False))</f>
        <v/>
      </c>
      <c r="H31" s="85" t="str">
        <f>IF($C31="","", VLOOKUP($C31,'NO USAR2'!$B$2:$R$397,14,False))</f>
        <v/>
      </c>
      <c r="I31" s="85" t="str">
        <f>IF($C31="","", VLOOKUP($C31,'NO USAR2'!$B$2:$R$397,15,False))</f>
        <v/>
      </c>
      <c r="J31" s="26" t="str">
        <f> IF($C31="","", 100*VLOOKUP($C31,'NO USAR2'!$B$2:$R$397,6,False)/VLOOKUP($C31,'NO USAR1'!$A$3:$L$399,9,False))</f>
        <v/>
      </c>
      <c r="K31" s="26" t="str">
        <f>IF($C31="","", 100*VLOOKUP($C31,'NO USAR2'!$B$2:$R$397,9,False))</f>
        <v/>
      </c>
      <c r="L31" s="85" t="str">
        <f>IF($C31="","", VLOOKUP($C31,'NO USAR2'!$B$2:$R$397,16,False))</f>
        <v/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 t="str">
        <f>IF($C31="","", VLOOKUP($C31,'NO USAR2'!$B$2:$C$397,2,FALSE))</f>
        <v/>
      </c>
      <c r="Z31" s="3"/>
      <c r="AA31" s="3"/>
    </row>
    <row r="32">
      <c r="C32" s="88" t="s">
        <v>217</v>
      </c>
      <c r="D32" s="26">
        <f t="shared" ref="D32:I32" si="1">IFERROR(AVERAGE(D20:D31),"")</f>
        <v>18.02727273</v>
      </c>
      <c r="E32" s="26">
        <f t="shared" si="1"/>
        <v>1.945454545</v>
      </c>
      <c r="F32" s="26">
        <f t="shared" si="1"/>
        <v>6.381818182</v>
      </c>
      <c r="G32" s="26">
        <f t="shared" si="1"/>
        <v>4.081818182</v>
      </c>
      <c r="H32" s="26">
        <f t="shared" si="1"/>
        <v>1.036363636</v>
      </c>
      <c r="I32" s="26">
        <f t="shared" si="1"/>
        <v>0.5909090909</v>
      </c>
      <c r="J32" s="26">
        <f t="array" ref="J32">IFERROR(100*SUMPRODUCT(IFERROR(VLOOKUP(C20:C31,'NO USAR2'!B:S,6,False),""))/SUMPRODUCT(IFERROR(VLOOKUP(C20:C31,'NO USAR2'!B:S,17,False),"")),"")</f>
        <v>46.74479167</v>
      </c>
      <c r="K32" s="26">
        <f t="array" ref="K32">IFERROR(100*SUMPRODUCT(IFERROR(VLOOKUP(C20:C31,'NO USAR2'!B:S,8,False),""))/SUMPRODUCT(IFERROR(VLOOKUP(C20:C31,'NO USAR2'!B:S,18,False),"")),"")</f>
        <v>82.42574257</v>
      </c>
      <c r="L32" s="26">
        <f>IFERROR(AVERAGE(L20:L31),"")</f>
        <v>1.936363636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89"/>
      <c r="Y32" s="3"/>
    </row>
  </sheetData>
  <mergeCells count="4">
    <mergeCell ref="C1:C2"/>
    <mergeCell ref="D1:D2"/>
    <mergeCell ref="Y1:Y2"/>
    <mergeCell ref="Z1:Z2"/>
  </mergeCells>
  <conditionalFormatting sqref="D5:L16">
    <cfRule type="cellIs" dxfId="2" priority="1" operator="equal">
      <formula>0</formula>
    </cfRule>
  </conditionalFormatting>
  <conditionalFormatting sqref="D5:L16">
    <cfRule type="colorScale" priority="2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Z5:Z16">
    <cfRule type="colorScale" priority="3">
      <colorScale>
        <cfvo type="min"/>
        <cfvo type="formula" val="0.5"/>
        <cfvo type="max"/>
        <color rgb="FFFF0000"/>
        <color rgb="FFFFFFFF"/>
        <color rgb="FF00FF00"/>
      </colorScale>
    </cfRule>
  </conditionalFormatting>
  <conditionalFormatting sqref="Y5:Y16">
    <cfRule type="colorScale" priority="4">
      <colorScale>
        <cfvo type="formula" val="2"/>
        <cfvo type="formula" val="4.5"/>
        <cfvo type="formula" val="8"/>
        <color rgb="FFFF0000"/>
        <color rgb="FFFFFFFF"/>
        <color rgb="FF00FF00"/>
      </colorScale>
    </cfRule>
  </conditionalFormatting>
  <dataValidations>
    <dataValidation type="list" allowBlank="1" sqref="Z1">
      <formula1>"50,100,150,200,250,300,350,400"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2"/>
      <c r="C4" s="4" t="s">
        <v>1</v>
      </c>
      <c r="D4" s="4" t="s">
        <v>2</v>
      </c>
      <c r="E4" s="6" t="s">
        <v>3</v>
      </c>
      <c r="F4" s="4" t="s">
        <v>5</v>
      </c>
      <c r="G4" s="4" t="s">
        <v>7</v>
      </c>
      <c r="H4" s="4" t="s">
        <v>9</v>
      </c>
      <c r="I4" s="4" t="s">
        <v>10</v>
      </c>
      <c r="J4" s="4" t="s">
        <v>12</v>
      </c>
      <c r="K4" s="4" t="s">
        <v>13</v>
      </c>
      <c r="L4" s="4" t="s">
        <v>15</v>
      </c>
      <c r="M4" s="4" t="s">
        <v>17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29</v>
      </c>
      <c r="Z4" s="4" t="s">
        <v>31</v>
      </c>
    </row>
    <row r="5">
      <c r="B5" s="13" t="b">
        <f>Draft!B3</f>
        <v>0</v>
      </c>
      <c r="C5" s="12">
        <v>1.0</v>
      </c>
      <c r="D5" s="23">
        <f>((IF(ISBLANK(Draft!C3),0,VLOOKUP(Draft!C3, 'NO USAR1'!A4:L1000,2,FALSE)+(IF(ISBLANK(Draft!D14),0,VLOOKUP(Draft!D14, 'NO USAR1'!A4:L1000,2,FALSE)+(IF(ISBLANK(Draft!E3),0,VLOOKUP(Draft!E3, 'NO USAR1'!A4:L1000,2,FALSE)+(IF(ISBLANK(Draft!F14),0,VLOOKUP(Draft!F14, 'NO USAR1'!A4:L1000,2,FALSE)+(IF(ISBLANK(Draft!G3),0,VLOOKUP(Draft!G3, 'NO USAR1'!A4:L1000,2,FALSE)+(IF(ISBLANK(Draft!H14),0,VLOOKUP(Draft!H14, 'NO USAR1'!A4:L1000,2,FALSE)+(IF(ISBLANK(Draft!I3),0,VLOOKUP(Draft!I3, 'NO USAR1'!A4:L1000,2,FALSE)+(IF(ISBLANK(Draft!J14),0,VLOOKUP(Draft!J14, 'NO USAR1'!A4:L1000,2,FALSE)+(IF(ISBLANK(Draft!K3),0,VLOOKUP(Draft!K3, 'NO USAR1'!A4:L1000,2,FALSE)+(IF(ISBLANK(Draft!L14),0,VLOOKUP(Draft!L14, 'NO USAR1'!A4:L1000,2,FALSE)+IF(ISBLANK(Draft!M3),0,VLOOKUP(Draft!M3, 'NO USAR1'!A4:L1000,2,FALSE)+IF(ISBLANK(Draft!N14),0,VLOOKUP(Draft!N14, 'NO USAR1'!A4:L1000,2,FALSE))))))))))))))))))))))))</f>
        <v>1.413752144</v>
      </c>
      <c r="E5" s="23">
        <f>((IF(ISBLANK(Draft!C3),0,VLOOKUP(Draft!C3, 'NO USAR1'!A4:L1000,3,FALSE)+(IF(ISBLANK(Draft!D14),0,VLOOKUP(Draft!D14, 'NO USAR1'!A4:L1000,3,FALSE)+(IF(ISBLANK(Draft!E3),0,VLOOKUP(Draft!E3, 'NO USAR1'!A4:L1000,3,FALSE)+(IF(ISBLANK(Draft!F14),0,VLOOKUP(Draft!F14, 'NO USAR1'!A4:L1000,3,FALSE)+(IF(ISBLANK(Draft!G3),0,VLOOKUP(Draft!G3, 'NO USAR1'!A4:L1000,3,FALSE)+(IF(ISBLANK(Draft!H14),0,VLOOKUP(Draft!H14, 'NO USAR1'!A4:L1000,3,FALSE)+(IF(ISBLANK(Draft!I3),0,VLOOKUP(Draft!I3, 'NO USAR1'!A4:L1000,3,FALSE)+(IF(ISBLANK(Draft!J14),0,VLOOKUP(Draft!J14, 'NO USAR1'!A4:L1000,3,FALSE)+(IF(ISBLANK(Draft!K3),0,VLOOKUP(Draft!K3, 'NO USAR1'!A4:L1000,3,FALSE)+(IF(ISBLANK(Draft!L14),0,VLOOKUP(Draft!L14, 'NO USAR1'!A4:L1000,3,FALSE)+IF(ISBLANK(Draft!M3),0,VLOOKUP(Draft!M3, 'NO USAR1'!A4:L1000,3,FALSE)+IF(ISBLANK(Draft!N14),0,VLOOKUP(Draft!N14, 'NO USAR1'!A4:L1000,3,FALSE))))))))))))))))))))))))</f>
        <v>-2.76095113</v>
      </c>
      <c r="F5" s="23">
        <f>((IF(ISBLANK(Draft!C3),0,VLOOKUP(Draft!C3, 'NO USAR1'!A4:L1000,4,FALSE)+(IF(ISBLANK(Draft!D14),0,VLOOKUP(Draft!D14, 'NO USAR1'!A4:L1000,4,FALSE)+(IF(ISBLANK(Draft!E3),0,VLOOKUP(Draft!E3, 'NO USAR1'!A4:L1000,4,FALSE)+(IF(ISBLANK(Draft!F14),0,VLOOKUP(Draft!F14, 'NO USAR1'!A4:L1000,4,FALSE)+(IF(ISBLANK(Draft!G3),0,VLOOKUP(Draft!G3, 'NO USAR1'!A4:L1000,4,FALSE)+(IF(ISBLANK(Draft!H14),0,VLOOKUP(Draft!H14, 'NO USAR1'!A4:L1000,4,FALSE)+(IF(ISBLANK(Draft!I3),0,VLOOKUP(Draft!I3, 'NO USAR1'!A4:L1000,4,FALSE)+(IF(ISBLANK(Draft!J14),0,VLOOKUP(Draft!J14, 'NO USAR1'!A4:L1000,4,FALSE)+(IF(ISBLANK(Draft!K3),0,VLOOKUP(Draft!K3, 'NO USAR1'!A4:L1000,4,FALSE)+(IF(ISBLANK(Draft!L14),0,VLOOKUP(Draft!L14, 'NO USAR1'!A4:L1000,4,FALSE)+IF(ISBLANK(Draft!M3),0,VLOOKUP(Draft!M3, 'NO USAR1'!A4:L1000,4,FALSE)+IF(ISBLANK(Draft!N14),0,VLOOKUP(Draft!N14, 'NO USAR1'!A4:L1000,4,FALSE))))))))))))))))))))))))</f>
        <v>0.3290380531</v>
      </c>
      <c r="G5" s="23">
        <f>((IF(ISBLANK(Draft!C3),0,VLOOKUP(Draft!C3, 'NO USAR1'!A4:L1000,5,FALSE)+(IF(ISBLANK(Draft!D14),0,VLOOKUP(Draft!D14, 'NO USAR1'!A4:L1000,5,FALSE)+(IF(ISBLANK(Draft!E3),0,VLOOKUP(Draft!E3, 'NO USAR1'!A4:L1000,5,FALSE)+(IF(ISBLANK(Draft!F14),0,VLOOKUP(Draft!F14, 'NO USAR1'!A4:L1000,5,FALSE)+(IF(ISBLANK(Draft!G3),0,VLOOKUP(Draft!G3, 'NO USAR1'!A4:L1000,5,FALSE)+(IF(ISBLANK(Draft!H14),0,VLOOKUP(Draft!H14, 'NO USAR1'!A4:L1000,5,FALSE)+(IF(ISBLANK(Draft!I3),0,VLOOKUP(Draft!I3, 'NO USAR1'!A4:L1000,5,FALSE)+(IF(ISBLANK(Draft!J14),0,VLOOKUP(Draft!J14, 'NO USAR1'!A4:L1000,5,FALSE)+(IF(ISBLANK(Draft!K3),0,VLOOKUP(Draft!K3, 'NO USAR1'!A4:L1000,5,FALSE)+(IF(ISBLANK(Draft!L14),0,VLOOKUP(Draft!L14, 'NO USAR1'!A4:L1000,5,FALSE)+IF(ISBLANK(Draft!M3),0,VLOOKUP(Draft!M3, 'NO USAR1'!A4:L1000,5,FALSE)+IF(ISBLANK(Draft!N14),0,VLOOKUP(Draft!N14, 'NO USAR1'!A4:L1000,5,FALSE))))))))))))))))))))))))</f>
        <v>1.90649834</v>
      </c>
      <c r="H5" s="23">
        <f>((IF(ISBLANK(Draft!C3),0,VLOOKUP(Draft!C3, 'NO USAR1'!A4:L1000,6,FALSE)+(IF(ISBLANK(Draft!D14),0,VLOOKUP(Draft!D14, 'NO USAR1'!A4:L1000,6,FALSE)+(IF(ISBLANK(Draft!E3),0,VLOOKUP(Draft!E3, 'NO USAR1'!A4:L1000,6,FALSE)+(IF(ISBLANK(Draft!F14),0,VLOOKUP(Draft!F14, 'NO USAR1'!A4:L1000,6,FALSE)+(IF(ISBLANK(Draft!G3),0,VLOOKUP(Draft!G3, 'NO USAR1'!A4:L1000,6,FALSE)+(IF(ISBLANK(Draft!H14),0,VLOOKUP(Draft!H14, 'NO USAR1'!A4:L1000,6,FALSE)+(IF(ISBLANK(Draft!I3),0,VLOOKUP(Draft!I3, 'NO USAR1'!A4:L1000,6,FALSE)+(IF(ISBLANK(Draft!J14),0,VLOOKUP(Draft!J14, 'NO USAR1'!A4:L1000,6,FALSE)+(IF(ISBLANK(Draft!K3),0,VLOOKUP(Draft!K3, 'NO USAR1'!A4:L1000,6,FALSE)+(IF(ISBLANK(Draft!L14),0,VLOOKUP(Draft!L14, 'NO USAR1'!A4:L1000,6,FALSE)+IF(ISBLANK(Draft!M3),0,VLOOKUP(Draft!M3, 'NO USAR1'!A4:L1000,6,FALSE)+IF(ISBLANK(Draft!N14),0,VLOOKUP(Draft!N14, 'NO USAR1'!A4:L1000,6,FALSE))))))))))))))))))))))))</f>
        <v>1.477166739</v>
      </c>
      <c r="I5" s="23">
        <f>((IF(ISBLANK(Draft!C3),0,VLOOKUP(Draft!C3, 'NO USAR1'!A4:L1000,7,FALSE)+(IF(ISBLANK(Draft!D14),0,VLOOKUP(Draft!D14, 'NO USAR1'!A4:L1000,7,FALSE)+(IF(ISBLANK(Draft!E3),0,VLOOKUP(Draft!E3, 'NO USAR1'!A4:L1000,7,FALSE)+(IF(ISBLANK(Draft!F14),0,VLOOKUP(Draft!F14, 'NO USAR1'!A4:L1000,7,FALSE)+(IF(ISBLANK(Draft!G3),0,VLOOKUP(Draft!G3, 'NO USAR1'!A4:L1000,7,FALSE)+(IF(ISBLANK(Draft!H14),0,VLOOKUP(Draft!H14, 'NO USAR1'!A4:L1000,7,FALSE)+(IF(ISBLANK(Draft!I3),0,VLOOKUP(Draft!I3, 'NO USAR1'!A4:L1000,7,FALSE)+(IF(ISBLANK(Draft!J14),0,VLOOKUP(Draft!J14, 'NO USAR1'!A4:L1000,7,FALSE)+(IF(ISBLANK(Draft!K3),0,VLOOKUP(Draft!K3, 'NO USAR1'!A4:L1000,7,FALSE)+(IF(ISBLANK(Draft!L14),0,VLOOKUP(Draft!L14, 'NO USAR1'!A4:L1000,7,FALSE)+IF(ISBLANK(Draft!M3),0,VLOOKUP(Draft!M3, 'NO USAR1'!A4:L1000,7,FALSE)+IF(ISBLANK(Draft!N14),0,VLOOKUP(Draft!N14, 'NO USAR1'!A4:L1000,7,FALSE))))))))))))))))))))))))</f>
        <v>-0.3456233259</v>
      </c>
      <c r="J5" s="42">
        <f>((IF(ISBLANK(Draft!C3),0,VLOOKUP(Draft!C3, 'NO USAR1'!A4:L1000,8,FALSE)+(IF(ISBLANK(Draft!D14),0,VLOOKUP(Draft!D14, 'NO USAR1'!A4:L1000,8,FALSE)+(IF(ISBLANK(Draft!E3),0,VLOOKUP(Draft!E3, 'NO USAR1'!A4:L1000,8,FALSE)+(IF(ISBLANK(Draft!F14),0,VLOOKUP(Draft!F14, 'NO USAR1'!A4:L1000,8,FALSE)+(IF(ISBLANK(Draft!G3),0,VLOOKUP(Draft!G3, 'NO USAR1'!A4:L1000,8,FALSE)+(IF(ISBLANK(Draft!H14),0,VLOOKUP(Draft!H14, 'NO USAR1'!A4:L1000,8,FALSE)+(IF(ISBLANK(Draft!I3),0,VLOOKUP(Draft!I3, 'NO USAR1'!A4:L1000,8,FALSE)+(IF(ISBLANK(Draft!J14),0,VLOOKUP(Draft!J14, 'NO USAR1'!A4:L1000,8,FALSE)+(IF(ISBLANK(Draft!K3),0,VLOOKUP(Draft!K3, 'NO USAR1'!A4:L1000,8,FALSE)+(IF(ISBLANK(Draft!L14),0,VLOOKUP(Draft!L14, 'NO USAR1'!A4:L1000,8,FALSE)+IF(ISBLANK(Draft!M3),0,VLOOKUP(Draft!M3, 'NO USAR1'!A4:L1000,8,FALSE)+IF(ISBLANK(Draft!N14),0,VLOOKUP(Draft!N14, 'NO USAR1'!A4:L1000,8,FALSE))))))))))))))))))))))))</f>
        <v>-0.3451049894</v>
      </c>
      <c r="K5" s="23">
        <f>((IF(ISBLANK(Draft!C3),0,VLOOKUP(Draft!C3, 'NO USAR1'!A4:L1000,10,FALSE)+(IF(ISBLANK(Draft!D14),0,VLOOKUP(Draft!D14, 'NO USAR1'!A4:L1000,10,FALSE)+(IF(ISBLANK(Draft!E3),0,VLOOKUP(Draft!E3, 'NO USAR1'!A4:L1000,10,FALSE)+(IF(ISBLANK(Draft!F14),0,VLOOKUP(Draft!F14, 'NO USAR1'!A4:L1000,10,FALSE)+(IF(ISBLANK(Draft!G3),0,VLOOKUP(Draft!G3, 'NO USAR1'!A4:L1000,10,FALSE)+(IF(ISBLANK(Draft!H14),0,VLOOKUP(Draft!H14, 'NO USAR1'!A4:L1000,10,FALSE)+(IF(ISBLANK(Draft!I3),0,VLOOKUP(Draft!I3, 'NO USAR1'!A4:L1000,10,FALSE)+(IF(ISBLANK(Draft!J14),0,VLOOKUP(Draft!J14, 'NO USAR1'!A4:L1000,10,FALSE)+(IF(ISBLANK(Draft!K3),0,VLOOKUP(Draft!K3, 'NO USAR1'!A4:L1000,10,FALSE)+(IF(ISBLANK(Draft!L14),0,VLOOKUP(Draft!L14, 'NO USAR1'!A4:L1000,10,FALSE)+IF(ISBLANK(Draft!M3),0,VLOOKUP(Draft!M3, 'NO USAR1'!A4:L1000,10,FALSE)+IF(ISBLANK(Draft!N14),0,VLOOKUP(Draft!N14, 'NO USAR1'!A4:L1000,10,FALSE))))))))))))))))))))))))</f>
        <v>-0.5736774669</v>
      </c>
      <c r="L5" s="23">
        <f>((IF(ISBLANK(Draft!C3),0,VLOOKUP(Draft!C3, 'NO USAR1'!A4:L1000,12,FALSE)+(IF(ISBLANK(Draft!D14),0,VLOOKUP(Draft!D14, 'NO USAR1'!A4:L1000,12,FALSE)+(IF(ISBLANK(Draft!E3),0,VLOOKUP(Draft!E3, 'NO USAR1'!A4:L1000,12,FALSE)+(IF(ISBLANK(Draft!F14),0,VLOOKUP(Draft!F14, 'NO USAR1'!A4:L1000,12,FALSE)+(IF(ISBLANK(Draft!G3),0,VLOOKUP(Draft!G3, 'NO USAR1'!A4:L1000,12,FALSE)+(IF(ISBLANK(Draft!H14),0,VLOOKUP(Draft!H14, 'NO USAR1'!A4:L1000,12,FALSE)+(IF(ISBLANK(Draft!I3),0,VLOOKUP(Draft!I3, 'NO USAR1'!A4:L1000,12,FALSE)+(IF(ISBLANK(Draft!J14),0,VLOOKUP(Draft!J14, 'NO USAR1'!A4:L1000,12,FALSE)+(IF(ISBLANK(Draft!K3),0,VLOOKUP(Draft!K3, 'NO USAR1'!A4:L1000,12,FALSE)+(IF(ISBLANK(Draft!L14),0,VLOOKUP(Draft!L14, 'NO USAR1'!A4:L1000,12,FALSE)+IF(ISBLANK(Draft!M3),0,VLOOKUP(Draft!M3, 'NO USAR1'!A4:L1000,12,FALSE)+IF(ISBLANK(Draft!N14),0,VLOOKUP(Draft!N14, 'NO USAR1'!A4:L1000,12,FALSE))))))))))))))))))))))))</f>
        <v>-2.152495364</v>
      </c>
      <c r="M5" s="49">
        <f t="array" ref="M5">if(M$3=$C5,"-", countif(indirect(address(row($C$4)+ VLOOKUP(M$3,$C$5:$C$16,1),COLUMN($D$4))):indirect(address(row($C$4)+ VLOOKUP(M$3,$C$5:$C$16,1),COLUMN($L$4)))&gt;indirect(address(row($C5),COLUMN($D$4))):indirect(address(row($C5),COLUMN($L$4))),TRUE()))</f>
        <v>0</v>
      </c>
      <c r="N5" s="49">
        <f t="array" ref="N5">if(N$3=$C5,"-", countif(indirect(address(row($C$4)+ VLOOKUP(N$3,$C$5:$C$16,1),COLUMN($D$4))):indirect(address(row($C$4)+ VLOOKUP(N$3,$C$5:$C$16,1),COLUMN($L$4)))&gt;indirect(address(row($C5),COLUMN($D$4))):indirect(address(row($C5),COLUMN($L$4))),TRUE()))</f>
        <v>0</v>
      </c>
      <c r="O5" s="49">
        <f t="array" ref="O5">if(O$3=$C5,"-", countif(indirect(address(row($C$4)+ VLOOKUP(O$3,$C$5:$C$16,1),COLUMN($D$4))):indirect(address(row($C$4)+ VLOOKUP(O$3,$C$5:$C$16,1),COLUMN($L$4)))&gt;indirect(address(row($C5),COLUMN($D$4))):indirect(address(row($C5),COLUMN($L$4))),TRUE()))</f>
        <v>0</v>
      </c>
      <c r="P5" s="49">
        <f t="array" ref="P5">if(P$3=$C5,"-", countif(indirect(address(row($C$4)+ VLOOKUP(P$3,$C$5:$C$16,1),COLUMN($D$4))):indirect(address(row($C$4)+ VLOOKUP(P$3,$C$5:$C$16,1),COLUMN($L$4)))&gt;indirect(address(row($C5),COLUMN($D$4))):indirect(address(row($C5),COLUMN($L$4))),TRUE()))</f>
        <v>0</v>
      </c>
      <c r="Q5" s="49">
        <f t="array" ref="Q5">if(Q$3=$C5,"-", countif(indirect(address(row($C$4)+ VLOOKUP(Q$3,$C$5:$C$16,1),COLUMN($D$4))):indirect(address(row($C$4)+ VLOOKUP(Q$3,$C$5:$C$16,1),COLUMN($L$4)))&gt;indirect(address(row($C5),COLUMN($D$4))):indirect(address(row($C5),COLUMN($L$4))),TRUE()))</f>
        <v>0</v>
      </c>
      <c r="R5" s="49">
        <f t="array" ref="R5">if(R$3=$C5,"-", countif(indirect(address(row($C$4)+ VLOOKUP(R$3,$C$5:$C$16,1),COLUMN($D$4))):indirect(address(row($C$4)+ VLOOKUP(R$3,$C$5:$C$16,1),COLUMN($L$4)))&gt;indirect(address(row($C5),COLUMN($D$4))):indirect(address(row($C5),COLUMN($L$4))),TRUE()))</f>
        <v>0</v>
      </c>
      <c r="S5" s="49">
        <f t="array" ref="S5">if(S$3=$C5,"-", countif(indirect(address(row($C$4)+ VLOOKUP(S$3,$C$5:$C$16,1),COLUMN($D$4))):indirect(address(row($C$4)+ VLOOKUP(S$3,$C$5:$C$16,1),COLUMN($L$4)))&gt;indirect(address(row($C5),COLUMN($D$4))):indirect(address(row($C5),COLUMN($L$4))),TRUE()))</f>
        <v>0</v>
      </c>
      <c r="T5" s="49">
        <f t="array" ref="T5">if(T$3=$C5,"-", countif(indirect(address(row($C$4)+ VLOOKUP(T$3,$C$5:$C$16,1),COLUMN($D$4))):indirect(address(row($C$4)+ VLOOKUP(T$3,$C$5:$C$16,1),COLUMN($L$4)))&gt;indirect(address(row($C5),COLUMN($D$4))):indirect(address(row($C5),COLUMN($L$4))),TRUE()))</f>
        <v>0</v>
      </c>
      <c r="U5" s="49">
        <f t="array" ref="U5">if(U$3=$C5,"-", countif(indirect(address(row($C$4)+ VLOOKUP(U$3,$C$5:$C$16,1),COLUMN($D$4))):indirect(address(row($C$4)+ VLOOKUP(U$3,$C$5:$C$16,1),COLUMN($L$4)))&gt;indirect(address(row($C5),COLUMN($D$4))):indirect(address(row($C5),COLUMN($L$4))),TRUE()))</f>
        <v>0</v>
      </c>
      <c r="V5" s="49">
        <f t="array" ref="V5">if(V$3=$C5,"-", countif(indirect(address(row($C$4)+ VLOOKUP(V$3,$C$5:$C$16,1),COLUMN($D$4))):indirect(address(row($C$4)+ VLOOKUP(V$3,$C$5:$C$16,1),COLUMN($L$4)))&gt;indirect(address(row($C5),COLUMN($D$4))):indirect(address(row($C5),COLUMN($L$4))),TRUE()))</f>
        <v>0</v>
      </c>
      <c r="W5" s="49">
        <f t="array" ref="W5">if(W$3=$C5,"-", countif(indirect(address(row($C$4)+ VLOOKUP(W$3,$C$5:$C$16,1),COLUMN($D$4))):indirect(address(row($C$4)+ VLOOKUP(W$3,$C$5:$C$16,1),COLUMN($L$4)))&gt;indirect(address(row($C5),COLUMN($D$4))):indirect(address(row($C5),COLUMN($L$4))),TRUE()))</f>
        <v>0</v>
      </c>
      <c r="X5" s="49">
        <f t="array" ref="X5">if(X$3=$C5,"-", countif(indirect(address(row($C$4)+ VLOOKUP(X$3,$C$5:$C$16,1),COLUMN($D$4))):indirect(address(row($C$4)+ VLOOKUP(X$3,$C$5:$C$16,1),COLUMN($L$4)))&gt;indirect(address(row($C5),COLUMN($D$4))):indirect(address(row($C5),COLUMN($L$4))),TRUE()))</f>
        <v>0</v>
      </c>
      <c r="Y5" s="49">
        <f t="array" ref="Y5">if(D$1=$C5,"-", countif(indirect(address(row($C$4)+ VLOOKUP(D$1,$C$5:$C$16,1),COLUMN($D$4))):indirect(address(row($C$4)+ VLOOKUP(D$1,$C$5:$C$16,1),COLUMN($L$4)))&gt;indirect(address(row($C5),COLUMN($D$4))):indirect(address(row($C5),COLUMN($L$4))),TRUE()))</f>
        <v>0</v>
      </c>
      <c r="Z5" s="23">
        <f>SUM(M$5:M$16)/99</f>
        <v>0</v>
      </c>
    </row>
    <row r="6">
      <c r="B6" s="13" t="b">
        <f>Draft!B4</f>
        <v>0</v>
      </c>
      <c r="C6" s="12">
        <v>2.0</v>
      </c>
      <c r="D6" s="23">
        <f>((IF(ISBLANK(Draft!C4),0,VLOOKUP(Draft!C4, 'NO USAR1'!A4:L1000,2,FALSE)+(IF(ISBLANK(Draft!D13),0,VLOOKUP(Draft!D13, 'NO USAR1'!A4:L1000,2,FALSE)+(IF(ISBLANK(Draft!E4),0,VLOOKUP(Draft!E4, 'NO USAR1'!A4:L1000,2,FALSE)+(IF(ISBLANK(Draft!F13),0,VLOOKUP(Draft!F13, 'NO USAR1'!A4:L1000,2,FALSE)+(IF(ISBLANK(Draft!G4),0,VLOOKUP(Draft!G4, 'NO USAR1'!A4:L1000,2,FALSE)+(IF(ISBLANK(Draft!H13),0,VLOOKUP(Draft!H13, 'NO USAR1'!A4:L1000,2,FALSE)+(IF(ISBLANK(Draft!I4),0,VLOOKUP(Draft!I4, 'NO USAR1'!A4:L1000,2,FALSE)+(IF(ISBLANK(Draft!J13),0,VLOOKUP(Draft!J13, 'NO USAR1'!A4:L1000,2,FALSE)+(IF(ISBLANK(Draft!K4),0,VLOOKUP(Draft!K4, 'NO USAR1'!A4:L1000,2,FALSE)+(IF(ISBLANK(Draft!L13),0,VLOOKUP(Draft!L13, 'NO USAR1'!A4:L1000,2,FALSE)+IF(ISBLANK(Draft!M4),0,VLOOKUP(Draft!M4, 'NO USAR1'!A4:L1000,2,FALSE)+IF(ISBLANK(Draft!N13),0,VLOOKUP(Draft!N13, 'NO USAR1'!A4:L1000,2,FALSE))))))))))))))))))))))))</f>
        <v>0.9355117001</v>
      </c>
      <c r="E6" s="23">
        <f>((IF(ISBLANK(Draft!C4),0,VLOOKUP(Draft!C4, 'NO USAR1'!A4:L1000,3,FALSE)+(IF(ISBLANK(Draft!D13),0,VLOOKUP(Draft!D13, 'NO USAR1'!A4:L1000,3,FALSE)+(IF(ISBLANK(Draft!E4),0,VLOOKUP(Draft!E4, 'NO USAR1'!A4:L1000,3,FALSE)+(IF(ISBLANK(Draft!F13),0,VLOOKUP(Draft!F13, 'NO USAR1'!A4:L1000,3,FALSE)+(IF(ISBLANK(Draft!G4),0,VLOOKUP(Draft!G4, 'NO USAR1'!A4:L1000,3,FALSE)+(IF(ISBLANK(Draft!H13),0,VLOOKUP(Draft!H13, 'NO USAR1'!A4:L1000,3,FALSE)+(IF(ISBLANK(Draft!I4),0,VLOOKUP(Draft!I4, 'NO USAR1'!A4:L1000,3,FALSE)+(IF(ISBLANK(Draft!J13),0,VLOOKUP(Draft!J13, 'NO USAR1'!A4:L1000,3,FALSE)+(IF(ISBLANK(Draft!K4),0,VLOOKUP(Draft!K4, 'NO USAR1'!A4:L1000,3,FALSE)+(IF(ISBLANK(Draft!L13),0,VLOOKUP(Draft!L13, 'NO USAR1'!A4:L1000,3,FALSE)+IF(ISBLANK(Draft!M4),0,VLOOKUP(Draft!M4, 'NO USAR1'!A4:L1000,3,FALSE)+IF(ISBLANK(Draft!N13),0,VLOOKUP(Draft!N13, 'NO USAR1'!A4:L1000,3,FALSE))))))))))))))))))))))))</f>
        <v>-1.734151123</v>
      </c>
      <c r="F6" s="23">
        <f>((IF(ISBLANK(Draft!C4),0,VLOOKUP(Draft!C4, 'NO USAR1'!A4:L1000,4,FALSE)+(IF(ISBLANK(Draft!D13),0,VLOOKUP(Draft!D13, 'NO USAR1'!A4:L1000,4,FALSE)+(IF(ISBLANK(Draft!E4),0,VLOOKUP(Draft!E4, 'NO USAR1'!A4:L1000,4,FALSE)+(IF(ISBLANK(Draft!F13),0,VLOOKUP(Draft!F13, 'NO USAR1'!A4:L1000,4,FALSE)+(IF(ISBLANK(Draft!G4),0,VLOOKUP(Draft!G4, 'NO USAR1'!A4:L1000,4,FALSE)+(IF(ISBLANK(Draft!H13),0,VLOOKUP(Draft!H13, 'NO USAR1'!A4:L1000,4,FALSE)+(IF(ISBLANK(Draft!I4),0,VLOOKUP(Draft!I4, 'NO USAR1'!A4:L1000,4,FALSE)+(IF(ISBLANK(Draft!J13),0,VLOOKUP(Draft!J13, 'NO USAR1'!A4:L1000,4,FALSE)+(IF(ISBLANK(Draft!K4),0,VLOOKUP(Draft!K4, 'NO USAR1'!A4:L1000,4,FALSE)+(IF(ISBLANK(Draft!L13),0,VLOOKUP(Draft!L13, 'NO USAR1'!A4:L1000,4,FALSE)+IF(ISBLANK(Draft!M4),0,VLOOKUP(Draft!M4, 'NO USAR1'!A4:L1000,4,FALSE)+IF(ISBLANK(Draft!N13),0,VLOOKUP(Draft!N13, 'NO USAR1'!A4:L1000,4,FALSE))))))))))))))))))))))))</f>
        <v>3.737225713</v>
      </c>
      <c r="G6" s="23">
        <f>((IF(ISBLANK(Draft!C4),0,VLOOKUP(Draft!C4, 'NO USAR1'!A4:L1000,5,FALSE)+(IF(ISBLANK(Draft!D13),0,VLOOKUP(Draft!D13, 'NO USAR1'!A4:L1000,5,FALSE)+(IF(ISBLANK(Draft!E4),0,VLOOKUP(Draft!E4, 'NO USAR1'!A4:L1000,5,FALSE)+(IF(ISBLANK(Draft!F13),0,VLOOKUP(Draft!F13, 'NO USAR1'!A4:L1000,5,FALSE)+(IF(ISBLANK(Draft!G4),0,VLOOKUP(Draft!G4, 'NO USAR1'!A4:L1000,5,FALSE)+(IF(ISBLANK(Draft!H13),0,VLOOKUP(Draft!H13, 'NO USAR1'!A4:L1000,5,FALSE)+(IF(ISBLANK(Draft!I4),0,VLOOKUP(Draft!I4, 'NO USAR1'!A4:L1000,5,FALSE)+(IF(ISBLANK(Draft!J13),0,VLOOKUP(Draft!J13, 'NO USAR1'!A4:L1000,5,FALSE)+(IF(ISBLANK(Draft!K4),0,VLOOKUP(Draft!K4, 'NO USAR1'!A4:L1000,5,FALSE)+(IF(ISBLANK(Draft!L13),0,VLOOKUP(Draft!L13, 'NO USAR1'!A4:L1000,5,FALSE)+IF(ISBLANK(Draft!M4),0,VLOOKUP(Draft!M4, 'NO USAR1'!A4:L1000,5,FALSE)+IF(ISBLANK(Draft!N13),0,VLOOKUP(Draft!N13, 'NO USAR1'!A4:L1000,5,FALSE))))))))))))))))))))))))</f>
        <v>2.41054684</v>
      </c>
      <c r="H6" s="23">
        <f>((IF(ISBLANK(Draft!C4),0,VLOOKUP(Draft!C4, 'NO USAR1'!A4:L1000,6,FALSE)+(IF(ISBLANK(Draft!D13),0,VLOOKUP(Draft!D13, 'NO USAR1'!A4:L1000,6,FALSE)+(IF(ISBLANK(Draft!E4),0,VLOOKUP(Draft!E4, 'NO USAR1'!A4:L1000,6,FALSE)+(IF(ISBLANK(Draft!F13),0,VLOOKUP(Draft!F13, 'NO USAR1'!A4:L1000,6,FALSE)+(IF(ISBLANK(Draft!G4),0,VLOOKUP(Draft!G4, 'NO USAR1'!A4:L1000,6,FALSE)+(IF(ISBLANK(Draft!H13),0,VLOOKUP(Draft!H13, 'NO USAR1'!A4:L1000,6,FALSE)+(IF(ISBLANK(Draft!I4),0,VLOOKUP(Draft!I4, 'NO USAR1'!A4:L1000,6,FALSE)+(IF(ISBLANK(Draft!J13),0,VLOOKUP(Draft!J13, 'NO USAR1'!A4:L1000,6,FALSE)+(IF(ISBLANK(Draft!K4),0,VLOOKUP(Draft!K4, 'NO USAR1'!A4:L1000,6,FALSE)+(IF(ISBLANK(Draft!L13),0,VLOOKUP(Draft!L13, 'NO USAR1'!A4:L1000,6,FALSE)+IF(ISBLANK(Draft!M4),0,VLOOKUP(Draft!M4, 'NO USAR1'!A4:L1000,6,FALSE)+IF(ISBLANK(Draft!N13),0,VLOOKUP(Draft!N13, 'NO USAR1'!A4:L1000,6,FALSE))))))))))))))))))))))))</f>
        <v>1.176465634</v>
      </c>
      <c r="I6" s="23">
        <f>((IF(ISBLANK(Draft!C4),0,VLOOKUP(Draft!C4, 'NO USAR1'!A4:L1000,7,FALSE)+(IF(ISBLANK(Draft!D13),0,VLOOKUP(Draft!D13, 'NO USAR1'!A4:L1000,7,FALSE)+(IF(ISBLANK(Draft!E4),0,VLOOKUP(Draft!E4, 'NO USAR1'!A4:L1000,7,FALSE)+(IF(ISBLANK(Draft!F13),0,VLOOKUP(Draft!F13, 'NO USAR1'!A4:L1000,7,FALSE)+(IF(ISBLANK(Draft!G4),0,VLOOKUP(Draft!G4, 'NO USAR1'!A4:L1000,7,FALSE)+(IF(ISBLANK(Draft!H13),0,VLOOKUP(Draft!H13, 'NO USAR1'!A4:L1000,7,FALSE)+(IF(ISBLANK(Draft!I4),0,VLOOKUP(Draft!I4, 'NO USAR1'!A4:L1000,7,FALSE)+(IF(ISBLANK(Draft!J13),0,VLOOKUP(Draft!J13, 'NO USAR1'!A4:L1000,7,FALSE)+(IF(ISBLANK(Draft!K4),0,VLOOKUP(Draft!K4, 'NO USAR1'!A4:L1000,7,FALSE)+(IF(ISBLANK(Draft!L13),0,VLOOKUP(Draft!L13, 'NO USAR1'!A4:L1000,7,FALSE)+IF(ISBLANK(Draft!M4),0,VLOOKUP(Draft!M4, 'NO USAR1'!A4:L1000,7,FALSE)+IF(ISBLANK(Draft!N13),0,VLOOKUP(Draft!N13, 'NO USAR1'!A4:L1000,7,FALSE))))))))))))))))))))))))</f>
        <v>0.8792657411</v>
      </c>
      <c r="J6" s="23">
        <f>((IF(ISBLANK(Draft!C4),0,VLOOKUP(Draft!C4, 'NO USAR1'!A4:L1000,8,FALSE)+(IF(ISBLANK(Draft!D13),0,VLOOKUP(Draft!D13, 'NO USAR1'!A4:L1000,8,FALSE)+(IF(ISBLANK(Draft!E4),0,VLOOKUP(Draft!E4, 'NO USAR1'!A4:L1000,8,FALSE)+(IF(ISBLANK(Draft!F13),0,VLOOKUP(Draft!F13, 'NO USAR1'!A4:L1000,8,FALSE)+(IF(ISBLANK(Draft!G4),0,VLOOKUP(Draft!G4, 'NO USAR1'!A4:L1000,8,FALSE)+(IF(ISBLANK(Draft!H13),0,VLOOKUP(Draft!H13, 'NO USAR1'!A4:L1000,8,FALSE)+(IF(ISBLANK(Draft!I4),0,VLOOKUP(Draft!I4, 'NO USAR1'!A4:L1000,8,FALSE)+(IF(ISBLANK(Draft!J13),0,VLOOKUP(Draft!J13, 'NO USAR1'!A4:L1000,8,FALSE)+(IF(ISBLANK(Draft!K4),0,VLOOKUP(Draft!K4, 'NO USAR1'!A4:L1000,8,FALSE)+(IF(ISBLANK(Draft!L13),0,VLOOKUP(Draft!L13, 'NO USAR1'!A4:L1000,8,FALSE)+IF(ISBLANK(Draft!M4),0,VLOOKUP(Draft!M4, 'NO USAR1'!A4:L1000,8,FALSE)+IF(ISBLANK(Draft!N13),0,VLOOKUP(Draft!N13, 'NO USAR1'!A4:L1000,8,FALSE))))))))))))))))))))))))</f>
        <v>0.679233532</v>
      </c>
      <c r="K6" s="23">
        <f>((IF(ISBLANK(Draft!C4),0,VLOOKUP(Draft!C4, 'NO USAR1'!A4:L1000,10,FALSE)+(IF(ISBLANK(Draft!D13),0,VLOOKUP(Draft!D13, 'NO USAR1'!A4:L1000,10,FALSE)+(IF(ISBLANK(Draft!E4),0,VLOOKUP(Draft!E4, 'NO USAR1'!A4:L1000,10,FALSE)+(IF(ISBLANK(Draft!F13),0,VLOOKUP(Draft!F13, 'NO USAR1'!A4:L1000,10,FALSE)+(IF(ISBLANK(Draft!G4),0,VLOOKUP(Draft!G4, 'NO USAR1'!A4:L1000,10,FALSE)+(IF(ISBLANK(Draft!H13),0,VLOOKUP(Draft!H13, 'NO USAR1'!A4:L1000,10,FALSE)+(IF(ISBLANK(Draft!I4),0,VLOOKUP(Draft!I4, 'NO USAR1'!A4:L1000,10,FALSE)+(IF(ISBLANK(Draft!J13),0,VLOOKUP(Draft!J13, 'NO USAR1'!A4:L1000,10,FALSE)+(IF(ISBLANK(Draft!K4),0,VLOOKUP(Draft!K4, 'NO USAR1'!A4:L1000,10,FALSE)+(IF(ISBLANK(Draft!L13),0,VLOOKUP(Draft!L13, 'NO USAR1'!A4:L1000,10,FALSE)+IF(ISBLANK(Draft!M4),0,VLOOKUP(Draft!M4, 'NO USAR1'!A4:L1000,10,FALSE)+IF(ISBLANK(Draft!N13),0,VLOOKUP(Draft!N13, 'NO USAR1'!A4:L1000,10,FALSE))))))))))))))))))))))))</f>
        <v>-6.805371478</v>
      </c>
      <c r="L6" s="23">
        <f>((IF(ISBLANK(Draft!C4),0,VLOOKUP(Draft!C4, 'NO USAR1'!A4:L1000,12,FALSE)+(IF(ISBLANK(Draft!D13),0,VLOOKUP(Draft!D13, 'NO USAR1'!A4:L1000,12,FALSE)+(IF(ISBLANK(Draft!E4),0,VLOOKUP(Draft!E4, 'NO USAR1'!A4:L1000,12,FALSE)+(IF(ISBLANK(Draft!F13),0,VLOOKUP(Draft!F13, 'NO USAR1'!A4:L1000,12,FALSE)+(IF(ISBLANK(Draft!G4),0,VLOOKUP(Draft!G4, 'NO USAR1'!A4:L1000,12,FALSE)+(IF(ISBLANK(Draft!H13),0,VLOOKUP(Draft!H13, 'NO USAR1'!A4:L1000,12,FALSE)+(IF(ISBLANK(Draft!I4),0,VLOOKUP(Draft!I4, 'NO USAR1'!A4:L1000,12,FALSE)+(IF(ISBLANK(Draft!J13),0,VLOOKUP(Draft!J13, 'NO USAR1'!A4:L1000,12,FALSE)+(IF(ISBLANK(Draft!K4),0,VLOOKUP(Draft!K4, 'NO USAR1'!A4:L1000,12,FALSE)+(IF(ISBLANK(Draft!L13),0,VLOOKUP(Draft!L13, 'NO USAR1'!A4:L1000,12,FALSE)+IF(ISBLANK(Draft!M4),0,VLOOKUP(Draft!M4, 'NO USAR1'!A4:L1000,12,FALSE)+IF(ISBLANK(Draft!N13),0,VLOOKUP(Draft!N13, 'NO USAR1'!A4:L1000,12,FALSE))))))))))))))))))))))))</f>
        <v>-3.743534608</v>
      </c>
      <c r="M6" s="49">
        <f t="array" ref="M6">if(M$3=$C6,"-", countif(indirect(address(row($C$4)+ VLOOKUP(M$3,$C$5:$C$16,1),COLUMN($D$4))):indirect(address(row($C$4)+ VLOOKUP(M$3,$C$5:$C$16,1),COLUMN($L$4)))&gt;indirect(address(row($C6),COLUMN($D$4))):indirect(address(row($C6),COLUMN($L$4))),TRUE()))</f>
        <v>0</v>
      </c>
      <c r="N6" s="49">
        <f t="array" ref="N6">if(N$3=$C6,"-", countif(indirect(address(row($C$4)+ VLOOKUP(N$3,$C$5:$C$16,1),COLUMN($D$4))):indirect(address(row($C$4)+ VLOOKUP(N$3,$C$5:$C$16,1),COLUMN($L$4)))&gt;indirect(address(row($C6),COLUMN($D$4))):indirect(address(row($C6),COLUMN($L$4))),TRUE()))</f>
        <v>0</v>
      </c>
      <c r="O6" s="49">
        <f t="array" ref="O6">if(O$3=$C6,"-", countif(indirect(address(row($C$4)+ VLOOKUP(O$3,$C$5:$C$16,1),COLUMN($D$4))):indirect(address(row($C$4)+ VLOOKUP(O$3,$C$5:$C$16,1),COLUMN($L$4)))&gt;indirect(address(row($C6),COLUMN($D$4))):indirect(address(row($C6),COLUMN($L$4))),TRUE()))</f>
        <v>0</v>
      </c>
      <c r="P6" s="49">
        <f t="array" ref="P6">if(P$3=$C6,"-", countif(indirect(address(row($C$4)+ VLOOKUP(P$3,$C$5:$C$16,1),COLUMN($D$4))):indirect(address(row($C$4)+ VLOOKUP(P$3,$C$5:$C$16,1),COLUMN($L$4)))&gt;indirect(address(row($C6),COLUMN($D$4))):indirect(address(row($C6),COLUMN($L$4))),TRUE()))</f>
        <v>0</v>
      </c>
      <c r="Q6" s="49">
        <f t="array" ref="Q6">if(Q$3=$C6,"-", countif(indirect(address(row($C$4)+ VLOOKUP(Q$3,$C$5:$C$16,1),COLUMN($D$4))):indirect(address(row($C$4)+ VLOOKUP(Q$3,$C$5:$C$16,1),COLUMN($L$4)))&gt;indirect(address(row($C6),COLUMN($D$4))):indirect(address(row($C6),COLUMN($L$4))),TRUE()))</f>
        <v>0</v>
      </c>
      <c r="R6" s="49">
        <f t="array" ref="R6">if(R$3=$C6,"-", countif(indirect(address(row($C$4)+ VLOOKUP(R$3,$C$5:$C$16,1),COLUMN($D$4))):indirect(address(row($C$4)+ VLOOKUP(R$3,$C$5:$C$16,1),COLUMN($L$4)))&gt;indirect(address(row($C6),COLUMN($D$4))):indirect(address(row($C6),COLUMN($L$4))),TRUE()))</f>
        <v>0</v>
      </c>
      <c r="S6" s="49">
        <f t="array" ref="S6">if(S$3=$C6,"-", countif(indirect(address(row($C$4)+ VLOOKUP(S$3,$C$5:$C$16,1),COLUMN($D$4))):indirect(address(row($C$4)+ VLOOKUP(S$3,$C$5:$C$16,1),COLUMN($L$4)))&gt;indirect(address(row($C6),COLUMN($D$4))):indirect(address(row($C6),COLUMN($L$4))),TRUE()))</f>
        <v>0</v>
      </c>
      <c r="T6" s="49">
        <f t="array" ref="T6">if(T$3=$C6,"-", countif(indirect(address(row($C$4)+ VLOOKUP(T$3,$C$5:$C$16,1),COLUMN($D$4))):indirect(address(row($C$4)+ VLOOKUP(T$3,$C$5:$C$16,1),COLUMN($L$4)))&gt;indirect(address(row($C6),COLUMN($D$4))):indirect(address(row($C6),COLUMN($L$4))),TRUE()))</f>
        <v>0</v>
      </c>
      <c r="U6" s="49">
        <f t="array" ref="U6">if(U$3=$C6,"-", countif(indirect(address(row($C$4)+ VLOOKUP(U$3,$C$5:$C$16,1),COLUMN($D$4))):indirect(address(row($C$4)+ VLOOKUP(U$3,$C$5:$C$16,1),COLUMN($L$4)))&gt;indirect(address(row($C6),COLUMN($D$4))):indirect(address(row($C6),COLUMN($L$4))),TRUE()))</f>
        <v>0</v>
      </c>
      <c r="V6" s="49">
        <f t="array" ref="V6">if(V$3=$C6,"-", countif(indirect(address(row($C$4)+ VLOOKUP(V$3,$C$5:$C$16,1),COLUMN($D$4))):indirect(address(row($C$4)+ VLOOKUP(V$3,$C$5:$C$16,1),COLUMN($L$4)))&gt;indirect(address(row($C6),COLUMN($D$4))):indirect(address(row($C6),COLUMN($L$4))),TRUE()))</f>
        <v>0</v>
      </c>
      <c r="W6" s="49">
        <f t="array" ref="W6">if(W$3=$C6,"-", countif(indirect(address(row($C$4)+ VLOOKUP(W$3,$C$5:$C$16,1),COLUMN($D$4))):indirect(address(row($C$4)+ VLOOKUP(W$3,$C$5:$C$16,1),COLUMN($L$4)))&gt;indirect(address(row($C6),COLUMN($D$4))):indirect(address(row($C6),COLUMN($L$4))),TRUE()))</f>
        <v>0</v>
      </c>
      <c r="X6" s="49">
        <f t="array" ref="X6">if(X$3=$C6,"-", countif(indirect(address(row($C$4)+ VLOOKUP(X$3,$C$5:$C$16,1),COLUMN($D$4))):indirect(address(row($C$4)+ VLOOKUP(X$3,$C$5:$C$16,1),COLUMN($L$4)))&gt;indirect(address(row($C6),COLUMN($D$4))):indirect(address(row($C6),COLUMN($L$4))),TRUE()))</f>
        <v>0</v>
      </c>
      <c r="Y6" s="49">
        <f t="array" ref="Y6">if(D$1=$C6,"-", countif(indirect(address(row($C$4)+ VLOOKUP(D$1,$C$5:$C$16,1),COLUMN($D$4))):indirect(address(row($C$4)+ VLOOKUP(D$1,$C$5:$C$16,1),COLUMN($L$4)))&gt;indirect(address(row($C6),COLUMN($D$4))):indirect(address(row($C6),COLUMN($L$4))),TRUE()))</f>
        <v>0</v>
      </c>
      <c r="Z6" s="23">
        <f>SUM(N$5:N$16)/99</f>
        <v>0</v>
      </c>
    </row>
    <row r="7">
      <c r="B7" s="13" t="b">
        <f>Draft!B5</f>
        <v>0</v>
      </c>
      <c r="C7" s="12">
        <v>3.0</v>
      </c>
      <c r="D7" s="23">
        <f>((IF(ISBLANK(Draft!C5),0,VLOOKUP(Draft!C5, 'NO USAR1'!A4:L1000,2,FALSE)+(IF(ISBLANK(Draft!D12),0,VLOOKUP(Draft!D12, 'NO USAR1'!A4:L1000,2,FALSE)+(IF(ISBLANK(Draft!E5),0,VLOOKUP(Draft!E5, 'NO USAR1'!A4:L1000,2,FALSE)+(IF(ISBLANK(Draft!F12),0,VLOOKUP(Draft!F12, 'NO USAR1'!A4:L1000,2,FALSE)+(IF(ISBLANK(Draft!G5),0,VLOOKUP(Draft!G5, 'NO USAR1'!A4:L1000,2,FALSE)+(IF(ISBLANK(Draft!H12),0,VLOOKUP(Draft!H12, 'NO USAR1'!A4:L1000,2,FALSE)+(IF(ISBLANK(Draft!I5),0,VLOOKUP(Draft!I5, 'NO USAR1'!A4:L1000,2,FALSE)+(IF(ISBLANK(Draft!J12),0,VLOOKUP(Draft!J12, 'NO USAR1'!A4:L1000,2,FALSE)+(IF(ISBLANK(Draft!K5),0,VLOOKUP(Draft!K5, 'NO USAR1'!A4:L1000,2,FALSE)+(IF(ISBLANK(Draft!L12),0,VLOOKUP(Draft!L12, 'NO USAR1'!A4:L1000,2,FALSE)+IF(ISBLANK(Draft!M5),0,VLOOKUP(Draft!M5, 'NO USAR1'!A4:L1000,2,FALSE)+IF(ISBLANK(Draft!N12),0,VLOOKUP(Draft!N12, 'NO USAR1'!A4:L1000,2,FALSE))))))))))))))))))))))))</f>
        <v>1.068117982</v>
      </c>
      <c r="E7" s="23">
        <f>((IF(ISBLANK(Draft!C5),0,VLOOKUP(Draft!C5, 'NO USAR1'!A4:L1000,3,FALSE)+(IF(ISBLANK(Draft!D12),0,VLOOKUP(Draft!D12, 'NO USAR1'!A4:L1000,3,FALSE)+(IF(ISBLANK(Draft!E5),0,VLOOKUP(Draft!E5, 'NO USAR1'!A4:L1000,3,FALSE)+(IF(ISBLANK(Draft!F12),0,VLOOKUP(Draft!F12, 'NO USAR1'!A4:L1000,3,FALSE)+(IF(ISBLANK(Draft!G5),0,VLOOKUP(Draft!G5, 'NO USAR1'!A4:L1000,3,FALSE)+(IF(ISBLANK(Draft!H12),0,VLOOKUP(Draft!H12, 'NO USAR1'!A4:L1000,3,FALSE)+(IF(ISBLANK(Draft!I5),0,VLOOKUP(Draft!I5, 'NO USAR1'!A4:L1000,3,FALSE)+(IF(ISBLANK(Draft!J12),0,VLOOKUP(Draft!J12, 'NO USAR1'!A4:L1000,3,FALSE)+(IF(ISBLANK(Draft!K5),0,VLOOKUP(Draft!K5, 'NO USAR1'!A4:L1000,3,FALSE)+(IF(ISBLANK(Draft!L12),0,VLOOKUP(Draft!L12, 'NO USAR1'!A4:L1000,3,FALSE)+IF(ISBLANK(Draft!M5),0,VLOOKUP(Draft!M5, 'NO USAR1'!A4:L1000,3,FALSE)+IF(ISBLANK(Draft!N12),0,VLOOKUP(Draft!N12, 'NO USAR1'!A4:L1000,3,FALSE))))))))))))))))))))))))</f>
        <v>-1.547582233</v>
      </c>
      <c r="F7" s="23">
        <f>((IF(ISBLANK(Draft!C5),0,VLOOKUP(Draft!C5, 'NO USAR1'!A4:L1000,4,FALSE)+(IF(ISBLANK(Draft!D12),0,VLOOKUP(Draft!D12, 'NO USAR1'!A4:L1000,4,FALSE)+(IF(ISBLANK(Draft!E5),0,VLOOKUP(Draft!E5, 'NO USAR1'!A4:L1000,4,FALSE)+(IF(ISBLANK(Draft!F12),0,VLOOKUP(Draft!F12, 'NO USAR1'!A4:L1000,4,FALSE)+(IF(ISBLANK(Draft!G5),0,VLOOKUP(Draft!G5, 'NO USAR1'!A4:L1000,4,FALSE)+(IF(ISBLANK(Draft!H12),0,VLOOKUP(Draft!H12, 'NO USAR1'!A4:L1000,4,FALSE)+(IF(ISBLANK(Draft!I5),0,VLOOKUP(Draft!I5, 'NO USAR1'!A4:L1000,4,FALSE)+(IF(ISBLANK(Draft!J12),0,VLOOKUP(Draft!J12, 'NO USAR1'!A4:L1000,4,FALSE)+(IF(ISBLANK(Draft!K5),0,VLOOKUP(Draft!K5, 'NO USAR1'!A4:L1000,4,FALSE)+(IF(ISBLANK(Draft!L12),0,VLOOKUP(Draft!L12, 'NO USAR1'!A4:L1000,4,FALSE)+IF(ISBLANK(Draft!M5),0,VLOOKUP(Draft!M5, 'NO USAR1'!A4:L1000,4,FALSE)+IF(ISBLANK(Draft!N12),0,VLOOKUP(Draft!N12, 'NO USAR1'!A4:L1000,4,FALSE))))))))))))))))))))))))</f>
        <v>3.216956552</v>
      </c>
      <c r="G7" s="23">
        <f>((IF(ISBLANK(Draft!C5),0,VLOOKUP(Draft!C5, 'NO USAR1'!A4:L1000,5,FALSE)+(IF(ISBLANK(Draft!D12),0,VLOOKUP(Draft!D12, 'NO USAR1'!A4:L1000,5,FALSE)+(IF(ISBLANK(Draft!E5),0,VLOOKUP(Draft!E5, 'NO USAR1'!A4:L1000,5,FALSE)+(IF(ISBLANK(Draft!F12),0,VLOOKUP(Draft!F12, 'NO USAR1'!A4:L1000,5,FALSE)+(IF(ISBLANK(Draft!G5),0,VLOOKUP(Draft!G5, 'NO USAR1'!A4:L1000,5,FALSE)+(IF(ISBLANK(Draft!H12),0,VLOOKUP(Draft!H12, 'NO USAR1'!A4:L1000,5,FALSE)+(IF(ISBLANK(Draft!I5),0,VLOOKUP(Draft!I5, 'NO USAR1'!A4:L1000,5,FALSE)+(IF(ISBLANK(Draft!J12),0,VLOOKUP(Draft!J12, 'NO USAR1'!A4:L1000,5,FALSE)+(IF(ISBLANK(Draft!K5),0,VLOOKUP(Draft!K5, 'NO USAR1'!A4:L1000,5,FALSE)+(IF(ISBLANK(Draft!L12),0,VLOOKUP(Draft!L12, 'NO USAR1'!A4:L1000,5,FALSE)+IF(ISBLANK(Draft!M5),0,VLOOKUP(Draft!M5, 'NO USAR1'!A4:L1000,5,FALSE)+IF(ISBLANK(Draft!N12),0,VLOOKUP(Draft!N12, 'NO USAR1'!A4:L1000,5,FALSE))))))))))))))))))))))))</f>
        <v>-4.803934582</v>
      </c>
      <c r="H7" s="23">
        <f>((IF(ISBLANK(Draft!C5),0,VLOOKUP(Draft!C5, 'NO USAR1'!A4:L1000,6,FALSE)+(IF(ISBLANK(Draft!D12),0,VLOOKUP(Draft!D12, 'NO USAR1'!A4:L1000,6,FALSE)+(IF(ISBLANK(Draft!E5),0,VLOOKUP(Draft!E5, 'NO USAR1'!A4:L1000,6,FALSE)+(IF(ISBLANK(Draft!F12),0,VLOOKUP(Draft!F12, 'NO USAR1'!A4:L1000,6,FALSE)+(IF(ISBLANK(Draft!G5),0,VLOOKUP(Draft!G5, 'NO USAR1'!A4:L1000,6,FALSE)+(IF(ISBLANK(Draft!H12),0,VLOOKUP(Draft!H12, 'NO USAR1'!A4:L1000,6,FALSE)+(IF(ISBLANK(Draft!I5),0,VLOOKUP(Draft!I5, 'NO USAR1'!A4:L1000,6,FALSE)+(IF(ISBLANK(Draft!J12),0,VLOOKUP(Draft!J12, 'NO USAR1'!A4:L1000,6,FALSE)+(IF(ISBLANK(Draft!K5),0,VLOOKUP(Draft!K5, 'NO USAR1'!A4:L1000,6,FALSE)+(IF(ISBLANK(Draft!L12),0,VLOOKUP(Draft!L12, 'NO USAR1'!A4:L1000,6,FALSE)+IF(ISBLANK(Draft!M5),0,VLOOKUP(Draft!M5, 'NO USAR1'!A4:L1000,6,FALSE)+IF(ISBLANK(Draft!N12),0,VLOOKUP(Draft!N12, 'NO USAR1'!A4:L1000,6,FALSE))))))))))))))))))))))))</f>
        <v>-1.780062741</v>
      </c>
      <c r="I7" s="23">
        <f>((IF(ISBLANK(Draft!C5),0,VLOOKUP(Draft!C5, 'NO USAR1'!A4:L1000,7,FALSE)+(IF(ISBLANK(Draft!D12),0,VLOOKUP(Draft!D12, 'NO USAR1'!A4:L1000,7,FALSE)+(IF(ISBLANK(Draft!E5),0,VLOOKUP(Draft!E5, 'NO USAR1'!A4:L1000,7,FALSE)+(IF(ISBLANK(Draft!F12),0,VLOOKUP(Draft!F12, 'NO USAR1'!A4:L1000,7,FALSE)+(IF(ISBLANK(Draft!G5),0,VLOOKUP(Draft!G5, 'NO USAR1'!A4:L1000,7,FALSE)+(IF(ISBLANK(Draft!H12),0,VLOOKUP(Draft!H12, 'NO USAR1'!A4:L1000,7,FALSE)+(IF(ISBLANK(Draft!I5),0,VLOOKUP(Draft!I5, 'NO USAR1'!A4:L1000,7,FALSE)+(IF(ISBLANK(Draft!J12),0,VLOOKUP(Draft!J12, 'NO USAR1'!A4:L1000,7,FALSE)+(IF(ISBLANK(Draft!K5),0,VLOOKUP(Draft!K5, 'NO USAR1'!A4:L1000,7,FALSE)+(IF(ISBLANK(Draft!L12),0,VLOOKUP(Draft!L12, 'NO USAR1'!A4:L1000,7,FALSE)+IF(ISBLANK(Draft!M5),0,VLOOKUP(Draft!M5, 'NO USAR1'!A4:L1000,7,FALSE)+IF(ISBLANK(Draft!N12),0,VLOOKUP(Draft!N12, 'NO USAR1'!A4:L1000,7,FALSE))))))))))))))))))))))))</f>
        <v>3.562685244</v>
      </c>
      <c r="J7" s="23">
        <f>((IF(ISBLANK(Draft!C5),0,VLOOKUP(Draft!C5, 'NO USAR1'!A4:L1000,8,FALSE)+(IF(ISBLANK(Draft!D12),0,VLOOKUP(Draft!D12, 'NO USAR1'!A4:L1000,8,FALSE)+(IF(ISBLANK(Draft!E5),0,VLOOKUP(Draft!E5, 'NO USAR1'!A4:L1000,8,FALSE)+(IF(ISBLANK(Draft!F12),0,VLOOKUP(Draft!F12, 'NO USAR1'!A4:L1000,8,FALSE)+(IF(ISBLANK(Draft!G5),0,VLOOKUP(Draft!G5, 'NO USAR1'!A4:L1000,8,FALSE)+(IF(ISBLANK(Draft!H12),0,VLOOKUP(Draft!H12, 'NO USAR1'!A4:L1000,8,FALSE)+(IF(ISBLANK(Draft!I5),0,VLOOKUP(Draft!I5, 'NO USAR1'!A4:L1000,8,FALSE)+(IF(ISBLANK(Draft!J12),0,VLOOKUP(Draft!J12, 'NO USAR1'!A4:L1000,8,FALSE)+(IF(ISBLANK(Draft!K5),0,VLOOKUP(Draft!K5, 'NO USAR1'!A4:L1000,8,FALSE)+(IF(ISBLANK(Draft!L12),0,VLOOKUP(Draft!L12, 'NO USAR1'!A4:L1000,8,FALSE)+IF(ISBLANK(Draft!M5),0,VLOOKUP(Draft!M5, 'NO USAR1'!A4:L1000,8,FALSE)+IF(ISBLANK(Draft!N12),0,VLOOKUP(Draft!N12, 'NO USAR1'!A4:L1000,8,FALSE))))))))))))))))))))))))</f>
        <v>2.275522209</v>
      </c>
      <c r="K7" s="23">
        <f>((IF(ISBLANK(Draft!C5),0,VLOOKUP(Draft!C5, 'NO USAR1'!A4:L1000,10,FALSE)+(IF(ISBLANK(Draft!D12),0,VLOOKUP(Draft!D12, 'NO USAR1'!A4:L1000,10,FALSE)+(IF(ISBLANK(Draft!E5),0,VLOOKUP(Draft!E5, 'NO USAR1'!A4:L1000,10,FALSE)+(IF(ISBLANK(Draft!F12),0,VLOOKUP(Draft!F12, 'NO USAR1'!A4:L1000,10,FALSE)+(IF(ISBLANK(Draft!G5),0,VLOOKUP(Draft!G5, 'NO USAR1'!A4:L1000,10,FALSE)+(IF(ISBLANK(Draft!H12),0,VLOOKUP(Draft!H12, 'NO USAR1'!A4:L1000,10,FALSE)+(IF(ISBLANK(Draft!I5),0,VLOOKUP(Draft!I5, 'NO USAR1'!A4:L1000,10,FALSE)+(IF(ISBLANK(Draft!J12),0,VLOOKUP(Draft!J12, 'NO USAR1'!A4:L1000,10,FALSE)+(IF(ISBLANK(Draft!K5),0,VLOOKUP(Draft!K5, 'NO USAR1'!A4:L1000,10,FALSE)+(IF(ISBLANK(Draft!L12),0,VLOOKUP(Draft!L12, 'NO USAR1'!A4:L1000,10,FALSE)+IF(ISBLANK(Draft!M5),0,VLOOKUP(Draft!M5, 'NO USAR1'!A4:L1000,10,FALSE)+IF(ISBLANK(Draft!N12),0,VLOOKUP(Draft!N12, 'NO USAR1'!A4:L1000,10,FALSE))))))))))))))))))))))))</f>
        <v>-0.5980622916</v>
      </c>
      <c r="L7" s="23">
        <f>((IF(ISBLANK(Draft!C5),0,VLOOKUP(Draft!C5, 'NO USAR1'!A4:L1000,12,FALSE)+(IF(ISBLANK(Draft!D12),0,VLOOKUP(Draft!D12, 'NO USAR1'!A4:L1000,12,FALSE)+(IF(ISBLANK(Draft!E5),0,VLOOKUP(Draft!E5, 'NO USAR1'!A4:L1000,12,FALSE)+(IF(ISBLANK(Draft!F12),0,VLOOKUP(Draft!F12, 'NO USAR1'!A4:L1000,12,FALSE)+(IF(ISBLANK(Draft!G5),0,VLOOKUP(Draft!G5, 'NO USAR1'!A4:L1000,12,FALSE)+(IF(ISBLANK(Draft!H12),0,VLOOKUP(Draft!H12, 'NO USAR1'!A4:L1000,12,FALSE)+(IF(ISBLANK(Draft!I5),0,VLOOKUP(Draft!I5, 'NO USAR1'!A4:L1000,12,FALSE)+(IF(ISBLANK(Draft!J12),0,VLOOKUP(Draft!J12, 'NO USAR1'!A4:L1000,12,FALSE)+(IF(ISBLANK(Draft!K5),0,VLOOKUP(Draft!K5, 'NO USAR1'!A4:L1000,12,FALSE)+(IF(ISBLANK(Draft!L12),0,VLOOKUP(Draft!L12, 'NO USAR1'!A4:L1000,12,FALSE)+IF(ISBLANK(Draft!M5),0,VLOOKUP(Draft!M5, 'NO USAR1'!A4:L1000,12,FALSE)+IF(ISBLANK(Draft!N12),0,VLOOKUP(Draft!N12, 'NO USAR1'!A4:L1000,12,FALSE))))))))))))))))))))))))</f>
        <v>3.784273509</v>
      </c>
      <c r="M7" s="49">
        <f t="array" ref="M7">if(M$3=$C7,"-", countif(indirect(address(row($C$4)+ VLOOKUP(M$3,$C$5:$C$16,1),COLUMN($D$4))):indirect(address(row($C$4)+ VLOOKUP(M$3,$C$5:$C$16,1),COLUMN($L$4)))&gt;indirect(address(row($C7),COLUMN($D$4))):indirect(address(row($C7),COLUMN($L$4))),TRUE()))</f>
        <v>0</v>
      </c>
      <c r="N7" s="49">
        <f t="array" ref="N7">if(N$3=$C7,"-", countif(indirect(address(row($C$4)+ VLOOKUP(N$3,$C$5:$C$16,1),COLUMN($D$4))):indirect(address(row($C$4)+ VLOOKUP(N$3,$C$5:$C$16,1),COLUMN($L$4)))&gt;indirect(address(row($C7),COLUMN($D$4))):indirect(address(row($C7),COLUMN($L$4))),TRUE()))</f>
        <v>0</v>
      </c>
      <c r="O7" s="49">
        <f t="array" ref="O7">if(O$3=$C7,"-", countif(indirect(address(row($C$4)+ VLOOKUP(O$3,$C$5:$C$16,1),COLUMN($D$4))):indirect(address(row($C$4)+ VLOOKUP(O$3,$C$5:$C$16,1),COLUMN($L$4)))&gt;indirect(address(row($C7),COLUMN($D$4))):indirect(address(row($C7),COLUMN($L$4))),TRUE()))</f>
        <v>0</v>
      </c>
      <c r="P7" s="49">
        <f t="array" ref="P7">if(P$3=$C7,"-", countif(indirect(address(row($C$4)+ VLOOKUP(P$3,$C$5:$C$16,1),COLUMN($D$4))):indirect(address(row($C$4)+ VLOOKUP(P$3,$C$5:$C$16,1),COLUMN($L$4)))&gt;indirect(address(row($C7),COLUMN($D$4))):indirect(address(row($C7),COLUMN($L$4))),TRUE()))</f>
        <v>0</v>
      </c>
      <c r="Q7" s="49">
        <f t="array" ref="Q7">if(Q$3=$C7,"-", countif(indirect(address(row($C$4)+ VLOOKUP(Q$3,$C$5:$C$16,1),COLUMN($D$4))):indirect(address(row($C$4)+ VLOOKUP(Q$3,$C$5:$C$16,1),COLUMN($L$4)))&gt;indirect(address(row($C7),COLUMN($D$4))):indirect(address(row($C7),COLUMN($L$4))),TRUE()))</f>
        <v>0</v>
      </c>
      <c r="R7" s="49">
        <f t="array" ref="R7">if(R$3=$C7,"-", countif(indirect(address(row($C$4)+ VLOOKUP(R$3,$C$5:$C$16,1),COLUMN($D$4))):indirect(address(row($C$4)+ VLOOKUP(R$3,$C$5:$C$16,1),COLUMN($L$4)))&gt;indirect(address(row($C7),COLUMN($D$4))):indirect(address(row($C7),COLUMN($L$4))),TRUE()))</f>
        <v>0</v>
      </c>
      <c r="S7" s="49">
        <f t="array" ref="S7">if(S$3=$C7,"-", countif(indirect(address(row($C$4)+ VLOOKUP(S$3,$C$5:$C$16,1),COLUMN($D$4))):indirect(address(row($C$4)+ VLOOKUP(S$3,$C$5:$C$16,1),COLUMN($L$4)))&gt;indirect(address(row($C7),COLUMN($D$4))):indirect(address(row($C7),COLUMN($L$4))),TRUE()))</f>
        <v>0</v>
      </c>
      <c r="T7" s="49">
        <f t="array" ref="T7">if(T$3=$C7,"-", countif(indirect(address(row($C$4)+ VLOOKUP(T$3,$C$5:$C$16,1),COLUMN($D$4))):indirect(address(row($C$4)+ VLOOKUP(T$3,$C$5:$C$16,1),COLUMN($L$4)))&gt;indirect(address(row($C7),COLUMN($D$4))):indirect(address(row($C7),COLUMN($L$4))),TRUE()))</f>
        <v>0</v>
      </c>
      <c r="U7" s="49">
        <f t="array" ref="U7">if(U$3=$C7,"-", countif(indirect(address(row($C$4)+ VLOOKUP(U$3,$C$5:$C$16,1),COLUMN($D$4))):indirect(address(row($C$4)+ VLOOKUP(U$3,$C$5:$C$16,1),COLUMN($L$4)))&gt;indirect(address(row($C7),COLUMN($D$4))):indirect(address(row($C7),COLUMN($L$4))),TRUE()))</f>
        <v>0</v>
      </c>
      <c r="V7" s="49">
        <f t="array" ref="V7">if(V$3=$C7,"-", countif(indirect(address(row($C$4)+ VLOOKUP(V$3,$C$5:$C$16,1),COLUMN($D$4))):indirect(address(row($C$4)+ VLOOKUP(V$3,$C$5:$C$16,1),COLUMN($L$4)))&gt;indirect(address(row($C7),COLUMN($D$4))):indirect(address(row($C7),COLUMN($L$4))),TRUE()))</f>
        <v>0</v>
      </c>
      <c r="W7" s="49">
        <f t="array" ref="W7">if(W$3=$C7,"-", countif(indirect(address(row($C$4)+ VLOOKUP(W$3,$C$5:$C$16,1),COLUMN($D$4))):indirect(address(row($C$4)+ VLOOKUP(W$3,$C$5:$C$16,1),COLUMN($L$4)))&gt;indirect(address(row($C7),COLUMN($D$4))):indirect(address(row($C7),COLUMN($L$4))),TRUE()))</f>
        <v>0</v>
      </c>
      <c r="X7" s="49">
        <f t="array" ref="X7">if(X$3=$C7,"-", countif(indirect(address(row($C$4)+ VLOOKUP(X$3,$C$5:$C$16,1),COLUMN($D$4))):indirect(address(row($C$4)+ VLOOKUP(X$3,$C$5:$C$16,1),COLUMN($L$4)))&gt;indirect(address(row($C7),COLUMN($D$4))):indirect(address(row($C7),COLUMN($L$4))),TRUE()))</f>
        <v>0</v>
      </c>
      <c r="Y7" s="49">
        <f t="array" ref="Y7">if(D$1=$C7,"-", countif(indirect(address(row($C$4)+ VLOOKUP(D$1,$C$5:$C$16,1),COLUMN($D$4))):indirect(address(row($C$4)+ VLOOKUP(D$1,$C$5:$C$16,1),COLUMN($L$4)))&gt;indirect(address(row($C7),COLUMN($D$4))):indirect(address(row($C7),COLUMN($L$4))),TRUE()))</f>
        <v>0</v>
      </c>
      <c r="Z7" s="23">
        <f>SUM(O$5:O$16)/99</f>
        <v>0</v>
      </c>
    </row>
    <row r="8">
      <c r="B8" s="13" t="b">
        <f>Draft!B6</f>
        <v>0</v>
      </c>
      <c r="C8" s="12">
        <v>4.0</v>
      </c>
      <c r="D8" s="23">
        <f>((IF(ISBLANK(Draft!C6),0,VLOOKUP(Draft!C6, 'NO USAR1'!A4:L1000,2,FALSE)+(IF(ISBLANK(Draft!D11),0,VLOOKUP(Draft!D11, 'NO USAR1'!A4:L1000,2,FALSE)+(IF(ISBLANK(Draft!E6),0,VLOOKUP(Draft!E6, 'NO USAR1'!A4:L1000,2,FALSE)+(IF(ISBLANK(Draft!F11),0,VLOOKUP(Draft!F11, 'NO USAR1'!A4:L1000,2,FALSE)+(IF(ISBLANK(Draft!G6),0,VLOOKUP(Draft!G6, 'NO USAR1'!A4:L1000,2,FALSE)+(IF(ISBLANK(Draft!H11),0,VLOOKUP(Draft!H11, 'NO USAR1'!A4:L1000,2,FALSE)+(IF(ISBLANK(Draft!I6),0,VLOOKUP(Draft!I6, 'NO USAR1'!A4:L1000,2,FALSE)+(IF(ISBLANK(Draft!J11),0,VLOOKUP(Draft!J11, 'NO USAR1'!A4:L1000,2,FALSE)+(IF(ISBLANK(Draft!K6),0,VLOOKUP(Draft!K6, 'NO USAR1'!A4:L1000,2,FALSE)+(IF(ISBLANK(Draft!L11),0,VLOOKUP(Draft!L11, 'NO USAR1'!A4:L1000,2,FALSE)+IF(ISBLANK(Draft!M6),0,VLOOKUP(Draft!M6, 'NO USAR1'!A4:L1000,2,FALSE)+IF(ISBLANK(Draft!N11),0,VLOOKUP(Draft!N11, 'NO USAR1'!A4:L1000,2,FALSE))))))))))))))))))))))))</f>
        <v>5.39968489</v>
      </c>
      <c r="E8" s="23">
        <f>((IF(ISBLANK(Draft!C6),0,VLOOKUP(Draft!C6, 'NO USAR1'!A4:L1000,3,FALSE)+(IF(ISBLANK(Draft!D11),0,VLOOKUP(Draft!D11, 'NO USAR1'!A4:L1000,3,FALSE)+(IF(ISBLANK(Draft!E6),0,VLOOKUP(Draft!E6, 'NO USAR1'!A4:L1000,3,FALSE)+(IF(ISBLANK(Draft!F11),0,VLOOKUP(Draft!F11, 'NO USAR1'!A4:L1000,3,FALSE)+(IF(ISBLANK(Draft!G6),0,VLOOKUP(Draft!G6, 'NO USAR1'!A4:L1000,3,FALSE)+(IF(ISBLANK(Draft!H11),0,VLOOKUP(Draft!H11, 'NO USAR1'!A4:L1000,3,FALSE)+(IF(ISBLANK(Draft!I6),0,VLOOKUP(Draft!I6, 'NO USAR1'!A4:L1000,3,FALSE)+(IF(ISBLANK(Draft!J11),0,VLOOKUP(Draft!J11, 'NO USAR1'!A4:L1000,3,FALSE)+(IF(ISBLANK(Draft!K6),0,VLOOKUP(Draft!K6, 'NO USAR1'!A4:L1000,3,FALSE)+(IF(ISBLANK(Draft!L11),0,VLOOKUP(Draft!L11, 'NO USAR1'!A4:L1000,3,FALSE)+IF(ISBLANK(Draft!M6),0,VLOOKUP(Draft!M6, 'NO USAR1'!A4:L1000,3,FALSE)+IF(ISBLANK(Draft!N11),0,VLOOKUP(Draft!N11, 'NO USAR1'!A4:L1000,3,FALSE))))))))))))))))))))))))</f>
        <v>-0.747617783</v>
      </c>
      <c r="F8" s="23">
        <f>((IF(ISBLANK(Draft!C6),0,VLOOKUP(Draft!C6, 'NO USAR1'!A4:L1000,4,FALSE)+(IF(ISBLANK(Draft!D11),0,VLOOKUP(Draft!D11, 'NO USAR1'!A4:L1000,4,FALSE)+(IF(ISBLANK(Draft!E6),0,VLOOKUP(Draft!E6, 'NO USAR1'!A4:L1000,4,FALSE)+(IF(ISBLANK(Draft!F11),0,VLOOKUP(Draft!F11, 'NO USAR1'!A4:L1000,4,FALSE)+(IF(ISBLANK(Draft!G6),0,VLOOKUP(Draft!G6, 'NO USAR1'!A4:L1000,4,FALSE)+(IF(ISBLANK(Draft!H11),0,VLOOKUP(Draft!H11, 'NO USAR1'!A4:L1000,4,FALSE)+(IF(ISBLANK(Draft!I6),0,VLOOKUP(Draft!I6, 'NO USAR1'!A4:L1000,4,FALSE)+(IF(ISBLANK(Draft!J11),0,VLOOKUP(Draft!J11, 'NO USAR1'!A4:L1000,4,FALSE)+(IF(ISBLANK(Draft!K6),0,VLOOKUP(Draft!K6, 'NO USAR1'!A4:L1000,4,FALSE)+(IF(ISBLANK(Draft!L11),0,VLOOKUP(Draft!L11, 'NO USAR1'!A4:L1000,4,FALSE)+IF(ISBLANK(Draft!M6),0,VLOOKUP(Draft!M6, 'NO USAR1'!A4:L1000,4,FALSE)+IF(ISBLANK(Draft!N11),0,VLOOKUP(Draft!N11, 'NO USAR1'!A4:L1000,4,FALSE))))))))))))))))))))))))</f>
        <v>3.665993495</v>
      </c>
      <c r="G8" s="23">
        <f>((IF(ISBLANK(Draft!C6),0,VLOOKUP(Draft!C6, 'NO USAR1'!A4:L1000,5,FALSE)+(IF(ISBLANK(Draft!D11),0,VLOOKUP(Draft!D11, 'NO USAR1'!A4:L1000,5,FALSE)+(IF(ISBLANK(Draft!E6),0,VLOOKUP(Draft!E6, 'NO USAR1'!A4:L1000,5,FALSE)+(IF(ISBLANK(Draft!F11),0,VLOOKUP(Draft!F11, 'NO USAR1'!A4:L1000,5,FALSE)+(IF(ISBLANK(Draft!G6),0,VLOOKUP(Draft!G6, 'NO USAR1'!A4:L1000,5,FALSE)+(IF(ISBLANK(Draft!H11),0,VLOOKUP(Draft!H11, 'NO USAR1'!A4:L1000,5,FALSE)+(IF(ISBLANK(Draft!I6),0,VLOOKUP(Draft!I6, 'NO USAR1'!A4:L1000,5,FALSE)+(IF(ISBLANK(Draft!J11),0,VLOOKUP(Draft!J11, 'NO USAR1'!A4:L1000,5,FALSE)+(IF(ISBLANK(Draft!K6),0,VLOOKUP(Draft!K6, 'NO USAR1'!A4:L1000,5,FALSE)+(IF(ISBLANK(Draft!L11),0,VLOOKUP(Draft!L11, 'NO USAR1'!A4:L1000,5,FALSE)+IF(ISBLANK(Draft!M6),0,VLOOKUP(Draft!M6, 'NO USAR1'!A4:L1000,5,FALSE)+IF(ISBLANK(Draft!N11),0,VLOOKUP(Draft!N11, 'NO USAR1'!A4:L1000,5,FALSE))))))))))))))))))))))))</f>
        <v>1.313896638</v>
      </c>
      <c r="H8" s="23">
        <f>((IF(ISBLANK(Draft!C6),0,VLOOKUP(Draft!C6, 'NO USAR1'!A4:L1000,6,FALSE)+(IF(ISBLANK(Draft!D11),0,VLOOKUP(Draft!D11, 'NO USAR1'!A4:L1000,6,FALSE)+(IF(ISBLANK(Draft!E6),0,VLOOKUP(Draft!E6, 'NO USAR1'!A4:L1000,6,FALSE)+(IF(ISBLANK(Draft!F11),0,VLOOKUP(Draft!F11, 'NO USAR1'!A4:L1000,6,FALSE)+(IF(ISBLANK(Draft!G6),0,VLOOKUP(Draft!G6, 'NO USAR1'!A4:L1000,6,FALSE)+(IF(ISBLANK(Draft!H11),0,VLOOKUP(Draft!H11, 'NO USAR1'!A4:L1000,6,FALSE)+(IF(ISBLANK(Draft!I6),0,VLOOKUP(Draft!I6, 'NO USAR1'!A4:L1000,6,FALSE)+(IF(ISBLANK(Draft!J11),0,VLOOKUP(Draft!J11, 'NO USAR1'!A4:L1000,6,FALSE)+(IF(ISBLANK(Draft!K6),0,VLOOKUP(Draft!K6, 'NO USAR1'!A4:L1000,6,FALSE)+(IF(ISBLANK(Draft!L11),0,VLOOKUP(Draft!L11, 'NO USAR1'!A4:L1000,6,FALSE)+IF(ISBLANK(Draft!M6),0,VLOOKUP(Draft!M6, 'NO USAR1'!A4:L1000,6,FALSE)+IF(ISBLANK(Draft!N11),0,VLOOKUP(Draft!N11, 'NO USAR1'!A4:L1000,6,FALSE))))))))))))))))))))))))</f>
        <v>-3.415262177</v>
      </c>
      <c r="I8" s="23">
        <f>((IF(ISBLANK(Draft!C6),0,VLOOKUP(Draft!C6, 'NO USAR1'!A4:L1000,7,FALSE)+(IF(ISBLANK(Draft!D11),0,VLOOKUP(Draft!D11, 'NO USAR1'!A4:L1000,7,FALSE)+(IF(ISBLANK(Draft!E6),0,VLOOKUP(Draft!E6, 'NO USAR1'!A4:L1000,7,FALSE)+(IF(ISBLANK(Draft!F11),0,VLOOKUP(Draft!F11, 'NO USAR1'!A4:L1000,7,FALSE)+(IF(ISBLANK(Draft!G6),0,VLOOKUP(Draft!G6, 'NO USAR1'!A4:L1000,7,FALSE)+(IF(ISBLANK(Draft!H11),0,VLOOKUP(Draft!H11, 'NO USAR1'!A4:L1000,7,FALSE)+(IF(ISBLANK(Draft!I6),0,VLOOKUP(Draft!I6, 'NO USAR1'!A4:L1000,7,FALSE)+(IF(ISBLANK(Draft!J11),0,VLOOKUP(Draft!J11, 'NO USAR1'!A4:L1000,7,FALSE)+(IF(ISBLANK(Draft!K6),0,VLOOKUP(Draft!K6, 'NO USAR1'!A4:L1000,7,FALSE)+(IF(ISBLANK(Draft!L11),0,VLOOKUP(Draft!L11, 'NO USAR1'!A4:L1000,7,FALSE)+IF(ISBLANK(Draft!M6),0,VLOOKUP(Draft!M6, 'NO USAR1'!A4:L1000,7,FALSE)+IF(ISBLANK(Draft!N11),0,VLOOKUP(Draft!N11, 'NO USAR1'!A4:L1000,7,FALSE))))))))))))))))))))))))</f>
        <v>2.944710737</v>
      </c>
      <c r="J8" s="23">
        <f>((IF(ISBLANK(Draft!C6),0,VLOOKUP(Draft!C6, 'NO USAR1'!A4:L1000,8,FALSE)+(IF(ISBLANK(Draft!D11),0,VLOOKUP(Draft!D11, 'NO USAR1'!A4:L1000,8,FALSE)+(IF(ISBLANK(Draft!E6),0,VLOOKUP(Draft!E6, 'NO USAR1'!A4:L1000,8,FALSE)+(IF(ISBLANK(Draft!F11),0,VLOOKUP(Draft!F11, 'NO USAR1'!A4:L1000,8,FALSE)+(IF(ISBLANK(Draft!G6),0,VLOOKUP(Draft!G6, 'NO USAR1'!A4:L1000,8,FALSE)+(IF(ISBLANK(Draft!H11),0,VLOOKUP(Draft!H11, 'NO USAR1'!A4:L1000,8,FALSE)+(IF(ISBLANK(Draft!I6),0,VLOOKUP(Draft!I6, 'NO USAR1'!A4:L1000,8,FALSE)+(IF(ISBLANK(Draft!J11),0,VLOOKUP(Draft!J11, 'NO USAR1'!A4:L1000,8,FALSE)+(IF(ISBLANK(Draft!K6),0,VLOOKUP(Draft!K6, 'NO USAR1'!A4:L1000,8,FALSE)+(IF(ISBLANK(Draft!L11),0,VLOOKUP(Draft!L11, 'NO USAR1'!A4:L1000,8,FALSE)+IF(ISBLANK(Draft!M6),0,VLOOKUP(Draft!M6, 'NO USAR1'!A4:L1000,8,FALSE)+IF(ISBLANK(Draft!N11),0,VLOOKUP(Draft!N11, 'NO USAR1'!A4:L1000,8,FALSE))))))))))))))))))))))))</f>
        <v>-2.435699782</v>
      </c>
      <c r="K8" s="23">
        <f>((IF(ISBLANK(Draft!C6),0,VLOOKUP(Draft!C6, 'NO USAR1'!A4:L1000,10,FALSE)+(IF(ISBLANK(Draft!D11),0,VLOOKUP(Draft!D11, 'NO USAR1'!A4:L1000,10,FALSE)+(IF(ISBLANK(Draft!E6),0,VLOOKUP(Draft!E6, 'NO USAR1'!A4:L1000,10,FALSE)+(IF(ISBLANK(Draft!F11),0,VLOOKUP(Draft!F11, 'NO USAR1'!A4:L1000,10,FALSE)+(IF(ISBLANK(Draft!G6),0,VLOOKUP(Draft!G6, 'NO USAR1'!A4:L1000,10,FALSE)+(IF(ISBLANK(Draft!H11),0,VLOOKUP(Draft!H11, 'NO USAR1'!A4:L1000,10,FALSE)+(IF(ISBLANK(Draft!I6),0,VLOOKUP(Draft!I6, 'NO USAR1'!A4:L1000,10,FALSE)+(IF(ISBLANK(Draft!J11),0,VLOOKUP(Draft!J11, 'NO USAR1'!A4:L1000,10,FALSE)+(IF(ISBLANK(Draft!K6),0,VLOOKUP(Draft!K6, 'NO USAR1'!A4:L1000,10,FALSE)+(IF(ISBLANK(Draft!L11),0,VLOOKUP(Draft!L11, 'NO USAR1'!A4:L1000,10,FALSE)+IF(ISBLANK(Draft!M6),0,VLOOKUP(Draft!M6, 'NO USAR1'!A4:L1000,10,FALSE)+IF(ISBLANK(Draft!N11),0,VLOOKUP(Draft!N11, 'NO USAR1'!A4:L1000,10,FALSE))))))))))))))))))))))))</f>
        <v>-1.044593762</v>
      </c>
      <c r="L8" s="23">
        <f>((IF(ISBLANK(Draft!C6),0,VLOOKUP(Draft!C6, 'NO USAR1'!A4:L1000,12,FALSE)+(IF(ISBLANK(Draft!D11),0,VLOOKUP(Draft!D11, 'NO USAR1'!A4:L1000,12,FALSE)+(IF(ISBLANK(Draft!E6),0,VLOOKUP(Draft!E6, 'NO USAR1'!A4:L1000,12,FALSE)+(IF(ISBLANK(Draft!F11),0,VLOOKUP(Draft!F11, 'NO USAR1'!A4:L1000,12,FALSE)+(IF(ISBLANK(Draft!G6),0,VLOOKUP(Draft!G6, 'NO USAR1'!A4:L1000,12,FALSE)+(IF(ISBLANK(Draft!H11),0,VLOOKUP(Draft!H11, 'NO USAR1'!A4:L1000,12,FALSE)+(IF(ISBLANK(Draft!I6),0,VLOOKUP(Draft!I6, 'NO USAR1'!A4:L1000,12,FALSE)+(IF(ISBLANK(Draft!J11),0,VLOOKUP(Draft!J11, 'NO USAR1'!A4:L1000,12,FALSE)+(IF(ISBLANK(Draft!K6),0,VLOOKUP(Draft!K6, 'NO USAR1'!A4:L1000,12,FALSE)+(IF(ISBLANK(Draft!L11),0,VLOOKUP(Draft!L11, 'NO USAR1'!A4:L1000,12,FALSE)+IF(ISBLANK(Draft!M6),0,VLOOKUP(Draft!M6, 'NO USAR1'!A4:L1000,12,FALSE)+IF(ISBLANK(Draft!N11),0,VLOOKUP(Draft!N11, 'NO USAR1'!A4:L1000,12,FALSE))))))))))))))))))))))))</f>
        <v>-4.934591919</v>
      </c>
      <c r="M8" s="49">
        <f t="array" ref="M8">if(M$3=$C8,"-", countif(indirect(address(row($C$4)+ VLOOKUP(M$3,$C$5:$C$16,1),COLUMN($D$4))):indirect(address(row($C$4)+ VLOOKUP(M$3,$C$5:$C$16,1),COLUMN($L$4)))&gt;indirect(address(row($C8),COLUMN($D$4))):indirect(address(row($C8),COLUMN($L$4))),TRUE()))</f>
        <v>0</v>
      </c>
      <c r="N8" s="49">
        <f t="array" ref="N8">if(N$3=$C8,"-", countif(indirect(address(row($C$4)+ VLOOKUP(N$3,$C$5:$C$16,1),COLUMN($D$4))):indirect(address(row($C$4)+ VLOOKUP(N$3,$C$5:$C$16,1),COLUMN($L$4)))&gt;indirect(address(row($C8),COLUMN($D$4))):indirect(address(row($C8),COLUMN($L$4))),TRUE()))</f>
        <v>0</v>
      </c>
      <c r="O8" s="49">
        <f t="array" ref="O8">if(O$3=$C8,"-", countif(indirect(address(row($C$4)+ VLOOKUP(O$3,$C$5:$C$16,1),COLUMN($D$4))):indirect(address(row($C$4)+ VLOOKUP(O$3,$C$5:$C$16,1),COLUMN($L$4)))&gt;indirect(address(row($C8),COLUMN($D$4))):indirect(address(row($C8),COLUMN($L$4))),TRUE()))</f>
        <v>0</v>
      </c>
      <c r="P8" s="49">
        <f t="array" ref="P8">if(P$3=$C8,"-", countif(indirect(address(row($C$4)+ VLOOKUP(P$3,$C$5:$C$16,1),COLUMN($D$4))):indirect(address(row($C$4)+ VLOOKUP(P$3,$C$5:$C$16,1),COLUMN($L$4)))&gt;indirect(address(row($C8),COLUMN($D$4))):indirect(address(row($C8),COLUMN($L$4))),TRUE()))</f>
        <v>0</v>
      </c>
      <c r="Q8" s="49">
        <f t="array" ref="Q8">if(Q$3=$C8,"-", countif(indirect(address(row($C$4)+ VLOOKUP(Q$3,$C$5:$C$16,1),COLUMN($D$4))):indirect(address(row($C$4)+ VLOOKUP(Q$3,$C$5:$C$16,1),COLUMN($L$4)))&gt;indirect(address(row($C8),COLUMN($D$4))):indirect(address(row($C8),COLUMN($L$4))),TRUE()))</f>
        <v>0</v>
      </c>
      <c r="R8" s="49">
        <f t="array" ref="R8">if(R$3=$C8,"-", countif(indirect(address(row($C$4)+ VLOOKUP(R$3,$C$5:$C$16,1),COLUMN($D$4))):indirect(address(row($C$4)+ VLOOKUP(R$3,$C$5:$C$16,1),COLUMN($L$4)))&gt;indirect(address(row($C8),COLUMN($D$4))):indirect(address(row($C8),COLUMN($L$4))),TRUE()))</f>
        <v>0</v>
      </c>
      <c r="S8" s="49">
        <f t="array" ref="S8">if(S$3=$C8,"-", countif(indirect(address(row($C$4)+ VLOOKUP(S$3,$C$5:$C$16,1),COLUMN($D$4))):indirect(address(row($C$4)+ VLOOKUP(S$3,$C$5:$C$16,1),COLUMN($L$4)))&gt;indirect(address(row($C8),COLUMN($D$4))):indirect(address(row($C8),COLUMN($L$4))),TRUE()))</f>
        <v>0</v>
      </c>
      <c r="T8" s="49">
        <f t="array" ref="T8">if(T$3=$C8,"-", countif(indirect(address(row($C$4)+ VLOOKUP(T$3,$C$5:$C$16,1),COLUMN($D$4))):indirect(address(row($C$4)+ VLOOKUP(T$3,$C$5:$C$16,1),COLUMN($L$4)))&gt;indirect(address(row($C8),COLUMN($D$4))):indirect(address(row($C8),COLUMN($L$4))),TRUE()))</f>
        <v>0</v>
      </c>
      <c r="U8" s="49">
        <f t="array" ref="U8">if(U$3=$C8,"-", countif(indirect(address(row($C$4)+ VLOOKUP(U$3,$C$5:$C$16,1),COLUMN($D$4))):indirect(address(row($C$4)+ VLOOKUP(U$3,$C$5:$C$16,1),COLUMN($L$4)))&gt;indirect(address(row($C8),COLUMN($D$4))):indirect(address(row($C8),COLUMN($L$4))),TRUE()))</f>
        <v>0</v>
      </c>
      <c r="V8" s="49">
        <f t="array" ref="V8">if(V$3=$C8,"-", countif(indirect(address(row($C$4)+ VLOOKUP(V$3,$C$5:$C$16,1),COLUMN($D$4))):indirect(address(row($C$4)+ VLOOKUP(V$3,$C$5:$C$16,1),COLUMN($L$4)))&gt;indirect(address(row($C8),COLUMN($D$4))):indirect(address(row($C8),COLUMN($L$4))),TRUE()))</f>
        <v>0</v>
      </c>
      <c r="W8" s="49">
        <f t="array" ref="W8">if(W$3=$C8,"-", countif(indirect(address(row($C$4)+ VLOOKUP(W$3,$C$5:$C$16,1),COLUMN($D$4))):indirect(address(row($C$4)+ VLOOKUP(W$3,$C$5:$C$16,1),COLUMN($L$4)))&gt;indirect(address(row($C8),COLUMN($D$4))):indirect(address(row($C8),COLUMN($L$4))),TRUE()))</f>
        <v>0</v>
      </c>
      <c r="X8" s="49">
        <f t="array" ref="X8">if(X$3=$C8,"-", countif(indirect(address(row($C$4)+ VLOOKUP(X$3,$C$5:$C$16,1),COLUMN($D$4))):indirect(address(row($C$4)+ VLOOKUP(X$3,$C$5:$C$16,1),COLUMN($L$4)))&gt;indirect(address(row($C8),COLUMN($D$4))):indirect(address(row($C8),COLUMN($L$4))),TRUE()))</f>
        <v>0</v>
      </c>
      <c r="Y8" s="49">
        <f t="array" ref="Y8">if(D$1=$C8,"-", countif(indirect(address(row($C$4)+ VLOOKUP(D$1,$C$5:$C$16,1),COLUMN($D$4))):indirect(address(row($C$4)+ VLOOKUP(D$1,$C$5:$C$16,1),COLUMN($L$4)))&gt;indirect(address(row($C8),COLUMN($D$4))):indirect(address(row($C8),COLUMN($L$4))),TRUE()))</f>
        <v>0</v>
      </c>
      <c r="Z8" s="23">
        <f>SUM(P$5:P$16)/99</f>
        <v>0</v>
      </c>
    </row>
    <row r="9">
      <c r="B9" s="13" t="b">
        <f>Draft!B7</f>
        <v>0</v>
      </c>
      <c r="C9" s="12">
        <v>5.0</v>
      </c>
      <c r="D9" s="23">
        <f>((IF(ISBLANK(Draft!C7),0,VLOOKUP(Draft!C7, 'NO USAR1'!A4:L1000,2,FALSE)+(IF(ISBLANK(Draft!D10),0,VLOOKUP(Draft!D10, 'NO USAR1'!A4:L1000,2,FALSE)+(IF(ISBLANK(Draft!E7),0,VLOOKUP(Draft!E7, 'NO USAR1'!A4:L1000,2,FALSE)+(IF(ISBLANK(Draft!F10),0,VLOOKUP(Draft!F10, 'NO USAR1'!A4:L1000,2,FALSE)+(IF(ISBLANK(Draft!G7),0,VLOOKUP(Draft!G7, 'NO USAR1'!A4:L1000,2,FALSE)+(IF(ISBLANK(Draft!H10),0,VLOOKUP(Draft!H10, 'NO USAR1'!A4:L1000,2,FALSE)+(IF(ISBLANK(Draft!I7),0,VLOOKUP(Draft!I7, 'NO USAR1'!A4:L1000,2,FALSE)+(IF(ISBLANK(Draft!J10),0,VLOOKUP(Draft!J10, 'NO USAR1'!A4:L1000,2,FALSE)+(IF(ISBLANK(Draft!K7),0,VLOOKUP(Draft!K7, 'NO USAR1'!A4:L1000,2,FALSE)+(IF(ISBLANK(Draft!L10),0,VLOOKUP(Draft!L10, 'NO USAR1'!A4:L1000,2,FALSE)+IF(ISBLANK(Draft!M7),0,VLOOKUP(Draft!M7, 'NO USAR1'!A4:L1000,2,FALSE)+IF(ISBLANK(Draft!N10),0,VLOOKUP(Draft!N10, 'NO USAR1'!A4:L1000,2,FALSE))))))))))))))))))))))))</f>
        <v>4.831610542</v>
      </c>
      <c r="E9" s="23">
        <f>((IF(ISBLANK(Draft!C7),0,VLOOKUP(Draft!C7, 'NO USAR1'!A4:L1000,3,FALSE)+(IF(ISBLANK(Draft!D10),0,VLOOKUP(Draft!D10, 'NO USAR1'!A4:L1000,3,FALSE)+(IF(ISBLANK(Draft!E7),0,VLOOKUP(Draft!E7, 'NO USAR1'!A4:L1000,3,FALSE)+(IF(ISBLANK(Draft!F10),0,VLOOKUP(Draft!F10, 'NO USAR1'!A4:L1000,3,FALSE)+(IF(ISBLANK(Draft!G7),0,VLOOKUP(Draft!G7, 'NO USAR1'!A4:L1000,3,FALSE)+(IF(ISBLANK(Draft!H10),0,VLOOKUP(Draft!H10, 'NO USAR1'!A4:L1000,3,FALSE)+(IF(ISBLANK(Draft!I7),0,VLOOKUP(Draft!I7, 'NO USAR1'!A4:L1000,3,FALSE)+(IF(ISBLANK(Draft!J10),0,VLOOKUP(Draft!J10, 'NO USAR1'!A4:L1000,3,FALSE)+(IF(ISBLANK(Draft!K7),0,VLOOKUP(Draft!K7, 'NO USAR1'!A4:L1000,3,FALSE)+(IF(ISBLANK(Draft!L10),0,VLOOKUP(Draft!L10, 'NO USAR1'!A4:L1000,3,FALSE)+IF(ISBLANK(Draft!M7),0,VLOOKUP(Draft!M7, 'NO USAR1'!A4:L1000,3,FALSE)+IF(ISBLANK(Draft!N10),0,VLOOKUP(Draft!N10, 'NO USAR1'!A4:L1000,3,FALSE))))))))))))))))))))))))</f>
        <v>-0.4476311142</v>
      </c>
      <c r="F9" s="23">
        <f>((IF(ISBLANK(Draft!C7),0,VLOOKUP(Draft!C7, 'NO USAR1'!A4:L1000,4,FALSE)+(IF(ISBLANK(Draft!D10),0,VLOOKUP(Draft!D10, 'NO USAR1'!A4:L1000,4,FALSE)+(IF(ISBLANK(Draft!E7),0,VLOOKUP(Draft!E7, 'NO USAR1'!A4:L1000,4,FALSE)+(IF(ISBLANK(Draft!F10),0,VLOOKUP(Draft!F10, 'NO USAR1'!A4:L1000,4,FALSE)+(IF(ISBLANK(Draft!G7),0,VLOOKUP(Draft!G7, 'NO USAR1'!A4:L1000,4,FALSE)+(IF(ISBLANK(Draft!H10),0,VLOOKUP(Draft!H10, 'NO USAR1'!A4:L1000,4,FALSE)+(IF(ISBLANK(Draft!I7),0,VLOOKUP(Draft!I7, 'NO USAR1'!A4:L1000,4,FALSE)+(IF(ISBLANK(Draft!J10),0,VLOOKUP(Draft!J10, 'NO USAR1'!A4:L1000,4,FALSE)+(IF(ISBLANK(Draft!K7),0,VLOOKUP(Draft!K7, 'NO USAR1'!A4:L1000,4,FALSE)+(IF(ISBLANK(Draft!L10),0,VLOOKUP(Draft!L10, 'NO USAR1'!A4:L1000,4,FALSE)+IF(ISBLANK(Draft!M7),0,VLOOKUP(Draft!M7, 'NO USAR1'!A4:L1000,4,FALSE)+IF(ISBLANK(Draft!N10),0,VLOOKUP(Draft!N10, 'NO USAR1'!A4:L1000,4,FALSE))))))))))))))))))))))))</f>
        <v>1.257522617</v>
      </c>
      <c r="G9" s="23">
        <f>((IF(ISBLANK(Draft!C7),0,VLOOKUP(Draft!C7, 'NO USAR1'!A4:L1000,5,FALSE)+(IF(ISBLANK(Draft!D10),0,VLOOKUP(Draft!D10, 'NO USAR1'!A4:L1000,5,FALSE)+(IF(ISBLANK(Draft!E7),0,VLOOKUP(Draft!E7, 'NO USAR1'!A4:L1000,5,FALSE)+(IF(ISBLANK(Draft!F10),0,VLOOKUP(Draft!F10, 'NO USAR1'!A4:L1000,5,FALSE)+(IF(ISBLANK(Draft!G7),0,VLOOKUP(Draft!G7, 'NO USAR1'!A4:L1000,5,FALSE)+(IF(ISBLANK(Draft!H10),0,VLOOKUP(Draft!H10, 'NO USAR1'!A4:L1000,5,FALSE)+(IF(ISBLANK(Draft!I7),0,VLOOKUP(Draft!I7, 'NO USAR1'!A4:L1000,5,FALSE)+(IF(ISBLANK(Draft!J10),0,VLOOKUP(Draft!J10, 'NO USAR1'!A4:L1000,5,FALSE)+(IF(ISBLANK(Draft!K7),0,VLOOKUP(Draft!K7, 'NO USAR1'!A4:L1000,5,FALSE)+(IF(ISBLANK(Draft!L10),0,VLOOKUP(Draft!L10, 'NO USAR1'!A4:L1000,5,FALSE)+IF(ISBLANK(Draft!M7),0,VLOOKUP(Draft!M7, 'NO USAR1'!A4:L1000,5,FALSE)+IF(ISBLANK(Draft!N10),0,VLOOKUP(Draft!N10, 'NO USAR1'!A4:L1000,5,FALSE))))))))))))))))))))))))</f>
        <v>-0.2840443524</v>
      </c>
      <c r="H9" s="23">
        <f>((IF(ISBLANK(Draft!C7),0,VLOOKUP(Draft!C7, 'NO USAR1'!A4:L1000,6,FALSE)+(IF(ISBLANK(Draft!D10),0,VLOOKUP(Draft!D10, 'NO USAR1'!A4:L1000,6,FALSE)+(IF(ISBLANK(Draft!E7),0,VLOOKUP(Draft!E7, 'NO USAR1'!A4:L1000,6,FALSE)+(IF(ISBLANK(Draft!F10),0,VLOOKUP(Draft!F10, 'NO USAR1'!A4:L1000,6,FALSE)+(IF(ISBLANK(Draft!G7),0,VLOOKUP(Draft!G7, 'NO USAR1'!A4:L1000,6,FALSE)+(IF(ISBLANK(Draft!H10),0,VLOOKUP(Draft!H10, 'NO USAR1'!A4:L1000,6,FALSE)+(IF(ISBLANK(Draft!I7),0,VLOOKUP(Draft!I7, 'NO USAR1'!A4:L1000,6,FALSE)+(IF(ISBLANK(Draft!J10),0,VLOOKUP(Draft!J10, 'NO USAR1'!A4:L1000,6,FALSE)+(IF(ISBLANK(Draft!K7),0,VLOOKUP(Draft!K7, 'NO USAR1'!A4:L1000,6,FALSE)+(IF(ISBLANK(Draft!L10),0,VLOOKUP(Draft!L10, 'NO USAR1'!A4:L1000,6,FALSE)+IF(ISBLANK(Draft!M7),0,VLOOKUP(Draft!M7, 'NO USAR1'!A4:L1000,6,FALSE)+IF(ISBLANK(Draft!N10),0,VLOOKUP(Draft!N10, 'NO USAR1'!A4:L1000,6,FALSE))))))))))))))))))))))))</f>
        <v>-4.723421726</v>
      </c>
      <c r="I9" s="23">
        <f>((IF(ISBLANK(Draft!C7),0,VLOOKUP(Draft!C7, 'NO USAR1'!A4:L1000,7,FALSE)+(IF(ISBLANK(Draft!D10),0,VLOOKUP(Draft!D10, 'NO USAR1'!A4:L1000,7,FALSE)+(IF(ISBLANK(Draft!E7),0,VLOOKUP(Draft!E7, 'NO USAR1'!A4:L1000,7,FALSE)+(IF(ISBLANK(Draft!F10),0,VLOOKUP(Draft!F10, 'NO USAR1'!A4:L1000,7,FALSE)+(IF(ISBLANK(Draft!G7),0,VLOOKUP(Draft!G7, 'NO USAR1'!A4:L1000,7,FALSE)+(IF(ISBLANK(Draft!H10),0,VLOOKUP(Draft!H10, 'NO USAR1'!A4:L1000,7,FALSE)+(IF(ISBLANK(Draft!I7),0,VLOOKUP(Draft!I7, 'NO USAR1'!A4:L1000,7,FALSE)+(IF(ISBLANK(Draft!J10),0,VLOOKUP(Draft!J10, 'NO USAR1'!A4:L1000,7,FALSE)+(IF(ISBLANK(Draft!K7),0,VLOOKUP(Draft!K7, 'NO USAR1'!A4:L1000,7,FALSE)+(IF(ISBLANK(Draft!L10),0,VLOOKUP(Draft!L10, 'NO USAR1'!A4:L1000,7,FALSE)+IF(ISBLANK(Draft!M7),0,VLOOKUP(Draft!M7, 'NO USAR1'!A4:L1000,7,FALSE)+IF(ISBLANK(Draft!N10),0,VLOOKUP(Draft!N10, 'NO USAR1'!A4:L1000,7,FALSE))))))))))))))))))))))))</f>
        <v>-1.38111081</v>
      </c>
      <c r="J9" s="23">
        <f>((IF(ISBLANK(Draft!C7),0,VLOOKUP(Draft!C7, 'NO USAR1'!A4:L1000,8,FALSE)+(IF(ISBLANK(Draft!D10),0,VLOOKUP(Draft!D10, 'NO USAR1'!A4:L1000,8,FALSE)+(IF(ISBLANK(Draft!E7),0,VLOOKUP(Draft!E7, 'NO USAR1'!A4:L1000,8,FALSE)+(IF(ISBLANK(Draft!F10),0,VLOOKUP(Draft!F10, 'NO USAR1'!A4:L1000,8,FALSE)+(IF(ISBLANK(Draft!G7),0,VLOOKUP(Draft!G7, 'NO USAR1'!A4:L1000,8,FALSE)+(IF(ISBLANK(Draft!H10),0,VLOOKUP(Draft!H10, 'NO USAR1'!A4:L1000,8,FALSE)+(IF(ISBLANK(Draft!I7),0,VLOOKUP(Draft!I7, 'NO USAR1'!A4:L1000,8,FALSE)+(IF(ISBLANK(Draft!J10),0,VLOOKUP(Draft!J10, 'NO USAR1'!A4:L1000,8,FALSE)+(IF(ISBLANK(Draft!K7),0,VLOOKUP(Draft!K7, 'NO USAR1'!A4:L1000,8,FALSE)+(IF(ISBLANK(Draft!L10),0,VLOOKUP(Draft!L10, 'NO USAR1'!A4:L1000,8,FALSE)+IF(ISBLANK(Draft!M7),0,VLOOKUP(Draft!M7, 'NO USAR1'!A4:L1000,8,FALSE)+IF(ISBLANK(Draft!N10),0,VLOOKUP(Draft!N10, 'NO USAR1'!A4:L1000,7,FALSE))))))))))))))))))))))))</f>
        <v>0.2210434411</v>
      </c>
      <c r="K9" s="23">
        <f>((IF(ISBLANK(Draft!C7),0,VLOOKUP(Draft!C7, 'NO USAR1'!A4:L1000,10,FALSE)+(IF(ISBLANK(Draft!D10),0,VLOOKUP(Draft!D10, 'NO USAR1'!A4:L1000,10,FALSE)+(IF(ISBLANK(Draft!E7),0,VLOOKUP(Draft!E7, 'NO USAR1'!A4:L1000,10,FALSE)+(IF(ISBLANK(Draft!F10),0,VLOOKUP(Draft!F10, 'NO USAR1'!A4:L1000,10,FALSE)+(IF(ISBLANK(Draft!G7),0,VLOOKUP(Draft!G7, 'NO USAR1'!A4:L1000,10,FALSE)+(IF(ISBLANK(Draft!H10),0,VLOOKUP(Draft!H10, 'NO USAR1'!A4:L1000,10,FALSE)+(IF(ISBLANK(Draft!I7),0,VLOOKUP(Draft!I7, 'NO USAR1'!A4:L1000,10,FALSE)+(IF(ISBLANK(Draft!J10),0,VLOOKUP(Draft!J10, 'NO USAR1'!A4:L1000,10,FALSE)+(IF(ISBLANK(Draft!K7),0,VLOOKUP(Draft!K7, 'NO USAR1'!A4:L1000,10,FALSE)+(IF(ISBLANK(Draft!L10),0,VLOOKUP(Draft!L10, 'NO USAR1'!A4:L1000,10,FALSE)+IF(ISBLANK(Draft!M7),0,VLOOKUP(Draft!M7, 'NO USAR1'!A4:L1000,10,FALSE)+IF(ISBLANK(Draft!N10),0,VLOOKUP(Draft!N10, 'NO USAR1'!A4:L1000,10,FALSE))))))))))))))))))))))))</f>
        <v>-2.816879489</v>
      </c>
      <c r="L9" s="23">
        <f>((IF(ISBLANK(Draft!C7),0,VLOOKUP(Draft!C7, 'NO USAR1'!A4:L1000,12,FALSE)+(IF(ISBLANK(Draft!D10),0,VLOOKUP(Draft!D10, 'NO USAR1'!A4:L1000,12,FALSE)+(IF(ISBLANK(Draft!E7),0,VLOOKUP(Draft!E7, 'NO USAR1'!A4:L1000,12,FALSE)+(IF(ISBLANK(Draft!F10),0,VLOOKUP(Draft!F10, 'NO USAR1'!A4:L1000,12,FALSE)+(IF(ISBLANK(Draft!G7),0,VLOOKUP(Draft!G7, 'NO USAR1'!A4:L1000,12,FALSE)+(IF(ISBLANK(Draft!H10),0,VLOOKUP(Draft!H10, 'NO USAR1'!A4:L1000,12,FALSE)+(IF(ISBLANK(Draft!I7),0,VLOOKUP(Draft!I7, 'NO USAR1'!A4:L1000,12,FALSE)+(IF(ISBLANK(Draft!J10),0,VLOOKUP(Draft!J10, 'NO USAR1'!A4:L1000,12,FALSE)+(IF(ISBLANK(Draft!K7),0,VLOOKUP(Draft!K7, 'NO USAR1'!A4:L1000,12,FALSE)+(IF(ISBLANK(Draft!L10),0,VLOOKUP(Draft!L10, 'NO USAR1'!A4:L1000,12,FALSE)+IF(ISBLANK(Draft!M7),0,VLOOKUP(Draft!M7, 'NO USAR1'!A4:L1000,12,FALSE)+IF(ISBLANK(Draft!N10),0,VLOOKUP(Draft!N10, 'NO USAR1'!A4:L1000,12,FALSE))))))))))))))))))))))))</f>
        <v>-0.8510726681</v>
      </c>
      <c r="M9" s="49">
        <f t="array" ref="M9">if(M$3=$C9,"-", countif(indirect(address(row($C$4)+ VLOOKUP(M$3,$C$5:$C$16,1),COLUMN($D$4))):indirect(address(row($C$4)+ VLOOKUP(M$3,$C$5:$C$16,1),COLUMN($L$4)))&gt;indirect(address(row($C9),COLUMN($D$4))):indirect(address(row($C9),COLUMN($L$4))),TRUE()))</f>
        <v>0</v>
      </c>
      <c r="N9" s="49">
        <f t="array" ref="N9">if(N$3=$C9,"-", countif(indirect(address(row($C$4)+ VLOOKUP(N$3,$C$5:$C$16,1),COLUMN($D$4))):indirect(address(row($C$4)+ VLOOKUP(N$3,$C$5:$C$16,1),COLUMN($L$4)))&gt;indirect(address(row($C9),COLUMN($D$4))):indirect(address(row($C9),COLUMN($L$4))),TRUE()))</f>
        <v>0</v>
      </c>
      <c r="O9" s="49">
        <f t="array" ref="O9">if(O$3=$C9,"-", countif(indirect(address(row($C$4)+ VLOOKUP(O$3,$C$5:$C$16,1),COLUMN($D$4))):indirect(address(row($C$4)+ VLOOKUP(O$3,$C$5:$C$16,1),COLUMN($L$4)))&gt;indirect(address(row($C9),COLUMN($D$4))):indirect(address(row($C9),COLUMN($L$4))),TRUE()))</f>
        <v>0</v>
      </c>
      <c r="P9" s="49">
        <f t="array" ref="P9">if(P$3=$C9,"-", countif(indirect(address(row($C$4)+ VLOOKUP(P$3,$C$5:$C$16,1),COLUMN($D$4))):indirect(address(row($C$4)+ VLOOKUP(P$3,$C$5:$C$16,1),COLUMN($L$4)))&gt;indirect(address(row($C9),COLUMN($D$4))):indirect(address(row($C9),COLUMN($L$4))),TRUE()))</f>
        <v>0</v>
      </c>
      <c r="Q9" s="49">
        <f t="array" ref="Q9">if(Q$3=$C9,"-", countif(indirect(address(row($C$4)+ VLOOKUP(Q$3,$C$5:$C$16,1),COLUMN($D$4))):indirect(address(row($C$4)+ VLOOKUP(Q$3,$C$5:$C$16,1),COLUMN($L$4)))&gt;indirect(address(row($C9),COLUMN($D$4))):indirect(address(row($C9),COLUMN($L$4))),TRUE()))</f>
        <v>0</v>
      </c>
      <c r="R9" s="49">
        <f t="array" ref="R9">if(R$3=$C9,"-", countif(indirect(address(row($C$4)+ VLOOKUP(R$3,$C$5:$C$16,1),COLUMN($D$4))):indirect(address(row($C$4)+ VLOOKUP(R$3,$C$5:$C$16,1),COLUMN($L$4)))&gt;indirect(address(row($C9),COLUMN($D$4))):indirect(address(row($C9),COLUMN($L$4))),TRUE()))</f>
        <v>0</v>
      </c>
      <c r="S9" s="49">
        <f t="array" ref="S9">if(S$3=$C9,"-", countif(indirect(address(row($C$4)+ VLOOKUP(S$3,$C$5:$C$16,1),COLUMN($D$4))):indirect(address(row($C$4)+ VLOOKUP(S$3,$C$5:$C$16,1),COLUMN($L$4)))&gt;indirect(address(row($C9),COLUMN($D$4))):indirect(address(row($C9),COLUMN($L$4))),TRUE()))</f>
        <v>0</v>
      </c>
      <c r="T9" s="49">
        <f t="array" ref="T9">if(T$3=$C9,"-", countif(indirect(address(row($C$4)+ VLOOKUP(T$3,$C$5:$C$16,1),COLUMN($D$4))):indirect(address(row($C$4)+ VLOOKUP(T$3,$C$5:$C$16,1),COLUMN($L$4)))&gt;indirect(address(row($C9),COLUMN($D$4))):indirect(address(row($C9),COLUMN($L$4))),TRUE()))</f>
        <v>0</v>
      </c>
      <c r="U9" s="49">
        <f t="array" ref="U9">if(U$3=$C9,"-", countif(indirect(address(row($C$4)+ VLOOKUP(U$3,$C$5:$C$16,1),COLUMN($D$4))):indirect(address(row($C$4)+ VLOOKUP(U$3,$C$5:$C$16,1),COLUMN($L$4)))&gt;indirect(address(row($C9),COLUMN($D$4))):indirect(address(row($C9),COLUMN($L$4))),TRUE()))</f>
        <v>0</v>
      </c>
      <c r="V9" s="49">
        <f t="array" ref="V9">if(V$3=$C9,"-", countif(indirect(address(row($C$4)+ VLOOKUP(V$3,$C$5:$C$16,1),COLUMN($D$4))):indirect(address(row($C$4)+ VLOOKUP(V$3,$C$5:$C$16,1),COLUMN($L$4)))&gt;indirect(address(row($C9),COLUMN($D$4))):indirect(address(row($C9),COLUMN($L$4))),TRUE()))</f>
        <v>0</v>
      </c>
      <c r="W9" s="49">
        <f t="array" ref="W9">if(W$3=$C9,"-", countif(indirect(address(row($C$4)+ VLOOKUP(W$3,$C$5:$C$16,1),COLUMN($D$4))):indirect(address(row($C$4)+ VLOOKUP(W$3,$C$5:$C$16,1),COLUMN($L$4)))&gt;indirect(address(row($C9),COLUMN($D$4))):indirect(address(row($C9),COLUMN($L$4))),TRUE()))</f>
        <v>0</v>
      </c>
      <c r="X9" s="49">
        <f t="array" ref="X9">if(X$3=$C9,"-", countif(indirect(address(row($C$4)+ VLOOKUP(X$3,$C$5:$C$16,1),COLUMN($D$4))):indirect(address(row($C$4)+ VLOOKUP(X$3,$C$5:$C$16,1),COLUMN($L$4)))&gt;indirect(address(row($C9),COLUMN($D$4))):indirect(address(row($C9),COLUMN($L$4))),TRUE()))</f>
        <v>0</v>
      </c>
      <c r="Y9" s="49">
        <f t="array" ref="Y9">if(D$1=$C9,"-", countif(indirect(address(row($C$4)+ VLOOKUP(D$1,$C$5:$C$16,1),COLUMN($D$4))):indirect(address(row($C$4)+ VLOOKUP(D$1,$C$5:$C$16,1),COLUMN($L$4)))&gt;indirect(address(row($C9),COLUMN($D$4))):indirect(address(row($C9),COLUMN($L$4))),TRUE()))</f>
        <v>0</v>
      </c>
      <c r="Z9" s="23">
        <f>SUM(Q$5:Q$16)/99</f>
        <v>0</v>
      </c>
    </row>
    <row r="10">
      <c r="B10" s="13" t="b">
        <f>Draft!B8</f>
        <v>1</v>
      </c>
      <c r="C10" s="12">
        <v>6.0</v>
      </c>
      <c r="D10" s="74">
        <f>((IF(ISBLANK(Draft!C8),0,VLOOKUP(Draft!C8, 'NO USAR1'!A4:L1000,2,FALSE)+(IF(ISBLANK(Draft!D9),0,VLOOKUP(Draft!D9, 'NO USAR1'!A4:L1000,2,FALSE)+(IF(ISBLANK(Draft!E8),0,VLOOKUP(Draft!E8, 'NO USAR1'!A4:L1000,2,FALSE)+(IF(ISBLANK(Draft!F9),0,VLOOKUP(Draft!F9, 'NO USAR1'!A4:L1000,2,FALSE)+(IF(ISBLANK(Draft!G8),0,VLOOKUP(Draft!G8, 'NO USAR1'!A4:L1000,2,FALSE)+(IF(ISBLANK(Draft!H9),0,VLOOKUP(Draft!H9, 'NO USAR1'!A4:L1000,2,FALSE)+(IF(ISBLANK(Draft!I8),0,VLOOKUP(Draft!I8, 'NO USAR1'!A4:L1000,2,FALSE)+(IF(ISBLANK(Draft!J9),0,VLOOKUP(Draft!J9, 'NO USAR1'!A4:L1000,2,FALSE)+(IF(ISBLANK(Draft!K8),0,VLOOKUP(Draft!K8, 'NO USAR1'!A4:L1000,2,FALSE)+(IF(ISBLANK(Draft!L9),0,VLOOKUP(Draft!L9, 'NO USAR1'!A4:L1000,2,FALSE)+IF(ISBLANK(Draft!M8),0,VLOOKUP(Draft!M8, 'NO USAR1'!A4:L1000,2,FALSE)+IF(ISBLANK(Draft!N9),0,VLOOKUP(Draft!N9, 'NO USAR1'!A4:L1000,2,FALSE))))))))))))))))))))))))</f>
        <v>2.097752739</v>
      </c>
      <c r="E10" s="23">
        <f>((IF(ISBLANK(Draft!C8),0,VLOOKUP(Draft!C8, 'NO USAR1'!A4:L1000,3,FALSE)+(IF(ISBLANK(Draft!D9),0,VLOOKUP(Draft!D9, 'NO USAR1'!A4:L1000,3,FALSE)+(IF(ISBLANK(Draft!E8),0,VLOOKUP(Draft!E8, 'NO USAR1'!A4:L1000,3,FALSE)+(IF(ISBLANK(Draft!F9),0,VLOOKUP(Draft!F9, 'NO USAR1'!A4:L1000,3,FALSE)+(IF(ISBLANK(Draft!G8),0,VLOOKUP(Draft!G8, 'NO USAR1'!A4:L1000,3,FALSE)+(IF(ISBLANK(Draft!H9),0,VLOOKUP(Draft!H9, 'NO USAR1'!A4:L1000,3,FALSE)+(IF(ISBLANK(Draft!I8),0,VLOOKUP(Draft!I8, 'NO USAR1'!A4:L1000,3,FALSE)+(IF(ISBLANK(Draft!J9),0,VLOOKUP(Draft!J9, 'NO USAR1'!A4:L1000,3,FALSE)+(IF(ISBLANK(Draft!K8),0,VLOOKUP(Draft!K8, 'NO USAR1'!A4:L1000,3,FALSE)+(IF(ISBLANK(Draft!L9),0,VLOOKUP(Draft!L9, 'NO USAR1'!A4:L1000,3,FALSE)+IF(ISBLANK(Draft!M8),0,VLOOKUP(Draft!M8, 'NO USAR1'!A4:L1000,3,FALSE)+IF(ISBLANK(Draft!N9),0,VLOOKUP(Draft!N9, 'NO USAR1'!A4:L1000,3,FALSE))))))))))))))))))))))))</f>
        <v>3.652186692</v>
      </c>
      <c r="F10" s="23">
        <f>((IF(ISBLANK(Draft!C8),0,VLOOKUP(Draft!C8, 'NO USAR1'!A4:L1000,4,FALSE)+(IF(ISBLANK(Draft!D9),0,VLOOKUP(Draft!D9, 'NO USAR1'!A4:L1000,4,FALSE)+(IF(ISBLANK(Draft!E8),0,VLOOKUP(Draft!E8, 'NO USAR1'!A4:L1000,4,FALSE)+(IF(ISBLANK(Draft!F9),0,VLOOKUP(Draft!F9, 'NO USAR1'!A4:L1000,4,FALSE)+(IF(ISBLANK(Draft!G8),0,VLOOKUP(Draft!G8, 'NO USAR1'!A4:L1000,4,FALSE)+(IF(ISBLANK(Draft!H9),0,VLOOKUP(Draft!H9, 'NO USAR1'!A4:L1000,4,FALSE)+(IF(ISBLANK(Draft!I8),0,VLOOKUP(Draft!I8, 'NO USAR1'!A4:L1000,4,FALSE)+(IF(ISBLANK(Draft!J9),0,VLOOKUP(Draft!J9, 'NO USAR1'!A4:L1000,4,FALSE)+(IF(ISBLANK(Draft!K8),0,VLOOKUP(Draft!K8, 'NO USAR1'!A4:L1000,4,FALSE)+(IF(ISBLANK(Draft!L9),0,VLOOKUP(Draft!L9, 'NO USAR1'!A4:L1000,4,FALSE)+IF(ISBLANK(Draft!M8),0,VLOOKUP(Draft!M8, 'NO USAR1'!A4:L1000,4,FALSE)+IF(ISBLANK(Draft!N9),0,VLOOKUP(Draft!N9, 'NO USAR1'!A4:L1000,4,FALSE))))))))))))))))))))))))</f>
        <v>1.379987238</v>
      </c>
      <c r="G10" s="42">
        <f>((IF(ISBLANK(Draft!C8),0,VLOOKUP(Draft!C8, 'NO USAR1'!A4:L1000,5,FALSE)+(IF(ISBLANK(Draft!D9),0,VLOOKUP(Draft!D9, 'NO USAR1'!A4:L1000,5,FALSE)+(IF(ISBLANK(Draft!E8),0,VLOOKUP(Draft!E8, 'NO USAR1'!A4:L1000,5,FALSE)+(IF(ISBLANK(Draft!F9),0,VLOOKUP(Draft!F9, 'NO USAR1'!A4:L1000,5,FALSE)+(IF(ISBLANK(Draft!G8),0,VLOOKUP(Draft!G8, 'NO USAR1'!A4:L1000,5,FALSE)+(IF(ISBLANK(Draft!H9),0,VLOOKUP(Draft!H9, 'NO USAR1'!A4:L1000,5,FALSE)+(IF(ISBLANK(Draft!I8),0,VLOOKUP(Draft!I8, 'NO USAR1'!A4:L1000,5,FALSE)+(IF(ISBLANK(Draft!J9),0,VLOOKUP(Draft!J9, 'NO USAR1'!A4:L1000,5,FALSE)+(IF(ISBLANK(Draft!K8),0,VLOOKUP(Draft!K8, 'NO USAR1'!A4:L1000,5,FALSE)+(IF(ISBLANK(Draft!L9),0,VLOOKUP(Draft!L9, 'NO USAR1'!A4:L1000,5,FALSE)+IF(ISBLANK(Draft!M8),0,VLOOKUP(Draft!M8, 'NO USAR1'!A4:L1000,5,FALSE)+IF(ISBLANK(Draft!N9),0,VLOOKUP(Draft!N9, 'NO USAR1'!A4:L1000,5,FALSE))))))))))))))))))))))))</f>
        <v>1.907417577</v>
      </c>
      <c r="H10" s="23">
        <f>((IF(ISBLANK(Draft!C8),0,VLOOKUP(Draft!C8, 'NO USAR1'!A4:L1000,6,FALSE)+(IF(ISBLANK(Draft!D9),0,VLOOKUP(Draft!D9, 'NO USAR1'!A4:L1000,6,FALSE)+(IF(ISBLANK(Draft!E8),0,VLOOKUP(Draft!E8, 'NO USAR1'!A4:L1000,6,FALSE)+(IF(ISBLANK(Draft!F9),0,VLOOKUP(Draft!F9, 'NO USAR1'!A4:L1000,6,FALSE)+(IF(ISBLANK(Draft!G8),0,VLOOKUP(Draft!G8, 'NO USAR1'!A4:L1000,6,FALSE)+(IF(ISBLANK(Draft!H9),0,VLOOKUP(Draft!H9, 'NO USAR1'!A4:L1000,6,FALSE)+(IF(ISBLANK(Draft!I8),0,VLOOKUP(Draft!I8, 'NO USAR1'!A4:L1000,6,FALSE)+(IF(ISBLANK(Draft!J9),0,VLOOKUP(Draft!J9, 'NO USAR1'!A4:L1000,6,FALSE)+(IF(ISBLANK(Draft!K8),0,VLOOKUP(Draft!K8, 'NO USAR1'!A4:L1000,6,FALSE)+(IF(ISBLANK(Draft!L9),0,VLOOKUP(Draft!L9, 'NO USAR1'!A4:L1000,6,FALSE)+IF(ISBLANK(Draft!M8),0,VLOOKUP(Draft!M8, 'NO USAR1'!A4:L1000,6,FALSE)+IF(ISBLANK(Draft!N9),0,VLOOKUP(Draft!N9, 'NO USAR1'!A4:L1000,6,FALSE))))))))))))))))))))))))</f>
        <v>1.163296243</v>
      </c>
      <c r="I10" s="23">
        <f>((IF(ISBLANK(Draft!C8),0,VLOOKUP(Draft!C8, 'NO USAR1'!A4:L1000,7,FALSE)+(IF(ISBLANK(Draft!D9),0,VLOOKUP(Draft!D9, 'NO USAR1'!A4:L1000,7,FALSE)+(IF(ISBLANK(Draft!E8),0,VLOOKUP(Draft!E8, 'NO USAR1'!A4:L1000,7,FALSE)+(IF(ISBLANK(Draft!F9),0,VLOOKUP(Draft!F9, 'NO USAR1'!A4:L1000,7,FALSE)+(IF(ISBLANK(Draft!G8),0,VLOOKUP(Draft!G8, 'NO USAR1'!A4:L1000,7,FALSE)+(IF(ISBLANK(Draft!H9),0,VLOOKUP(Draft!H9, 'NO USAR1'!A4:L1000,7,FALSE)+(IF(ISBLANK(Draft!I8),0,VLOOKUP(Draft!I8, 'NO USAR1'!A4:L1000,7,FALSE)+(IF(ISBLANK(Draft!J9),0,VLOOKUP(Draft!J9, 'NO USAR1'!A4:L1000,7,FALSE)+(IF(ISBLANK(Draft!K8),0,VLOOKUP(Draft!K8, 'NO USAR1'!A4:L1000,7,FALSE)+(IF(ISBLANK(Draft!L9),0,VLOOKUP(Draft!L9, 'NO USAR1'!A4:L1000,7,FALSE)+IF(ISBLANK(Draft!M8),0,VLOOKUP(Draft!M8, 'NO USAR1'!A4:L1000,7,FALSE)+IF(ISBLANK(Draft!N9),0,VLOOKUP(Draft!N9, 'NO USAR1'!A4:L1000,7,FALSE))))))))))))))))))))))))</f>
        <v>-2.411068322</v>
      </c>
      <c r="J10" s="23">
        <f>((IF(ISBLANK(Draft!C8),0,VLOOKUP(Draft!C8, 'NO USAR1'!A4:L1000,8,FALSE)+(IF(ISBLANK(Draft!D9),0,VLOOKUP(Draft!D9, 'NO USAR1'!A4:L1000,8,FALSE)+(IF(ISBLANK(Draft!E8),0,VLOOKUP(Draft!E8, 'NO USAR1'!A4:L1000,8,FALSE)+(IF(ISBLANK(Draft!F9),0,VLOOKUP(Draft!F9, 'NO USAR1'!A4:L1000,8,FALSE)+(IF(ISBLANK(Draft!G8),0,VLOOKUP(Draft!G8, 'NO USAR1'!A4:L1000,8,FALSE)+(IF(ISBLANK(Draft!H9),0,VLOOKUP(Draft!H9, 'NO USAR1'!A4:L1000,8,FALSE)+(IF(ISBLANK(Draft!I8),0,VLOOKUP(Draft!I8, 'NO USAR1'!A4:L1000,8,FALSE)+(IF(ISBLANK(Draft!J9),0,VLOOKUP(Draft!J9, 'NO USAR1'!A4:L1000,8,FALSE)+(IF(ISBLANK(Draft!K8),0,VLOOKUP(Draft!K8, 'NO USAR1'!A4:L1000,8,FALSE)+(IF(ISBLANK(Draft!L9),0,VLOOKUP(Draft!L9, 'NO USAR1'!A4:L1000,8,FALSE)+IF(ISBLANK(Draft!M8),0,VLOOKUP(Draft!M8, 'NO USAR1'!A4:L1000,8,FALSE)+IF(ISBLANK(Draft!N9),0,VLOOKUP(Draft!N9, 'NO USAR1'!A4:L1000,8,FALSE))))))))))))))))))))))))</f>
        <v>-3.787766386</v>
      </c>
      <c r="K10" s="23">
        <f>((IF(ISBLANK(Draft!C8),0,VLOOKUP(Draft!C8, 'NO USAR1'!A4:L1000,10,FALSE)+(IF(ISBLANK(Draft!D9),0,VLOOKUP(Draft!D9, 'NO USAR1'!A4:L1000,10,FALSE)+(IF(ISBLANK(Draft!E8),0,VLOOKUP(Draft!E8, 'NO USAR1'!A4:L1000,10,FALSE)+(IF(ISBLANK(Draft!F9),0,VLOOKUP(Draft!F9, 'NO USAR1'!A4:L1000,10,FALSE)+(IF(ISBLANK(Draft!G8),0,VLOOKUP(Draft!G8, 'NO USAR1'!A4:L1000,10,FALSE)+(IF(ISBLANK(Draft!H9),0,VLOOKUP(Draft!H9, 'NO USAR1'!A4:L1000,10,FALSE)+(IF(ISBLANK(Draft!I8),0,VLOOKUP(Draft!I8, 'NO USAR1'!A4:L1000,10,FALSE)+(IF(ISBLANK(Draft!J9),0,VLOOKUP(Draft!J9, 'NO USAR1'!A4:L1000,10,FALSE)+(IF(ISBLANK(Draft!K8),0,VLOOKUP(Draft!K8, 'NO USAR1'!A4:L1000,10,FALSE)+(IF(ISBLANK(Draft!L9),0,VLOOKUP(Draft!L9, 'NO USAR1'!A4:L1000,10,FALSE)+IF(ISBLANK(Draft!M8),0,VLOOKUP(Draft!M8, 'NO USAR1'!A4:L1000,10,FALSE)+IF(ISBLANK(Draft!N9),0,VLOOKUP(Draft!N9, 'NO USAR1'!A4:L1000,10,FALSE))))))))))))))))))))))))</f>
        <v>4.476644848</v>
      </c>
      <c r="L10" s="42">
        <f>((IF(ISBLANK(Draft!C8),0,VLOOKUP(Draft!C8, 'NO USAR1'!A4:L1000,12,FALSE)+(IF(ISBLANK(Draft!D9),0,VLOOKUP(Draft!D9, 'NO USAR1'!A4:L1000,12,FALSE)+(IF(ISBLANK(Draft!E8),0,VLOOKUP(Draft!E8, 'NO USAR1'!A4:L1000,12,FALSE)+(IF(ISBLANK(Draft!F9),0,VLOOKUP(Draft!F9, 'NO USAR1'!A4:L1000,12,FALSE)+(IF(ISBLANK(Draft!G8),0,VLOOKUP(Draft!G8, 'NO USAR1'!A4:L1000,12,FALSE)+(IF(ISBLANK(Draft!H9),0,VLOOKUP(Draft!H9, 'NO USAR1'!A4:L1000,12,FALSE)+(IF(ISBLANK(Draft!I8),0,VLOOKUP(Draft!I8, 'NO USAR1'!A4:L1000,12,FALSE)+(IF(ISBLANK(Draft!J9),0,VLOOKUP(Draft!J9, 'NO USAR1'!A4:L1000,12,FALSE)+(IF(ISBLANK(Draft!K8),0,VLOOKUP(Draft!K8, 'NO USAR1'!A4:L1000,12,FALSE)+(IF(ISBLANK(Draft!L9),0,VLOOKUP(Draft!L9, 'NO USAR1'!A4:L1000,12,FALSE)+IF(ISBLANK(Draft!M8),0,VLOOKUP(Draft!M8, 'NO USAR1'!A4:L1000,12,FALSE)+IF(ISBLANK(Draft!N9),0,VLOOKUP(Draft!N9, 'NO USAR1'!A4:L1000,12,FALSE))))))))))))))))))))))))</f>
        <v>1.02513888</v>
      </c>
      <c r="M10" s="49">
        <f t="array" ref="M10">if(M$3=$C10,"-", countif(indirect(address(row($C$4)+ VLOOKUP(M$3,$C$5:$C$16,1),COLUMN($D$4))):indirect(address(row($C$4)+ VLOOKUP(M$3,$C$5:$C$16,1),COLUMN($L$4)))&gt;indirect(address(row($C10),COLUMN($D$4))):indirect(address(row($C10),COLUMN($L$4))),TRUE()))</f>
        <v>0</v>
      </c>
      <c r="N10" s="49">
        <f t="array" ref="N10">if(N$3=$C10,"-", countif(indirect(address(row($C$4)+ VLOOKUP(N$3,$C$5:$C$16,1),COLUMN($D$4))):indirect(address(row($C$4)+ VLOOKUP(N$3,$C$5:$C$16,1),COLUMN($L$4)))&gt;indirect(address(row($C10),COLUMN($D$4))):indirect(address(row($C10),COLUMN($L$4))),TRUE()))</f>
        <v>0</v>
      </c>
      <c r="O10" s="49">
        <f t="array" ref="O10">if(O$3=$C10,"-", countif(indirect(address(row($C$4)+ VLOOKUP(O$3,$C$5:$C$16,1),COLUMN($D$4))):indirect(address(row($C$4)+ VLOOKUP(O$3,$C$5:$C$16,1),COLUMN($L$4)))&gt;indirect(address(row($C10),COLUMN($D$4))):indirect(address(row($C10),COLUMN($L$4))),TRUE()))</f>
        <v>0</v>
      </c>
      <c r="P10" s="49">
        <f t="array" ref="P10">if(P$3=$C10,"-", countif(indirect(address(row($C$4)+ VLOOKUP(P$3,$C$5:$C$16,1),COLUMN($D$4))):indirect(address(row($C$4)+ VLOOKUP(P$3,$C$5:$C$16,1),COLUMN($L$4)))&gt;indirect(address(row($C10),COLUMN($D$4))):indirect(address(row($C10),COLUMN($L$4))),TRUE()))</f>
        <v>0</v>
      </c>
      <c r="Q10" s="49">
        <f t="array" ref="Q10">if(Q$3=$C10,"-", countif(indirect(address(row($C$4)+ VLOOKUP(Q$3,$C$5:$C$16,1),COLUMN($D$4))):indirect(address(row($C$4)+ VLOOKUP(Q$3,$C$5:$C$16,1),COLUMN($L$4)))&gt;indirect(address(row($C10),COLUMN($D$4))):indirect(address(row($C10),COLUMN($L$4))),TRUE()))</f>
        <v>0</v>
      </c>
      <c r="R10" s="49">
        <f t="array" ref="R10">if(R$3=$C10,"-", countif(indirect(address(row($C$4)+ VLOOKUP(R$3,$C$5:$C$16,1),COLUMN($D$4))):indirect(address(row($C$4)+ VLOOKUP(R$3,$C$5:$C$16,1),COLUMN($L$4)))&gt;indirect(address(row($C10),COLUMN($D$4))):indirect(address(row($C10),COLUMN($L$4))),TRUE()))</f>
        <v>0</v>
      </c>
      <c r="S10" s="49">
        <f t="array" ref="S10">if(S$3=$C10,"-", countif(indirect(address(row($C$4)+ VLOOKUP(S$3,$C$5:$C$16,1),COLUMN($D$4))):indirect(address(row($C$4)+ VLOOKUP(S$3,$C$5:$C$16,1),COLUMN($L$4)))&gt;indirect(address(row($C10),COLUMN($D$4))):indirect(address(row($C10),COLUMN($L$4))),TRUE()))</f>
        <v>0</v>
      </c>
      <c r="T10" s="49">
        <f t="array" ref="T10">if(T$3=$C10,"-", countif(indirect(address(row($C$4)+ VLOOKUP(T$3,$C$5:$C$16,1),COLUMN($D$4))):indirect(address(row($C$4)+ VLOOKUP(T$3,$C$5:$C$16,1),COLUMN($L$4)))&gt;indirect(address(row($C10),COLUMN($D$4))):indirect(address(row($C10),COLUMN($L$4))),TRUE()))</f>
        <v>0</v>
      </c>
      <c r="U10" s="49">
        <f t="array" ref="U10">if(U$3=$C10,"-", countif(indirect(address(row($C$4)+ VLOOKUP(U$3,$C$5:$C$16,1),COLUMN($D$4))):indirect(address(row($C$4)+ VLOOKUP(U$3,$C$5:$C$16,1),COLUMN($L$4)))&gt;indirect(address(row($C10),COLUMN($D$4))):indirect(address(row($C10),COLUMN($L$4))),TRUE()))</f>
        <v>0</v>
      </c>
      <c r="V10" s="49">
        <f t="array" ref="V10">if(V$3=$C10,"-", countif(indirect(address(row($C$4)+ VLOOKUP(V$3,$C$5:$C$16,1),COLUMN($D$4))):indirect(address(row($C$4)+ VLOOKUP(V$3,$C$5:$C$16,1),COLUMN($L$4)))&gt;indirect(address(row($C10),COLUMN($D$4))):indirect(address(row($C10),COLUMN($L$4))),TRUE()))</f>
        <v>0</v>
      </c>
      <c r="W10" s="49">
        <f t="array" ref="W10">if(W$3=$C10,"-", countif(indirect(address(row($C$4)+ VLOOKUP(W$3,$C$5:$C$16,1),COLUMN($D$4))):indirect(address(row($C$4)+ VLOOKUP(W$3,$C$5:$C$16,1),COLUMN($L$4)))&gt;indirect(address(row($C10),COLUMN($D$4))):indirect(address(row($C10),COLUMN($L$4))),TRUE()))</f>
        <v>0</v>
      </c>
      <c r="X10" s="49">
        <f t="array" ref="X10">if(X$3=$C10,"-", countif(indirect(address(row($C$4)+ VLOOKUP(X$3,$C$5:$C$16,1),COLUMN($D$4))):indirect(address(row($C$4)+ VLOOKUP(X$3,$C$5:$C$16,1),COLUMN($L$4)))&gt;indirect(address(row($C10),COLUMN($D$4))):indirect(address(row($C10),COLUMN($L$4))),TRUE()))</f>
        <v>0</v>
      </c>
      <c r="Y10" s="49">
        <f t="array" ref="Y10">if(D$1=$C10,"-", countif(indirect(address(row($C$4)+ VLOOKUP(D$1,$C$5:$C$16,1),COLUMN($D$4))):indirect(address(row($C$4)+ VLOOKUP(D$1,$C$5:$C$16,1),COLUMN($L$4)))&gt;indirect(address(row($C10),COLUMN($D$4))):indirect(address(row($C10),COLUMN($L$4))),TRUE()))</f>
        <v>0</v>
      </c>
      <c r="Z10" s="23">
        <f>SUM(R$5:R$16)/99</f>
        <v>0</v>
      </c>
    </row>
    <row r="11">
      <c r="B11" s="13" t="b">
        <f>Draft!B9</f>
        <v>0</v>
      </c>
      <c r="C11" s="12">
        <v>7.0</v>
      </c>
      <c r="D11" s="23">
        <f>((IF(ISBLANK(Draft!C9),0,VLOOKUP(Draft!C9, 'NO USAR1'!A4:L1000,2,FALSE)+(IF(ISBLANK(Draft!D8),0,VLOOKUP(Draft!D8, 'NO USAR1'!A4:L1000,2,FALSE)+(IF(ISBLANK(Draft!E9),0,VLOOKUP(Draft!E9, 'NO USAR1'!A4:L1000,2,FALSE)+(IF(ISBLANK(Draft!F8),0,VLOOKUP(Draft!F8, 'NO USAR1'!A4:L1000,2,FALSE)+(IF(ISBLANK(Draft!G9),0,VLOOKUP(Draft!G9, 'NO USAR1'!A4:L1000,2,FALSE)+(IF(ISBLANK(Draft!H8),0,VLOOKUP(Draft!H8, 'NO USAR1'!A4:L1000,2,FALSE)+(IF(ISBLANK(Draft!I9),0,VLOOKUP(Draft!I9, 'NO USAR1'!A4:L1000,2,FALSE)+(IF(ISBLANK(Draft!J8),0,VLOOKUP(Draft!J8, 'NO USAR1'!A4:L1000,2,FALSE)+(IF(ISBLANK(Draft!K9),0,VLOOKUP(Draft!K9, 'NO USAR1'!A4:L1000,2,FALSE)+(IF(ISBLANK(Draft!L8),0,VLOOKUP(Draft!L8, 'NO USAR1'!A4:L1000,2,FALSE)+IF(ISBLANK(Draft!M9),0,VLOOKUP(Draft!M9, 'NO USAR1'!A4:L1000,2,FALSE)+IF(ISBLANK(Draft!N8),0,VLOOKUP(Draft!N8, 'NO USAR1'!A4:L1000,2,FALSE))))))))))))))))))))))))</f>
        <v>-4.275331361</v>
      </c>
      <c r="E11" s="23">
        <f>((IF(ISBLANK(Draft!C9),0,VLOOKUP(Draft!C9, 'NO USAR1'!A4:L1000,3,FALSE)+(IF(ISBLANK(Draft!D8),0,VLOOKUP(Draft!D8, 'NO USAR1'!A4:L1000,3,FALSE)+(IF(ISBLANK(Draft!E9),0,VLOOKUP(Draft!E9, 'NO USAR1'!A4:L1000,3,FALSE)+(IF(ISBLANK(Draft!F8),0,VLOOKUP(Draft!F8, 'NO USAR1'!A4:L1000,3,FALSE)+(IF(ISBLANK(Draft!G9),0,VLOOKUP(Draft!G9, 'NO USAR1'!A4:L1000,3,FALSE)+(IF(ISBLANK(Draft!H8),0,VLOOKUP(Draft!H8, 'NO USAR1'!A4:L1000,3,FALSE)+(IF(ISBLANK(Draft!I9),0,VLOOKUP(Draft!I9, 'NO USAR1'!A4:L1000,3,FALSE)+(IF(ISBLANK(Draft!J8),0,VLOOKUP(Draft!J8, 'NO USAR1'!A4:L1000,3,FALSE)+(IF(ISBLANK(Draft!K9),0,VLOOKUP(Draft!K9, 'NO USAR1'!A4:L1000,3,FALSE)+(IF(ISBLANK(Draft!L8),0,VLOOKUP(Draft!L8, 'NO USAR1'!A4:L1000,3,FALSE)+IF(ISBLANK(Draft!M9),0,VLOOKUP(Draft!M9, 'NO USAR1'!A4:L1000,3,FALSE)+IF(ISBLANK(Draft!N8),0,VLOOKUP(Draft!N8, 'NO USAR1'!A4:L1000,3,FALSE))))))))))))))))))))))))</f>
        <v>-1.247595564</v>
      </c>
      <c r="F11" s="23">
        <f>((IF(ISBLANK(Draft!C9),0,VLOOKUP(Draft!C9, 'NO USAR1'!A4:L1000,4,FALSE)+(IF(ISBLANK(Draft!D8),0,VLOOKUP(Draft!D8, 'NO USAR1'!A4:L1000,4,FALSE)+(IF(ISBLANK(Draft!E9),0,VLOOKUP(Draft!E9, 'NO USAR1'!A4:L1000,4,FALSE)+(IF(ISBLANK(Draft!F8),0,VLOOKUP(Draft!F8, 'NO USAR1'!A4:L1000,4,FALSE)+(IF(ISBLANK(Draft!G9),0,VLOOKUP(Draft!G9, 'NO USAR1'!A4:L1000,4,FALSE)+(IF(ISBLANK(Draft!H8),0,VLOOKUP(Draft!H8, 'NO USAR1'!A4:L1000,4,FALSE)+(IF(ISBLANK(Draft!I9),0,VLOOKUP(Draft!I9, 'NO USAR1'!A4:L1000,4,FALSE)+(IF(ISBLANK(Draft!J8),0,VLOOKUP(Draft!J8, 'NO USAR1'!A4:L1000,4,FALSE)+(IF(ISBLANK(Draft!K9),0,VLOOKUP(Draft!K9, 'NO USAR1'!A4:L1000,4,FALSE)+(IF(ISBLANK(Draft!L8),0,VLOOKUP(Draft!L8, 'NO USAR1'!A4:L1000,4,FALSE)+IF(ISBLANK(Draft!M9),0,VLOOKUP(Draft!M9, 'NO USAR1'!A4:L1000,4,FALSE)+IF(ISBLANK(Draft!N8),0,VLOOKUP(Draft!N8, 'NO USAR1'!A4:L1000,4,FALSE))))))))))))))))))))))))</f>
        <v>2.93120577</v>
      </c>
      <c r="G11" s="23">
        <f>((IF(ISBLANK(Draft!C9),0,VLOOKUP(Draft!C9, 'NO USAR1'!A4:L1000,5,FALSE)+(IF(ISBLANK(Draft!D8),0,VLOOKUP(Draft!D8, 'NO USAR1'!A4:L1000,5,FALSE)+(IF(ISBLANK(Draft!E9),0,VLOOKUP(Draft!E9, 'NO USAR1'!A4:L1000,5,FALSE)+(IF(ISBLANK(Draft!F8),0,VLOOKUP(Draft!F8, 'NO USAR1'!A4:L1000,5,FALSE)+(IF(ISBLANK(Draft!G9),0,VLOOKUP(Draft!G9, 'NO USAR1'!A4:L1000,5,FALSE)+(IF(ISBLANK(Draft!H8),0,VLOOKUP(Draft!H8, 'NO USAR1'!A4:L1000,5,FALSE)+(IF(ISBLANK(Draft!I9),0,VLOOKUP(Draft!I9, 'NO USAR1'!A4:L1000,5,FALSE)+(IF(ISBLANK(Draft!J8),0,VLOOKUP(Draft!J8, 'NO USAR1'!A4:L1000,5,FALSE)+(IF(ISBLANK(Draft!K9),0,VLOOKUP(Draft!K9, 'NO USAR1'!A4:L1000,5,FALSE)+(IF(ISBLANK(Draft!L8),0,VLOOKUP(Draft!L8, 'NO USAR1'!A4:L1000,5,FALSE)+IF(ISBLANK(Draft!M9),0,VLOOKUP(Draft!M9, 'NO USAR1'!A4:L1000,5,FALSE)+IF(ISBLANK(Draft!N8),0,VLOOKUP(Draft!N8, 'NO USAR1'!A4:L1000,5,FALSE))))))))))))))))))))))))</f>
        <v>2.318316689</v>
      </c>
      <c r="H11" s="23">
        <f>((IF(ISBLANK(Draft!C9),0,VLOOKUP(Draft!C9, 'NO USAR1'!A4:L1000,6,FALSE)+(IF(ISBLANK(Draft!D8),0,VLOOKUP(Draft!D8, 'NO USAR1'!A4:L1000,6,FALSE)+(IF(ISBLANK(Draft!E9),0,VLOOKUP(Draft!E9, 'NO USAR1'!A4:L1000,6,FALSE)+(IF(ISBLANK(Draft!F8),0,VLOOKUP(Draft!F8, 'NO USAR1'!A4:L1000,6,FALSE)+(IF(ISBLANK(Draft!G9),0,VLOOKUP(Draft!G9, 'NO USAR1'!A4:L1000,6,FALSE)+(IF(ISBLANK(Draft!H8),0,VLOOKUP(Draft!H8, 'NO USAR1'!A4:L1000,6,FALSE)+(IF(ISBLANK(Draft!I9),0,VLOOKUP(Draft!I9, 'NO USAR1'!A4:L1000,6,FALSE)+(IF(ISBLANK(Draft!J8),0,VLOOKUP(Draft!J8, 'NO USAR1'!A4:L1000,6,FALSE)+(IF(ISBLANK(Draft!K9),0,VLOOKUP(Draft!K9, 'NO USAR1'!A4:L1000,6,FALSE)+(IF(ISBLANK(Draft!L8),0,VLOOKUP(Draft!L8, 'NO USAR1'!A4:L1000,6,FALSE)+IF(ISBLANK(Draft!M9),0,VLOOKUP(Draft!M9, 'NO USAR1'!A4:L1000,6,FALSE)+IF(ISBLANK(Draft!N8),0,VLOOKUP(Draft!N8, 'NO USAR1'!A4:L1000,6,FALSE))))))))))))))))))))))))</f>
        <v>0.1821765814</v>
      </c>
      <c r="I11" s="23">
        <f>((IF(ISBLANK(Draft!C9),0,VLOOKUP(Draft!C9, 'NO USAR1'!A4:L1000,7,FALSE)+(IF(ISBLANK(Draft!D8),0,VLOOKUP(Draft!D8, 'NO USAR1'!A4:L1000,7,FALSE)+(IF(ISBLANK(Draft!E9),0,VLOOKUP(Draft!E9, 'NO USAR1'!A4:L1000,7,FALSE)+(IF(ISBLANK(Draft!F8),0,VLOOKUP(Draft!F8, 'NO USAR1'!A4:L1000,7,FALSE)+(IF(ISBLANK(Draft!G9),0,VLOOKUP(Draft!G9, 'NO USAR1'!A4:L1000,7,FALSE)+(IF(ISBLANK(Draft!H8),0,VLOOKUP(Draft!H8, 'NO USAR1'!A4:L1000,7,FALSE)+(IF(ISBLANK(Draft!I9),0,VLOOKUP(Draft!I9, 'NO USAR1'!A4:L1000,7,FALSE)+(IF(ISBLANK(Draft!J8),0,VLOOKUP(Draft!J8, 'NO USAR1'!A4:L1000,7,FALSE)+(IF(ISBLANK(Draft!K9),0,VLOOKUP(Draft!K9, 'NO USAR1'!A4:L1000,7,FALSE)+(IF(ISBLANK(Draft!L8),0,VLOOKUP(Draft!L8, 'NO USAR1'!A4:L1000,7,FALSE)+IF(ISBLANK(Draft!M9),0,VLOOKUP(Draft!M9, 'NO USAR1'!A4:L1000,7,FALSE)+IF(ISBLANK(Draft!N8),0,VLOOKUP(Draft!N8, 'NO USAR1'!A4:L1000,7,FALSE))))))))))))))))))))))))</f>
        <v>4.592642755</v>
      </c>
      <c r="J11" s="42">
        <f>((IF(ISBLANK(Draft!C9),0,VLOOKUP(Draft!C9, 'NO USAR1'!A4:L1000,8,FALSE)+(IF(ISBLANK(Draft!D8),0,VLOOKUP(Draft!D8, 'NO USAR1'!A4:L1000,8,FALSE)+(IF(ISBLANK(Draft!E9),0,VLOOKUP(Draft!E9, 'NO USAR1'!A4:L1000,8,FALSE)+(IF(ISBLANK(Draft!F8),0,VLOOKUP(Draft!F8, 'NO USAR1'!A4:L1000,8,FALSE)+(IF(ISBLANK(Draft!G9),0,VLOOKUP(Draft!G9, 'NO USAR1'!A4:L1000,8,FALSE)+(IF(ISBLANK(Draft!H8),0,VLOOKUP(Draft!H8, 'NO USAR1'!A4:L1000,8,FALSE)+(IF(ISBLANK(Draft!I9),0,VLOOKUP(Draft!I9, 'NO USAR1'!A4:L1000,8,FALSE)+(IF(ISBLANK(Draft!J8),0,VLOOKUP(Draft!J8, 'NO USAR1'!A4:L1000,8,FALSE)+(IF(ISBLANK(Draft!K9),0,VLOOKUP(Draft!K9, 'NO USAR1'!A4:L1000,8,FALSE)+(IF(ISBLANK(Draft!L8),0,VLOOKUP(Draft!L8, 'NO USAR1'!A4:L1000,8,FALSE)+IF(ISBLANK(Draft!M9),0,VLOOKUP(Draft!M9, 'NO USAR1'!A4:L1000,8,FALSE)+IF(ISBLANK(Draft!N8),0,VLOOKUP(Draft!N8, 'NO USAR1'!A4:L1000,8,FALSE))))))))))))))))))))))))</f>
        <v>-0.3620159334</v>
      </c>
      <c r="K11" s="23">
        <f>((IF(ISBLANK(Draft!C9),0,VLOOKUP(Draft!C9, 'NO USAR1'!A4:L1000,10,FALSE)+(IF(ISBLANK(Draft!D8),0,VLOOKUP(Draft!D8, 'NO USAR1'!A4:L1000,10,FALSE)+(IF(ISBLANK(Draft!E9),0,VLOOKUP(Draft!E9, 'NO USAR1'!A4:L1000,10,FALSE)+(IF(ISBLANK(Draft!F8),0,VLOOKUP(Draft!F8, 'NO USAR1'!A4:L1000,10,FALSE)+(IF(ISBLANK(Draft!G9),0,VLOOKUP(Draft!G9, 'NO USAR1'!A4:L1000,10,FALSE)+(IF(ISBLANK(Draft!H8),0,VLOOKUP(Draft!H8, 'NO USAR1'!A4:L1000,10,FALSE)+(IF(ISBLANK(Draft!I9),0,VLOOKUP(Draft!I9, 'NO USAR1'!A4:L1000,10,FALSE)+(IF(ISBLANK(Draft!J8),0,VLOOKUP(Draft!J8, 'NO USAR1'!A4:L1000,10,FALSE)+(IF(ISBLANK(Draft!K9),0,VLOOKUP(Draft!K9, 'NO USAR1'!A4:L1000,10,FALSE)+(IF(ISBLANK(Draft!L8),0,VLOOKUP(Draft!L8, 'NO USAR1'!A4:L1000,10,FALSE)+IF(ISBLANK(Draft!M9),0,VLOOKUP(Draft!M9, 'NO USAR1'!A4:L1000,10,FALSE)+IF(ISBLANK(Draft!N8),0,VLOOKUP(Draft!N8, 'NO USAR1'!A4:L1000,10,FALSE))))))))))))))))))))))))</f>
        <v>0.9033794277</v>
      </c>
      <c r="L11" s="23">
        <f>((IF(ISBLANK(Draft!C9),0,VLOOKUP(Draft!C9, 'NO USAR1'!A4:L1000,12,FALSE)+(IF(ISBLANK(Draft!D8),0,VLOOKUP(Draft!D8, 'NO USAR1'!A4:L1000,12,FALSE)+(IF(ISBLANK(Draft!E9),0,VLOOKUP(Draft!E9, 'NO USAR1'!A4:L1000,12,FALSE)+(IF(ISBLANK(Draft!F8),0,VLOOKUP(Draft!F8, 'NO USAR1'!A4:L1000,12,FALSE)+(IF(ISBLANK(Draft!G9),0,VLOOKUP(Draft!G9, 'NO USAR1'!A4:L1000,12,FALSE)+(IF(ISBLANK(Draft!H8),0,VLOOKUP(Draft!H8, 'NO USAR1'!A4:L1000,12,FALSE)+(IF(ISBLANK(Draft!I9),0,VLOOKUP(Draft!I9, 'NO USAR1'!A4:L1000,12,FALSE)+(IF(ISBLANK(Draft!J8),0,VLOOKUP(Draft!J8, 'NO USAR1'!A4:L1000,12,FALSE)+(IF(ISBLANK(Draft!K9),0,VLOOKUP(Draft!K9, 'NO USAR1'!A4:L1000,12,FALSE)+(IF(ISBLANK(Draft!L8),0,VLOOKUP(Draft!L8, 'NO USAR1'!A4:L1000,12,FALSE)+IF(ISBLANK(Draft!M9),0,VLOOKUP(Draft!M9, 'NO USAR1'!A4:L1000,12,FALSE)+IF(ISBLANK(Draft!N8),0,VLOOKUP(Draft!N8, 'NO USAR1'!A4:L1000,12,FALSE))))))))))))))))))))))))</f>
        <v>-0.2992457423</v>
      </c>
      <c r="M11" s="49">
        <f t="array" ref="M11">if(M$3=$C11,"-", countif(indirect(address(row($C$4)+ VLOOKUP(M$3,$C$5:$C$16,1),COLUMN($D$4))):indirect(address(row($C$4)+ VLOOKUP(M$3,$C$5:$C$16,1),COLUMN($L$4)))&gt;indirect(address(row($C11),COLUMN($D$4))):indirect(address(row($C11),COLUMN($L$4))),TRUE()))</f>
        <v>0</v>
      </c>
      <c r="N11" s="49">
        <f t="array" ref="N11">if(N$3=$C11,"-", countif(indirect(address(row($C$4)+ VLOOKUP(N$3,$C$5:$C$16,1),COLUMN($D$4))):indirect(address(row($C$4)+ VLOOKUP(N$3,$C$5:$C$16,1),COLUMN($L$4)))&gt;indirect(address(row($C11),COLUMN($D$4))):indirect(address(row($C11),COLUMN($L$4))),TRUE()))</f>
        <v>0</v>
      </c>
      <c r="O11" s="49">
        <f t="array" ref="O11">if(O$3=$C11,"-", countif(indirect(address(row($C$4)+ VLOOKUP(O$3,$C$5:$C$16,1),COLUMN($D$4))):indirect(address(row($C$4)+ VLOOKUP(O$3,$C$5:$C$16,1),COLUMN($L$4)))&gt;indirect(address(row($C11),COLUMN($D$4))):indirect(address(row($C11),COLUMN($L$4))),TRUE()))</f>
        <v>0</v>
      </c>
      <c r="P11" s="49">
        <f t="array" ref="P11">if(P$3=$C11,"-", countif(indirect(address(row($C$4)+ VLOOKUP(P$3,$C$5:$C$16,1),COLUMN($D$4))):indirect(address(row($C$4)+ VLOOKUP(P$3,$C$5:$C$16,1),COLUMN($L$4)))&gt;indirect(address(row($C11),COLUMN($D$4))):indirect(address(row($C11),COLUMN($L$4))),TRUE()))</f>
        <v>0</v>
      </c>
      <c r="Q11" s="49">
        <f t="array" ref="Q11">if(Q$3=$C11,"-", countif(indirect(address(row($C$4)+ VLOOKUP(Q$3,$C$5:$C$16,1),COLUMN($D$4))):indirect(address(row($C$4)+ VLOOKUP(Q$3,$C$5:$C$16,1),COLUMN($L$4)))&gt;indirect(address(row($C11),COLUMN($D$4))):indirect(address(row($C11),COLUMN($L$4))),TRUE()))</f>
        <v>0</v>
      </c>
      <c r="R11" s="49">
        <f t="array" ref="R11">if(R$3=$C11,"-", countif(indirect(address(row($C$4)+ VLOOKUP(R$3,$C$5:$C$16,1),COLUMN($D$4))):indirect(address(row($C$4)+ VLOOKUP(R$3,$C$5:$C$16,1),COLUMN($L$4)))&gt;indirect(address(row($C11),COLUMN($D$4))):indirect(address(row($C11),COLUMN($L$4))),TRUE()))</f>
        <v>0</v>
      </c>
      <c r="S11" s="49">
        <f t="array" ref="S11">if(S$3=$C11,"-", countif(indirect(address(row($C$4)+ VLOOKUP(S$3,$C$5:$C$16,1),COLUMN($D$4))):indirect(address(row($C$4)+ VLOOKUP(S$3,$C$5:$C$16,1),COLUMN($L$4)))&gt;indirect(address(row($C11),COLUMN($D$4))):indirect(address(row($C11),COLUMN($L$4))),TRUE()))</f>
        <v>0</v>
      </c>
      <c r="T11" s="49">
        <f t="array" ref="T11">if(T$3=$C11,"-", countif(indirect(address(row($C$4)+ VLOOKUP(T$3,$C$5:$C$16,1),COLUMN($D$4))):indirect(address(row($C$4)+ VLOOKUP(T$3,$C$5:$C$16,1),COLUMN($L$4)))&gt;indirect(address(row($C11),COLUMN($D$4))):indirect(address(row($C11),COLUMN($L$4))),TRUE()))</f>
        <v>0</v>
      </c>
      <c r="U11" s="49">
        <f t="array" ref="U11">if(U$3=$C11,"-", countif(indirect(address(row($C$4)+ VLOOKUP(U$3,$C$5:$C$16,1),COLUMN($D$4))):indirect(address(row($C$4)+ VLOOKUP(U$3,$C$5:$C$16,1),COLUMN($L$4)))&gt;indirect(address(row($C11),COLUMN($D$4))):indirect(address(row($C11),COLUMN($L$4))),TRUE()))</f>
        <v>0</v>
      </c>
      <c r="V11" s="49">
        <f t="array" ref="V11">if(V$3=$C11,"-", countif(indirect(address(row($C$4)+ VLOOKUP(V$3,$C$5:$C$16,1),COLUMN($D$4))):indirect(address(row($C$4)+ VLOOKUP(V$3,$C$5:$C$16,1),COLUMN($L$4)))&gt;indirect(address(row($C11),COLUMN($D$4))):indirect(address(row($C11),COLUMN($L$4))),TRUE()))</f>
        <v>0</v>
      </c>
      <c r="W11" s="49">
        <f t="array" ref="W11">if(W$3=$C11,"-", countif(indirect(address(row($C$4)+ VLOOKUP(W$3,$C$5:$C$16,1),COLUMN($D$4))):indirect(address(row($C$4)+ VLOOKUP(W$3,$C$5:$C$16,1),COLUMN($L$4)))&gt;indirect(address(row($C11),COLUMN($D$4))):indirect(address(row($C11),COLUMN($L$4))),TRUE()))</f>
        <v>0</v>
      </c>
      <c r="X11" s="49">
        <f t="array" ref="X11">if(X$3=$C11,"-", countif(indirect(address(row($C$4)+ VLOOKUP(X$3,$C$5:$C$16,1),COLUMN($D$4))):indirect(address(row($C$4)+ VLOOKUP(X$3,$C$5:$C$16,1),COLUMN($L$4)))&gt;indirect(address(row($C11),COLUMN($D$4))):indirect(address(row($C11),COLUMN($L$4))),TRUE()))</f>
        <v>0</v>
      </c>
      <c r="Y11" s="49">
        <f t="array" ref="Y11">if(D$1=$C11,"-", countif(indirect(address(row($C$4)+ VLOOKUP(D$1,$C$5:$C$16,1),COLUMN($D$4))):indirect(address(row($C$4)+ VLOOKUP(D$1,$C$5:$C$16,1),COLUMN($L$4)))&gt;indirect(address(row($C11),COLUMN($D$4))):indirect(address(row($C11),COLUMN($L$4))),TRUE()))</f>
        <v>0</v>
      </c>
      <c r="Z11" s="23">
        <f>SUM(S$5:S$16)/99</f>
        <v>0</v>
      </c>
    </row>
    <row r="12">
      <c r="B12" s="13" t="b">
        <f>Draft!B10</f>
        <v>0</v>
      </c>
      <c r="C12" s="12">
        <v>8.0</v>
      </c>
      <c r="D12" s="23">
        <f>((IF(ISBLANK(Draft!C10),0,VLOOKUP(Draft!C10, 'NO USAR1'!A4:L1000,2,FALSE)+(IF(ISBLANK(Draft!D7),0,VLOOKUP(Draft!D7, 'NO USAR1'!A4:L1000,2,FALSE)+(IF(ISBLANK(Draft!E10),0,VLOOKUP(Draft!E10, 'NO USAR1'!A4:L1000,2,FALSE)+(IF(ISBLANK(Draft!F7),0,VLOOKUP(Draft!F7, 'NO USAR1'!A4:L1000,2,FALSE)+(IF(ISBLANK(Draft!G10),0,VLOOKUP(Draft!G10, 'NO USAR1'!A4:L1000,2,FALSE)+(IF(ISBLANK(Draft!H7),0,VLOOKUP(Draft!H7, 'NO USAR1'!A4:L1000,2,FALSE)+(IF(ISBLANK(Draft!I10),0,VLOOKUP(Draft!I10, 'NO USAR1'!A4:L1000,2,FALSE)+(IF(ISBLANK(Draft!J7),0,VLOOKUP(Draft!J7, 'NO USAR1'!A4:L1000,2,FALSE)+(IF(ISBLANK(Draft!K10),0,VLOOKUP(Draft!K10, 'NO USAR1'!A4:L1000,2,FALSE)+(IF(ISBLANK(Draft!L7),0,VLOOKUP(Draft!L7, 'NO USAR1'!A4:L1000,2,FALSE)+IF(ISBLANK(Draft!M10),0,VLOOKUP(Draft!M10, 'NO USAR1'!A4:L1000,2,FALSE)+IF(ISBLANK(Draft!N7),0,VLOOKUP(Draft!N7, 'NO USAR1'!A4:L1000,2,FALSE))))))))))))))))))))))))</f>
        <v>2.133257385</v>
      </c>
      <c r="E12" s="23">
        <f>((IF(ISBLANK(Draft!C10),0,VLOOKUP(Draft!C10, 'NO USAR1'!A4:L1000,3,FALSE)+(IF(ISBLANK(Draft!D7),0,VLOOKUP(Draft!D7, 'NO USAR1'!A4:L1000,3,FALSE)+(IF(ISBLANK(Draft!E10),0,VLOOKUP(Draft!E10, 'NO USAR1'!A4:L1000,3,FALSE)+(IF(ISBLANK(Draft!F7),0,VLOOKUP(Draft!F7, 'NO USAR1'!A4:L1000,3,FALSE)+(IF(ISBLANK(Draft!G10),0,VLOOKUP(Draft!G10, 'NO USAR1'!A4:L1000,3,FALSE)+(IF(ISBLANK(Draft!H7),0,VLOOKUP(Draft!H7, 'NO USAR1'!A4:L1000,3,FALSE)+(IF(ISBLANK(Draft!I10),0,VLOOKUP(Draft!I10, 'NO USAR1'!A4:L1000,3,FALSE)+(IF(ISBLANK(Draft!J7),0,VLOOKUP(Draft!J7, 'NO USAR1'!A4:L1000,3,FALSE)+(IF(ISBLANK(Draft!K10),0,VLOOKUP(Draft!K10, 'NO USAR1'!A4:L1000,3,FALSE)+(IF(ISBLANK(Draft!L7),0,VLOOKUP(Draft!L7, 'NO USAR1'!A4:L1000,3,FALSE)+IF(ISBLANK(Draft!M10),0,VLOOKUP(Draft!M10, 'NO USAR1'!A4:L1000,3,FALSE)+IF(ISBLANK(Draft!N7),0,VLOOKUP(Draft!N7, 'NO USAR1'!A4:L1000,3,FALSE))))))))))))))))))))))))</f>
        <v>2.452240017</v>
      </c>
      <c r="F12" s="23">
        <f>((IF(ISBLANK(Draft!C10),0,VLOOKUP(Draft!C10, 'NO USAR1'!A4:L1000,4,FALSE)+(IF(ISBLANK(Draft!D7),0,VLOOKUP(Draft!D7, 'NO USAR1'!A4:L1000,4,FALSE)+(IF(ISBLANK(Draft!E10),0,VLOOKUP(Draft!E10, 'NO USAR1'!A4:L1000,4,FALSE)+(IF(ISBLANK(Draft!F7),0,VLOOKUP(Draft!F7, 'NO USAR1'!A4:L1000,4,FALSE)+(IF(ISBLANK(Draft!G10),0,VLOOKUP(Draft!G10, 'NO USAR1'!A4:L1000,4,FALSE)+(IF(ISBLANK(Draft!H7),0,VLOOKUP(Draft!H7, 'NO USAR1'!A4:L1000,4,FALSE)+(IF(ISBLANK(Draft!I10),0,VLOOKUP(Draft!I10, 'NO USAR1'!A4:L1000,4,FALSE)+(IF(ISBLANK(Draft!J7),0,VLOOKUP(Draft!J7, 'NO USAR1'!A4:L1000,4,FALSE)+(IF(ISBLANK(Draft!K10),0,VLOOKUP(Draft!K10, 'NO USAR1'!A4:L1000,4,FALSE)+(IF(ISBLANK(Draft!L7),0,VLOOKUP(Draft!L7, 'NO USAR1'!A4:L1000,4,FALSE)+IF(ISBLANK(Draft!M10),0,VLOOKUP(Draft!M10, 'NO USAR1'!A4:L1000,4,FALSE)+IF(ISBLANK(Draft!N7),0,VLOOKUP(Draft!N7, 'NO USAR1'!A4:L1000,4,FALSE))))))))))))))))))))))))</f>
        <v>2.196418044</v>
      </c>
      <c r="G12" s="42">
        <f>((IF(ISBLANK(Draft!C10),0,VLOOKUP(Draft!C10, 'NO USAR1'!A4:L1000,5,FALSE)+(IF(ISBLANK(Draft!D7),0,VLOOKUP(Draft!D7, 'NO USAR1'!A4:L1000,5,FALSE)+(IF(ISBLANK(Draft!E10),0,VLOOKUP(Draft!E10, 'NO USAR1'!A4:L1000,5,FALSE)+(IF(ISBLANK(Draft!F7),0,VLOOKUP(Draft!F7, 'NO USAR1'!A4:L1000,5,FALSE)+(IF(ISBLANK(Draft!G10),0,VLOOKUP(Draft!G10, 'NO USAR1'!A4:L1000,5,FALSE)+(IF(ISBLANK(Draft!H7),0,VLOOKUP(Draft!H7, 'NO USAR1'!A4:L1000,5,FALSE)+(IF(ISBLANK(Draft!I10),0,VLOOKUP(Draft!I10, 'NO USAR1'!A4:L1000,5,FALSE)+(IF(ISBLANK(Draft!J7),0,VLOOKUP(Draft!J7, 'NO USAR1'!A4:L1000,5,FALSE)+(IF(ISBLANK(Draft!K10),0,VLOOKUP(Draft!K10, 'NO USAR1'!A4:L1000,5,FALSE)+(IF(ISBLANK(Draft!L7),0,VLOOKUP(Draft!L7, 'NO USAR1'!A4:L1000,5,FALSE)+IF(ISBLANK(Draft!M10),0,VLOOKUP(Draft!M10, 'NO USAR1'!A4:L1000,5,FALSE)+IF(ISBLANK(Draft!N7),0,VLOOKUP(Draft!N7, 'NO USAR1'!A4:L1000,5,FALSE))))))))))))))))))))))))</f>
        <v>-0.2840443524</v>
      </c>
      <c r="H12" s="23">
        <f>((IF(ISBLANK(Draft!C10),0,VLOOKUP(Draft!C10, 'NO USAR1'!A4:L1000,6,FALSE)+(IF(ISBLANK(Draft!D7),0,VLOOKUP(Draft!D7, 'NO USAR1'!A4:L1000,6,FALSE)+(IF(ISBLANK(Draft!E10),0,VLOOKUP(Draft!E10, 'NO USAR1'!A4:L1000,6,FALSE)+(IF(ISBLANK(Draft!F7),0,VLOOKUP(Draft!F7, 'NO USAR1'!A4:L1000,6,FALSE)+(IF(ISBLANK(Draft!G10),0,VLOOKUP(Draft!G10, 'NO USAR1'!A4:L1000,6,FALSE)+(IF(ISBLANK(Draft!H7),0,VLOOKUP(Draft!H7, 'NO USAR1'!A4:L1000,6,FALSE)+(IF(ISBLANK(Draft!I10),0,VLOOKUP(Draft!I10, 'NO USAR1'!A4:L1000,6,FALSE)+(IF(ISBLANK(Draft!J7),0,VLOOKUP(Draft!J7, 'NO USAR1'!A4:L1000,6,FALSE)+(IF(ISBLANK(Draft!K10),0,VLOOKUP(Draft!K10, 'NO USAR1'!A4:L1000,6,FALSE)+(IF(ISBLANK(Draft!L7),0,VLOOKUP(Draft!L7, 'NO USAR1'!A4:L1000,6,FALSE)+IF(ISBLANK(Draft!M10),0,VLOOKUP(Draft!M10, 'NO USAR1'!A4:L1000,6,FALSE)+IF(ISBLANK(Draft!N7),0,VLOOKUP(Draft!N7, 'NO USAR1'!A4:L1000,6,FALSE))))))))))))))))))))))))</f>
        <v>-3.742302064</v>
      </c>
      <c r="I12" s="23">
        <f>((IF(ISBLANK(Draft!C10),0,VLOOKUP(Draft!C10, 'NO USAR1'!A4:L1000,7,FALSE)+(IF(ISBLANK(Draft!D7),0,VLOOKUP(Draft!D7, 'NO USAR1'!A4:L1000,7,FALSE)+(IF(ISBLANK(Draft!E10),0,VLOOKUP(Draft!E10, 'NO USAR1'!A4:L1000,7,FALSE)+(IF(ISBLANK(Draft!F7),0,VLOOKUP(Draft!F7, 'NO USAR1'!A4:L1000,7,FALSE)+(IF(ISBLANK(Draft!G10),0,VLOOKUP(Draft!G10, 'NO USAR1'!A4:L1000,7,FALSE)+(IF(ISBLANK(Draft!H7),0,VLOOKUP(Draft!H7, 'NO USAR1'!A4:L1000,7,FALSE)+(IF(ISBLANK(Draft!I10),0,VLOOKUP(Draft!I10, 'NO USAR1'!A4:L1000,7,FALSE)+(IF(ISBLANK(Draft!J7),0,VLOOKUP(Draft!J7, 'NO USAR1'!A4:L1000,7,FALSE)+(IF(ISBLANK(Draft!K10),0,VLOOKUP(Draft!K10, 'NO USAR1'!A4:L1000,7,FALSE)+(IF(ISBLANK(Draft!L7),0,VLOOKUP(Draft!L7, 'NO USAR1'!A4:L1000,7,FALSE)+IF(ISBLANK(Draft!M10),0,VLOOKUP(Draft!M10, 'NO USAR1'!A4:L1000,7,FALSE)+IF(ISBLANK(Draft!N7),0,VLOOKUP(Draft!N7, 'NO USAR1'!A4:L1000,7,FALSE))))))))))))))))))))))))</f>
        <v>-1.999085317</v>
      </c>
      <c r="J12" s="23">
        <f>((IF(ISBLANK(Draft!C10),0,VLOOKUP(Draft!C10, 'NO USAR1'!A4:L1000,8,FALSE)+(IF(ISBLANK(Draft!D7),0,VLOOKUP(Draft!D7, 'NO USAR1'!A4:L1000,8,FALSE)+(IF(ISBLANK(Draft!E10),0,VLOOKUP(Draft!E10, 'NO USAR1'!A4:L1000,8,FALSE)+(IF(ISBLANK(Draft!F7),0,VLOOKUP(Draft!F7, 'NO USAR1'!A4:L1000,8,FALSE)+(IF(ISBLANK(Draft!G10),0,VLOOKUP(Draft!G10, 'NO USAR1'!A4:L1000,8,FALSE)+(IF(ISBLANK(Draft!H7),0,VLOOKUP(Draft!H7, 'NO USAR1'!A4:L1000,8,FALSE)+(IF(ISBLANK(Draft!I10),0,VLOOKUP(Draft!I10, 'NO USAR1'!A4:L1000,8,FALSE)+(IF(ISBLANK(Draft!J7),0,VLOOKUP(Draft!J7, 'NO USAR1'!A4:L1000,8,FALSE)+(IF(ISBLANK(Draft!K10),0,VLOOKUP(Draft!K10, 'NO USAR1'!A4:L1000,8,FALSE)+(IF(ISBLANK(Draft!L7),0,VLOOKUP(Draft!L7, 'NO USAR1'!A4:L1000,8,FALSE)+IF(ISBLANK(Draft!M10),0,VLOOKUP(Draft!M10, 'NO USAR1'!A4:L1000,8,FALSE)+IF(ISBLANK(Draft!N7),0,VLOOKUP(Draft!N7, 'NO USAR1'!A4:L1000,8,FALSE))))))))))))))))))))))))</f>
        <v>-0.4179517573</v>
      </c>
      <c r="K12" s="23">
        <f>((IF(ISBLANK(Draft!C10),0,VLOOKUP(Draft!C10, 'NO USAR1'!A4:L1000,10,FALSE)+(IF(ISBLANK(Draft!D7),0,VLOOKUP(Draft!D7, 'NO USAR1'!A4:L1000,10,FALSE)+(IF(ISBLANK(Draft!E10),0,VLOOKUP(Draft!E10, 'NO USAR1'!A4:L1000,10,FALSE)+(IF(ISBLANK(Draft!F7),0,VLOOKUP(Draft!F7, 'NO USAR1'!A4:L1000,10,FALSE)+(IF(ISBLANK(Draft!G10),0,VLOOKUP(Draft!G10, 'NO USAR1'!A4:L1000,10,FALSE)+(IF(ISBLANK(Draft!H7),0,VLOOKUP(Draft!H7, 'NO USAR1'!A4:L1000,10,FALSE)+(IF(ISBLANK(Draft!I10),0,VLOOKUP(Draft!I10, 'NO USAR1'!A4:L1000,10,FALSE)+(IF(ISBLANK(Draft!J7),0,VLOOKUP(Draft!J7, 'NO USAR1'!A4:L1000,10,FALSE)+(IF(ISBLANK(Draft!K10),0,VLOOKUP(Draft!K10, 'NO USAR1'!A4:L1000,10,FALSE)+(IF(ISBLANK(Draft!L7),0,VLOOKUP(Draft!L7, 'NO USAR1'!A4:L1000,10,FALSE)+IF(ISBLANK(Draft!M10),0,VLOOKUP(Draft!M10, 'NO USAR1'!A4:L1000,10,FALSE)+IF(ISBLANK(Draft!N7),0,VLOOKUP(Draft!N7, 'NO USAR1'!A4:L1000,10,FALSE))))))))))))))))))))))))</f>
        <v>0.9076885687</v>
      </c>
      <c r="L12" s="23">
        <f>((IF(ISBLANK(Draft!C10),0,VLOOKUP(Draft!C10, 'NO USAR1'!A4:L1000,12,FALSE)+(IF(ISBLANK(Draft!D7),0,VLOOKUP(Draft!D7, 'NO USAR1'!A4:L1000,12,FALSE)+(IF(ISBLANK(Draft!E10),0,VLOOKUP(Draft!E10, 'NO USAR1'!A4:L1000,12,FALSE)+(IF(ISBLANK(Draft!F7),0,VLOOKUP(Draft!F7, 'NO USAR1'!A4:L1000,12,FALSE)+(IF(ISBLANK(Draft!G10),0,VLOOKUP(Draft!G10, 'NO USAR1'!A4:L1000,12,FALSE)+(IF(ISBLANK(Draft!H7),0,VLOOKUP(Draft!H7, 'NO USAR1'!A4:L1000,12,FALSE)+(IF(ISBLANK(Draft!I10),0,VLOOKUP(Draft!I10, 'NO USAR1'!A4:L1000,12,FALSE)+(IF(ISBLANK(Draft!J7),0,VLOOKUP(Draft!J7, 'NO USAR1'!A4:L1000,12,FALSE)+(IF(ISBLANK(Draft!K10),0,VLOOKUP(Draft!K10, 'NO USAR1'!A4:L1000,12,FALSE)+(IF(ISBLANK(Draft!L7),0,VLOOKUP(Draft!L7, 'NO USAR1'!A4:L1000,12,FALSE)+IF(ISBLANK(Draft!M10),0,VLOOKUP(Draft!M10, 'NO USAR1'!A4:L1000,12,FALSE)+IF(ISBLANK(Draft!N7),0,VLOOKUP(Draft!N7, 'NO USAR1'!A4:L1000,12,FALSE))))))))))))))))))))))))</f>
        <v>-3.058380371</v>
      </c>
      <c r="M12" s="49">
        <f t="array" ref="M12">if(M$3=$C12,"-", countif(indirect(address(row($C$4)+ VLOOKUP(M$3,$C$5:$C$16,1),COLUMN($D$4))):indirect(address(row($C$4)+ VLOOKUP(M$3,$C$5:$C$16,1),COLUMN($L$4)))&gt;indirect(address(row($C12),COLUMN($D$4))):indirect(address(row($C12),COLUMN($L$4))),TRUE()))</f>
        <v>0</v>
      </c>
      <c r="N12" s="49">
        <f t="array" ref="N12">if(N$3=$C12,"-", countif(indirect(address(row($C$4)+ VLOOKUP(N$3,$C$5:$C$16,1),COLUMN($D$4))):indirect(address(row($C$4)+ VLOOKUP(N$3,$C$5:$C$16,1),COLUMN($L$4)))&gt;indirect(address(row($C12),COLUMN($D$4))):indirect(address(row($C12),COLUMN($L$4))),TRUE()))</f>
        <v>0</v>
      </c>
      <c r="O12" s="49">
        <f t="array" ref="O12">if(O$3=$C12,"-", countif(indirect(address(row($C$4)+ VLOOKUP(O$3,$C$5:$C$16,1),COLUMN($D$4))):indirect(address(row($C$4)+ VLOOKUP(O$3,$C$5:$C$16,1),COLUMN($L$4)))&gt;indirect(address(row($C12),COLUMN($D$4))):indirect(address(row($C12),COLUMN($L$4))),TRUE()))</f>
        <v>0</v>
      </c>
      <c r="P12" s="49">
        <f t="array" ref="P12">if(P$3=$C12,"-", countif(indirect(address(row($C$4)+ VLOOKUP(P$3,$C$5:$C$16,1),COLUMN($D$4))):indirect(address(row($C$4)+ VLOOKUP(P$3,$C$5:$C$16,1),COLUMN($L$4)))&gt;indirect(address(row($C12),COLUMN($D$4))):indirect(address(row($C12),COLUMN($L$4))),TRUE()))</f>
        <v>0</v>
      </c>
      <c r="Q12" s="49">
        <f t="array" ref="Q12">if(Q$3=$C12,"-", countif(indirect(address(row($C$4)+ VLOOKUP(Q$3,$C$5:$C$16,1),COLUMN($D$4))):indirect(address(row($C$4)+ VLOOKUP(Q$3,$C$5:$C$16,1),COLUMN($L$4)))&gt;indirect(address(row($C12),COLUMN($D$4))):indirect(address(row($C12),COLUMN($L$4))),TRUE()))</f>
        <v>0</v>
      </c>
      <c r="R12" s="49">
        <f t="array" ref="R12">if(R$3=$C12,"-", countif(indirect(address(row($C$4)+ VLOOKUP(R$3,$C$5:$C$16,1),COLUMN($D$4))):indirect(address(row($C$4)+ VLOOKUP(R$3,$C$5:$C$16,1),COLUMN($L$4)))&gt;indirect(address(row($C12),COLUMN($D$4))):indirect(address(row($C12),COLUMN($L$4))),TRUE()))</f>
        <v>0</v>
      </c>
      <c r="S12" s="49">
        <f t="array" ref="S12">if(S$3=$C12,"-", countif(indirect(address(row($C$4)+ VLOOKUP(S$3,$C$5:$C$16,1),COLUMN($D$4))):indirect(address(row($C$4)+ VLOOKUP(S$3,$C$5:$C$16,1),COLUMN($L$4)))&gt;indirect(address(row($C12),COLUMN($D$4))):indirect(address(row($C12),COLUMN($L$4))),TRUE()))</f>
        <v>0</v>
      </c>
      <c r="T12" s="49">
        <f t="array" ref="T12">if(T$3=$C12,"-", countif(indirect(address(row($C$4)+ VLOOKUP(T$3,$C$5:$C$16,1),COLUMN($D$4))):indirect(address(row($C$4)+ VLOOKUP(T$3,$C$5:$C$16,1),COLUMN($L$4)))&gt;indirect(address(row($C12),COLUMN($D$4))):indirect(address(row($C12),COLUMN($L$4))),TRUE()))</f>
        <v>0</v>
      </c>
      <c r="U12" s="49">
        <f t="array" ref="U12">if(U$3=$C12,"-", countif(indirect(address(row($C$4)+ VLOOKUP(U$3,$C$5:$C$16,1),COLUMN($D$4))):indirect(address(row($C$4)+ VLOOKUP(U$3,$C$5:$C$16,1),COLUMN($L$4)))&gt;indirect(address(row($C12),COLUMN($D$4))):indirect(address(row($C12),COLUMN($L$4))),TRUE()))</f>
        <v>0</v>
      </c>
      <c r="V12" s="49">
        <f t="array" ref="V12">if(V$3=$C12,"-", countif(indirect(address(row($C$4)+ VLOOKUP(V$3,$C$5:$C$16,1),COLUMN($D$4))):indirect(address(row($C$4)+ VLOOKUP(V$3,$C$5:$C$16,1),COLUMN($L$4)))&gt;indirect(address(row($C12),COLUMN($D$4))):indirect(address(row($C12),COLUMN($L$4))),TRUE()))</f>
        <v>0</v>
      </c>
      <c r="W12" s="49">
        <f t="array" ref="W12">if(W$3=$C12,"-", countif(indirect(address(row($C$4)+ VLOOKUP(W$3,$C$5:$C$16,1),COLUMN($D$4))):indirect(address(row($C$4)+ VLOOKUP(W$3,$C$5:$C$16,1),COLUMN($L$4)))&gt;indirect(address(row($C12),COLUMN($D$4))):indirect(address(row($C12),COLUMN($L$4))),TRUE()))</f>
        <v>0</v>
      </c>
      <c r="X12" s="49">
        <f t="array" ref="X12">if(X$3=$C12,"-", countif(indirect(address(row($C$4)+ VLOOKUP(X$3,$C$5:$C$16,1),COLUMN($D$4))):indirect(address(row($C$4)+ VLOOKUP(X$3,$C$5:$C$16,1),COLUMN($L$4)))&gt;indirect(address(row($C12),COLUMN($D$4))):indirect(address(row($C12),COLUMN($L$4))),TRUE()))</f>
        <v>0</v>
      </c>
      <c r="Y12" s="49">
        <f t="array" ref="Y12">if(D$1=$C12,"-", countif(indirect(address(row($C$4)+ VLOOKUP(D$1,$C$5:$C$16,1),COLUMN($D$4))):indirect(address(row($C$4)+ VLOOKUP(D$1,$C$5:$C$16,1),COLUMN($L$4)))&gt;indirect(address(row($C12),COLUMN($D$4))):indirect(address(row($C12),COLUMN($L$4))),TRUE()))</f>
        <v>0</v>
      </c>
      <c r="Z12" s="23">
        <f>SUM(T$5:T$16)/99</f>
        <v>0</v>
      </c>
    </row>
    <row r="13">
      <c r="B13" s="13" t="b">
        <f>Draft!B11</f>
        <v>0</v>
      </c>
      <c r="C13" s="12">
        <v>9.0</v>
      </c>
      <c r="D13" s="23">
        <f>((IF(ISBLANK(Draft!C11),0,VLOOKUP(Draft!C11, 'NO USAR1'!A4:L1000,2,FALSE)+(IF(ISBLANK(Draft!D6),0,VLOOKUP(Draft!D6, 'NO USAR1'!A4:L1000,2,FALSE)+(IF(ISBLANK(Draft!E11),0,VLOOKUP(Draft!E11, 'NO USAR1'!A4:L1000,2,FALSE)+(IF(ISBLANK(Draft!F6),0,VLOOKUP(Draft!F6, 'NO USAR1'!A4:L1000,2,FALSE)+(IF(ISBLANK(Draft!G11),0,VLOOKUP(Draft!G11, 'NO USAR1'!A4:L1000,2,FALSE)+(IF(ISBLANK(Draft!H6),0,VLOOKUP(Draft!H6, 'NO USAR1'!A4:L1000,2,FALSE)+(IF(ISBLANK(Draft!I11),0,VLOOKUP(Draft!I11, 'NO USAR1'!A4:L1000,2,FALSE)+(IF(ISBLANK(Draft!J6),0,VLOOKUP(Draft!J6, 'NO USAR1'!A4:L1000,2,FALSE)+(IF(ISBLANK(Draft!K11),0,VLOOKUP(Draft!K11, 'NO USAR1'!A4:L1000,2,FALSE)+(IF(ISBLANK(Draft!L6),0,VLOOKUP(Draft!L6, 'NO USAR1'!A4:L1000,2,FALSE)+IF(ISBLANK(Draft!M11),0,VLOOKUP(Draft!M11, 'NO USAR1'!A4:L1000,2,FALSE)+IF(ISBLANK(Draft!N6),0,VLOOKUP(Draft!N6, 'NO USAR1'!A4:L1000,2,FALSE))))))))))))))))))))))))</f>
        <v>1.973486475</v>
      </c>
      <c r="E13" s="23">
        <f>((IF(ISBLANK(Draft!C11),0,VLOOKUP(Draft!C11, 'NO USAR1'!A4:L1000,3,FALSE)+(IF(ISBLANK(Draft!D6),0,VLOOKUP(Draft!D6, 'NO USAR1'!A4:L1000,3,FALSE)+(IF(ISBLANK(Draft!E11),0,VLOOKUP(Draft!E11, 'NO USAR1'!A4:L1000,3,FALSE)+(IF(ISBLANK(Draft!F6),0,VLOOKUP(Draft!F6, 'NO USAR1'!A4:L1000,3,FALSE)+(IF(ISBLANK(Draft!G11),0,VLOOKUP(Draft!G11, 'NO USAR1'!A4:L1000,3,FALSE)+(IF(ISBLANK(Draft!H6),0,VLOOKUP(Draft!H6, 'NO USAR1'!A4:L1000,3,FALSE)+(IF(ISBLANK(Draft!I11),0,VLOOKUP(Draft!I11, 'NO USAR1'!A4:L1000,3,FALSE)+(IF(ISBLANK(Draft!J6),0,VLOOKUP(Draft!J6, 'NO USAR1'!A4:L1000,3,FALSE)+(IF(ISBLANK(Draft!K11),0,VLOOKUP(Draft!K11, 'NO USAR1'!A4:L1000,3,FALSE)+(IF(ISBLANK(Draft!L6),0,VLOOKUP(Draft!L6, 'NO USAR1'!A4:L1000,3,FALSE)+IF(ISBLANK(Draft!M11),0,VLOOKUP(Draft!M11, 'NO USAR1'!A4:L1000,3,FALSE)+IF(ISBLANK(Draft!N6),0,VLOOKUP(Draft!N6, 'NO USAR1'!A4:L1000,3,FALSE))))))))))))))))))))))))</f>
        <v>-0.2476400017</v>
      </c>
      <c r="F13" s="23">
        <f>((IF(ISBLANK(Draft!C11),0,VLOOKUP(Draft!C11, 'NO USAR1'!A4:L1000,4,FALSE)+(IF(ISBLANK(Draft!D6),0,VLOOKUP(Draft!D6, 'NO USAR1'!A4:L1000,4,FALSE)+(IF(ISBLANK(Draft!E11),0,VLOOKUP(Draft!E11, 'NO USAR1'!A4:L1000,4,FALSE)+(IF(ISBLANK(Draft!F6),0,VLOOKUP(Draft!F6, 'NO USAR1'!A4:L1000,4,FALSE)+(IF(ISBLANK(Draft!G11),0,VLOOKUP(Draft!G11, 'NO USAR1'!A4:L1000,4,FALSE)+(IF(ISBLANK(Draft!H6),0,VLOOKUP(Draft!H6, 'NO USAR1'!A4:L1000,4,FALSE)+(IF(ISBLANK(Draft!I11),0,VLOOKUP(Draft!I11, 'NO USAR1'!A4:L1000,4,FALSE)+(IF(ISBLANK(Draft!J6),0,VLOOKUP(Draft!J6, 'NO USAR1'!A4:L1000,4,FALSE)+(IF(ISBLANK(Draft!K11),0,VLOOKUP(Draft!K11, 'NO USAR1'!A4:L1000,4,FALSE)+(IF(ISBLANK(Draft!L6),0,VLOOKUP(Draft!L6, 'NO USAR1'!A4:L1000,4,FALSE)+IF(ISBLANK(Draft!M11),0,VLOOKUP(Draft!M11, 'NO USAR1'!A4:L1000,4,FALSE)+IF(ISBLANK(Draft!N6),0,VLOOKUP(Draft!N6, 'NO USAR1'!A4:L1000,4,FALSE))))))))))))))))))))))))</f>
        <v>-0.538625156</v>
      </c>
      <c r="G13" s="23">
        <f>((IF(ISBLANK(Draft!C11),0,VLOOKUP(Draft!C11, 'NO USAR1'!A4:L1000,5,FALSE)+(IF(ISBLANK(Draft!D6),0,VLOOKUP(Draft!D6, 'NO USAR1'!A4:L1000,5,FALSE)+(IF(ISBLANK(Draft!E11),0,VLOOKUP(Draft!E11, 'NO USAR1'!A4:L1000,5,FALSE)+(IF(ISBLANK(Draft!F6),0,VLOOKUP(Draft!F6, 'NO USAR1'!A4:L1000,5,FALSE)+(IF(ISBLANK(Draft!G11),0,VLOOKUP(Draft!G11, 'NO USAR1'!A4:L1000,5,FALSE)+(IF(ISBLANK(Draft!H6),0,VLOOKUP(Draft!H6, 'NO USAR1'!A4:L1000,5,FALSE)+(IF(ISBLANK(Draft!I11),0,VLOOKUP(Draft!I11, 'NO USAR1'!A4:L1000,5,FALSE)+(IF(ISBLANK(Draft!J6),0,VLOOKUP(Draft!J6, 'NO USAR1'!A4:L1000,5,FALSE)+(IF(ISBLANK(Draft!K11),0,VLOOKUP(Draft!K11, 'NO USAR1'!A4:L1000,5,FALSE)+(IF(ISBLANK(Draft!L6),0,VLOOKUP(Draft!L6, 'NO USAR1'!A4:L1000,5,FALSE)+IF(ISBLANK(Draft!M11),0,VLOOKUP(Draft!M11, 'NO USAR1'!A4:L1000,5,FALSE)+IF(ISBLANK(Draft!N6),0,VLOOKUP(Draft!N6, 'NO USAR1'!A4:L1000,5,FALSE))))))))))))))))))))))))</f>
        <v>3.140114912</v>
      </c>
      <c r="H13" s="23">
        <f>((IF(ISBLANK(Draft!C11),0,VLOOKUP(Draft!C11, 'NO USAR1'!A4:L1000,6,FALSE)+(IF(ISBLANK(Draft!D6),0,VLOOKUP(Draft!D6, 'NO USAR1'!A4:L1000,6,FALSE)+(IF(ISBLANK(Draft!E11),0,VLOOKUP(Draft!E11, 'NO USAR1'!A4:L1000,6,FALSE)+(IF(ISBLANK(Draft!F6),0,VLOOKUP(Draft!F6, 'NO USAR1'!A4:L1000,6,FALSE)+(IF(ISBLANK(Draft!G11),0,VLOOKUP(Draft!G11, 'NO USAR1'!A4:L1000,6,FALSE)+(IF(ISBLANK(Draft!H6),0,VLOOKUP(Draft!H6, 'NO USAR1'!A4:L1000,6,FALSE)+(IF(ISBLANK(Draft!I11),0,VLOOKUP(Draft!I11, 'NO USAR1'!A4:L1000,6,FALSE)+(IF(ISBLANK(Draft!J6),0,VLOOKUP(Draft!J6, 'NO USAR1'!A4:L1000,6,FALSE)+(IF(ISBLANK(Draft!K11),0,VLOOKUP(Draft!K11, 'NO USAR1'!A4:L1000,6,FALSE)+(IF(ISBLANK(Draft!L6),0,VLOOKUP(Draft!L6, 'NO USAR1'!A4:L1000,6,FALSE)+IF(ISBLANK(Draft!M11),0,VLOOKUP(Draft!M11, 'NO USAR1'!A4:L1000,6,FALSE)+IF(ISBLANK(Draft!N6),0,VLOOKUP(Draft!N6, 'NO USAR1'!A4:L1000,6,FALSE))))))))))))))))))))))))</f>
        <v>-0.4719031929</v>
      </c>
      <c r="I13" s="23">
        <f>((IF(ISBLANK(Draft!C11),0,VLOOKUP(Draft!C11, 'NO USAR1'!A4:L1000,7,FALSE)+(IF(ISBLANK(Draft!D6),0,VLOOKUP(Draft!D6, 'NO USAR1'!A4:L1000,7,FALSE)+(IF(ISBLANK(Draft!E11),0,VLOOKUP(Draft!E11, 'NO USAR1'!A4:L1000,7,FALSE)+(IF(ISBLANK(Draft!F6),0,VLOOKUP(Draft!F6, 'NO USAR1'!A4:L1000,7,FALSE)+(IF(ISBLANK(Draft!G11),0,VLOOKUP(Draft!G11, 'NO USAR1'!A4:L1000,7,FALSE)+(IF(ISBLANK(Draft!H6),0,VLOOKUP(Draft!H6, 'NO USAR1'!A4:L1000,7,FALSE)+(IF(ISBLANK(Draft!I11),0,VLOOKUP(Draft!I11, 'NO USAR1'!A4:L1000,7,FALSE)+(IF(ISBLANK(Draft!J6),0,VLOOKUP(Draft!J6, 'NO USAR1'!A4:L1000,7,FALSE)+(IF(ISBLANK(Draft!K11),0,VLOOKUP(Draft!K11, 'NO USAR1'!A4:L1000,7,FALSE)+(IF(ISBLANK(Draft!L6),0,VLOOKUP(Draft!L6, 'NO USAR1'!A4:L1000,7,FALSE)+IF(ISBLANK(Draft!M11),0,VLOOKUP(Draft!M11, 'NO USAR1'!A4:L1000,7,FALSE)+IF(ISBLANK(Draft!N6),0,VLOOKUP(Draft!N6, 'NO USAR1'!A4:L1000,7,FALSE))))))))))))))))))))))))</f>
        <v>0.2668212076</v>
      </c>
      <c r="J13" s="23">
        <f>((IF(ISBLANK(Draft!C11),0,VLOOKUP(Draft!C11, 'NO USAR1'!A4:L1000,8,FALSE)+(IF(ISBLANK(Draft!D6),0,VLOOKUP(Draft!D6, 'NO USAR1'!A4:L1000,8,FALSE)+(IF(ISBLANK(Draft!E11),0,VLOOKUP(Draft!E11, 'NO USAR1'!A4:L1000,8,FALSE)+(IF(ISBLANK(Draft!F6),0,VLOOKUP(Draft!F6, 'NO USAR1'!A4:L1000,8,FALSE)+(IF(ISBLANK(Draft!G11),0,VLOOKUP(Draft!G11, 'NO USAR1'!A4:L1000,8,FALSE)+(IF(ISBLANK(Draft!H6),0,VLOOKUP(Draft!H6, 'NO USAR1'!A4:L1000,8,FALSE)+(IF(ISBLANK(Draft!I11),0,VLOOKUP(Draft!I11, 'NO USAR1'!A4:L1000,8,FALSE)+(IF(ISBLANK(Draft!J6),0,VLOOKUP(Draft!J6, 'NO USAR1'!A4:L1000,8,FALSE)+(IF(ISBLANK(Draft!K11),0,VLOOKUP(Draft!K11, 'NO USAR1'!A4:L1000,8,FALSE)+(IF(ISBLANK(Draft!L6),0,VLOOKUP(Draft!L6, 'NO USAR1'!A4:L1000,8,FALSE)+IF(ISBLANK(Draft!M11),0,VLOOKUP(Draft!M11, 'NO USAR1'!A4:L1000,8,FALSE)+IF(ISBLANK(Draft!N6),0,VLOOKUP(Draft!N6, 'NO USAR1'!A4:L1000,8,FALSE))))))))))))))))))))))))</f>
        <v>-2.892435445</v>
      </c>
      <c r="K13" s="23">
        <f>((IF(ISBLANK(Draft!C11),0,VLOOKUP(Draft!C11, 'NO USAR1'!A4:L1000,10,FALSE)+(IF(ISBLANK(Draft!D6),0,VLOOKUP(Draft!D6, 'NO USAR1'!A4:L1000,10,FALSE)+(IF(ISBLANK(Draft!E11),0,VLOOKUP(Draft!E11, 'NO USAR1'!A4:L1000,10,FALSE)+(IF(ISBLANK(Draft!F6),0,VLOOKUP(Draft!F6, 'NO USAR1'!A4:L1000,10,FALSE)+(IF(ISBLANK(Draft!G11),0,VLOOKUP(Draft!G11, 'NO USAR1'!A4:L1000,10,FALSE)+(IF(ISBLANK(Draft!H6),0,VLOOKUP(Draft!H6, 'NO USAR1'!A4:L1000,10,FALSE)+(IF(ISBLANK(Draft!I11),0,VLOOKUP(Draft!I11, 'NO USAR1'!A4:L1000,10,FALSE)+(IF(ISBLANK(Draft!J6),0,VLOOKUP(Draft!J6, 'NO USAR1'!A4:L1000,10,FALSE)+(IF(ISBLANK(Draft!K11),0,VLOOKUP(Draft!K11, 'NO USAR1'!A4:L1000,10,FALSE)+(IF(ISBLANK(Draft!L6),0,VLOOKUP(Draft!L6, 'NO USAR1'!A4:L1000,10,FALSE)+IF(ISBLANK(Draft!M11),0,VLOOKUP(Draft!M11, 'NO USAR1'!A4:L1000,10,FALSE)+IF(ISBLANK(Draft!N6),0,VLOOKUP(Draft!N6, 'NO USAR1'!A4:L1000,10,FALSE))))))))))))))))))))))))</f>
        <v>0.5101549305</v>
      </c>
      <c r="L13" s="23">
        <f>((IF(ISBLANK(Draft!C11),0,VLOOKUP(Draft!C11, 'NO USAR1'!A4:L1000,12,FALSE)+(IF(ISBLANK(Draft!D6),0,VLOOKUP(Draft!D6, 'NO USAR1'!A4:L1000,12,FALSE)+(IF(ISBLANK(Draft!E11),0,VLOOKUP(Draft!E11, 'NO USAR1'!A4:L1000,12,FALSE)+(IF(ISBLANK(Draft!F6),0,VLOOKUP(Draft!F6, 'NO USAR1'!A4:L1000,12,FALSE)+(IF(ISBLANK(Draft!G11),0,VLOOKUP(Draft!G11, 'NO USAR1'!A4:L1000,12,FALSE)+(IF(ISBLANK(Draft!H6),0,VLOOKUP(Draft!H6, 'NO USAR1'!A4:L1000,12,FALSE)+(IF(ISBLANK(Draft!I11),0,VLOOKUP(Draft!I11, 'NO USAR1'!A4:L1000,12,FALSE)+(IF(ISBLANK(Draft!J6),0,VLOOKUP(Draft!J6, 'NO USAR1'!A4:L1000,12,FALSE)+(IF(ISBLANK(Draft!K11),0,VLOOKUP(Draft!K11, 'NO USAR1'!A4:L1000,12,FALSE)+(IF(ISBLANK(Draft!L6),0,VLOOKUP(Draft!L6, 'NO USAR1'!A4:L1000,12,FALSE)+IF(ISBLANK(Draft!M11),0,VLOOKUP(Draft!M11, 'NO USAR1'!A4:L1000,12,FALSE)+IF(ISBLANK(Draft!N6),0,VLOOKUP(Draft!N6, 'NO USAR1'!A4:L1000,12,FALSE))))))))))))))))))))))))</f>
        <v>2.239158116</v>
      </c>
      <c r="M13" s="49">
        <f t="array" ref="M13">if(M$3=$C13,"-", countif(indirect(address(row($C$4)+ VLOOKUP(M$3,$C$5:$C$16,1),COLUMN($D$4))):indirect(address(row($C$4)+ VLOOKUP(M$3,$C$5:$C$16,1),COLUMN($L$4)))&gt;indirect(address(row($C13),COLUMN($D$4))):indirect(address(row($C13),COLUMN($L$4))),TRUE()))</f>
        <v>0</v>
      </c>
      <c r="N13" s="49">
        <f t="array" ref="N13">if(N$3=$C13,"-", countif(indirect(address(row($C$4)+ VLOOKUP(N$3,$C$5:$C$16,1),COLUMN($D$4))):indirect(address(row($C$4)+ VLOOKUP(N$3,$C$5:$C$16,1),COLUMN($L$4)))&gt;indirect(address(row($C13),COLUMN($D$4))):indirect(address(row($C13),COLUMN($L$4))),TRUE()))</f>
        <v>0</v>
      </c>
      <c r="O13" s="49">
        <f t="array" ref="O13">if(O$3=$C13,"-", countif(indirect(address(row($C$4)+ VLOOKUP(O$3,$C$5:$C$16,1),COLUMN($D$4))):indirect(address(row($C$4)+ VLOOKUP(O$3,$C$5:$C$16,1),COLUMN($L$4)))&gt;indirect(address(row($C13),COLUMN($D$4))):indirect(address(row($C13),COLUMN($L$4))),TRUE()))</f>
        <v>0</v>
      </c>
      <c r="P13" s="49">
        <f t="array" ref="P13">if(P$3=$C13,"-", countif(indirect(address(row($C$4)+ VLOOKUP(P$3,$C$5:$C$16,1),COLUMN($D$4))):indirect(address(row($C$4)+ VLOOKUP(P$3,$C$5:$C$16,1),COLUMN($L$4)))&gt;indirect(address(row($C13),COLUMN($D$4))):indirect(address(row($C13),COLUMN($L$4))),TRUE()))</f>
        <v>0</v>
      </c>
      <c r="Q13" s="49">
        <f t="array" ref="Q13">if(Q$3=$C13,"-", countif(indirect(address(row($C$4)+ VLOOKUP(Q$3,$C$5:$C$16,1),COLUMN($D$4))):indirect(address(row($C$4)+ VLOOKUP(Q$3,$C$5:$C$16,1),COLUMN($L$4)))&gt;indirect(address(row($C13),COLUMN($D$4))):indirect(address(row($C13),COLUMN($L$4))),TRUE()))</f>
        <v>0</v>
      </c>
      <c r="R13" s="49">
        <f t="array" ref="R13">if(R$3=$C13,"-", countif(indirect(address(row($C$4)+ VLOOKUP(R$3,$C$5:$C$16,1),COLUMN($D$4))):indirect(address(row($C$4)+ VLOOKUP(R$3,$C$5:$C$16,1),COLUMN($L$4)))&gt;indirect(address(row($C13),COLUMN($D$4))):indirect(address(row($C13),COLUMN($L$4))),TRUE()))</f>
        <v>0</v>
      </c>
      <c r="S13" s="49">
        <f t="array" ref="S13">if(S$3=$C13,"-", countif(indirect(address(row($C$4)+ VLOOKUP(S$3,$C$5:$C$16,1),COLUMN($D$4))):indirect(address(row($C$4)+ VLOOKUP(S$3,$C$5:$C$16,1),COLUMN($L$4)))&gt;indirect(address(row($C13),COLUMN($D$4))):indirect(address(row($C13),COLUMN($L$4))),TRUE()))</f>
        <v>0</v>
      </c>
      <c r="T13" s="49">
        <f t="array" ref="T13">if(T$3=$C13,"-", countif(indirect(address(row($C$4)+ VLOOKUP(T$3,$C$5:$C$16,1),COLUMN($D$4))):indirect(address(row($C$4)+ VLOOKUP(T$3,$C$5:$C$16,1),COLUMN($L$4)))&gt;indirect(address(row($C13),COLUMN($D$4))):indirect(address(row($C13),COLUMN($L$4))),TRUE()))</f>
        <v>0</v>
      </c>
      <c r="U13" s="49">
        <f t="array" ref="U13">if(U$3=$C13,"-", countif(indirect(address(row($C$4)+ VLOOKUP(U$3,$C$5:$C$16,1),COLUMN($D$4))):indirect(address(row($C$4)+ VLOOKUP(U$3,$C$5:$C$16,1),COLUMN($L$4)))&gt;indirect(address(row($C13),COLUMN($D$4))):indirect(address(row($C13),COLUMN($L$4))),TRUE()))</f>
        <v>0</v>
      </c>
      <c r="V13" s="49">
        <f t="array" ref="V13">if(V$3=$C13,"-", countif(indirect(address(row($C$4)+ VLOOKUP(V$3,$C$5:$C$16,1),COLUMN($D$4))):indirect(address(row($C$4)+ VLOOKUP(V$3,$C$5:$C$16,1),COLUMN($L$4)))&gt;indirect(address(row($C13),COLUMN($D$4))):indirect(address(row($C13),COLUMN($L$4))),TRUE()))</f>
        <v>0</v>
      </c>
      <c r="W13" s="49">
        <f t="array" ref="W13">if(W$3=$C13,"-", countif(indirect(address(row($C$4)+ VLOOKUP(W$3,$C$5:$C$16,1),COLUMN($D$4))):indirect(address(row($C$4)+ VLOOKUP(W$3,$C$5:$C$16,1),COLUMN($L$4)))&gt;indirect(address(row($C13),COLUMN($D$4))):indirect(address(row($C13),COLUMN($L$4))),TRUE()))</f>
        <v>0</v>
      </c>
      <c r="X13" s="49">
        <f t="array" ref="X13">if(X$3=$C13,"-", countif(indirect(address(row($C$4)+ VLOOKUP(X$3,$C$5:$C$16,1),COLUMN($D$4))):indirect(address(row($C$4)+ VLOOKUP(X$3,$C$5:$C$16,1),COLUMN($L$4)))&gt;indirect(address(row($C13),COLUMN($D$4))):indirect(address(row($C13),COLUMN($L$4))),TRUE()))</f>
        <v>0</v>
      </c>
      <c r="Y13" s="49">
        <f t="array" ref="Y13">if(D$1=$C13,"-", countif(indirect(address(row($C$4)+ VLOOKUP(D$1,$C$5:$C$16,1),COLUMN($D$4))):indirect(address(row($C$4)+ VLOOKUP(D$1,$C$5:$C$16,1),COLUMN($L$4)))&gt;indirect(address(row($C13),COLUMN($D$4))):indirect(address(row($C13),COLUMN($L$4))),TRUE()))</f>
        <v>0</v>
      </c>
      <c r="Z13" s="23">
        <f>SUM(U$5:U$16)/99</f>
        <v>0</v>
      </c>
    </row>
    <row r="14">
      <c r="B14" s="13" t="b">
        <f>Draft!B12</f>
        <v>0</v>
      </c>
      <c r="C14" s="12">
        <v>10.0</v>
      </c>
      <c r="D14" s="23">
        <f>((IF(ISBLANK(Draft!C12),0,VLOOKUP(Draft!C12, 'NO USAR1'!A4:L1000,2,FALSE)+(IF(ISBLANK(Draft!D5),0,VLOOKUP(Draft!D5, 'NO USAR1'!A4:L1000,2,FALSE)+(IF(ISBLANK(Draft!E12),0,VLOOKUP(Draft!E12, 'NO USAR1'!A4:L1000,2,FALSE)+(IF(ISBLANK(Draft!F5),0,VLOOKUP(Draft!F5, 'NO USAR1'!A4:L1000,2,FALSE)+(IF(ISBLANK(Draft!G12),0,VLOOKUP(Draft!G12, 'NO USAR1'!A4:L1000,2,FALSE)+(IF(ISBLANK(Draft!H5),0,VLOOKUP(Draft!H5, 'NO USAR1'!A4:L1000,2,FALSE)+(IF(ISBLANK(Draft!I12),0,VLOOKUP(Draft!I12, 'NO USAR1'!A4:L1000,2,FALSE)+(IF(ISBLANK(Draft!J5),0,VLOOKUP(Draft!J5, 'NO USAR1'!A4:L1000,2,FALSE)+(IF(ISBLANK(Draft!K12),0,VLOOKUP(Draft!K12, 'NO USAR1'!A4:L1000,2,FALSE)+(IF(ISBLANK(Draft!L5),0,VLOOKUP(Draft!L5, 'NO USAR1'!A4:L1000,2,FALSE)+IF(ISBLANK(Draft!M12),0,VLOOKUP(Draft!M12, 'NO USAR1'!A4:L1000,2,FALSE)+IF(ISBLANK(Draft!N5),0,VLOOKUP(Draft!N5, 'NO USAR1'!A4:L1000,2,FALSE))))))))))))))))))))))))</f>
        <v>1.920229505</v>
      </c>
      <c r="E14" s="23">
        <f>((IF(ISBLANK(Draft!C12),0,VLOOKUP(Draft!C12, 'NO USAR1'!A4:L1000,3,FALSE)+(IF(ISBLANK(Draft!D5),0,VLOOKUP(Draft!D5, 'NO USAR1'!A4:L1000,3,FALSE)+(IF(ISBLANK(Draft!E12),0,VLOOKUP(Draft!E12, 'NO USAR1'!A4:L1000,3,FALSE)+(IF(ISBLANK(Draft!F5),0,VLOOKUP(Draft!F5, 'NO USAR1'!A4:L1000,3,FALSE)+(IF(ISBLANK(Draft!G12),0,VLOOKUP(Draft!G12, 'NO USAR1'!A4:L1000,3,FALSE)+(IF(ISBLANK(Draft!H5),0,VLOOKUP(Draft!H5, 'NO USAR1'!A4:L1000,3,FALSE)+(IF(ISBLANK(Draft!I12),0,VLOOKUP(Draft!I12, 'NO USAR1'!A4:L1000,3,FALSE)+(IF(ISBLANK(Draft!J5),0,VLOOKUP(Draft!J5, 'NO USAR1'!A4:L1000,3,FALSE)+(IF(ISBLANK(Draft!K12),0,VLOOKUP(Draft!K12, 'NO USAR1'!A4:L1000,3,FALSE)+(IF(ISBLANK(Draft!L5),0,VLOOKUP(Draft!L5, 'NO USAR1'!A4:L1000,3,FALSE)+IF(ISBLANK(Draft!M12),0,VLOOKUP(Draft!M12, 'NO USAR1'!A4:L1000,3,FALSE)+IF(ISBLANK(Draft!N5),0,VLOOKUP(Draft!N5, 'NO USAR1'!A4:L1000,3,FALSE))))))))))))))))))))))))</f>
        <v>3.952173361</v>
      </c>
      <c r="F14" s="23">
        <f>((IF(ISBLANK(Draft!C12),0,VLOOKUP(Draft!C12, 'NO USAR1'!A4:L1000,4,FALSE)+(IF(ISBLANK(Draft!D5),0,VLOOKUP(Draft!D5, 'NO USAR1'!A4:L1000,4,FALSE)+(IF(ISBLANK(Draft!E12),0,VLOOKUP(Draft!E12, 'NO USAR1'!A4:L1000,4,FALSE)+(IF(ISBLANK(Draft!F5),0,VLOOKUP(Draft!F5, 'NO USAR1'!A4:L1000,4,FALSE)+(IF(ISBLANK(Draft!G12),0,VLOOKUP(Draft!G12, 'NO USAR1'!A4:L1000,4,FALSE)+(IF(ISBLANK(Draft!H5),0,VLOOKUP(Draft!H5, 'NO USAR1'!A4:L1000,4,FALSE)+(IF(ISBLANK(Draft!I12),0,VLOOKUP(Draft!I12, 'NO USAR1'!A4:L1000,4,FALSE)+(IF(ISBLANK(Draft!J5),0,VLOOKUP(Draft!J5, 'NO USAR1'!A4:L1000,4,FALSE)+(IF(ISBLANK(Draft!K12),0,VLOOKUP(Draft!K12, 'NO USAR1'!A4:L1000,4,FALSE)+(IF(ISBLANK(Draft!L5),0,VLOOKUP(Draft!L5, 'NO USAR1'!A4:L1000,4,FALSE)+IF(ISBLANK(Draft!M12),0,VLOOKUP(Draft!M12, 'NO USAR1'!A4:L1000,4,FALSE)+IF(ISBLANK(Draft!N5),0,VLOOKUP(Draft!N5, 'NO USAR1'!A4:L1000,4,FALSE))))))))))))))))))))))))</f>
        <v>-0.7019113172</v>
      </c>
      <c r="G14" s="23">
        <f>((IF(ISBLANK(Draft!C12),0,VLOOKUP(Draft!C12, 'NO USAR1'!A4:L1000,5,FALSE)+(IF(ISBLANK(Draft!D5),0,VLOOKUP(Draft!D5, 'NO USAR1'!A4:L1000,5,FALSE)+(IF(ISBLANK(Draft!E12),0,VLOOKUP(Draft!E12, 'NO USAR1'!A4:L1000,5,FALSE)+(IF(ISBLANK(Draft!F5),0,VLOOKUP(Draft!F5, 'NO USAR1'!A4:L1000,5,FALSE)+(IF(ISBLANK(Draft!G12),0,VLOOKUP(Draft!G12, 'NO USAR1'!A4:L1000,5,FALSE)+(IF(ISBLANK(Draft!H5),0,VLOOKUP(Draft!H5, 'NO USAR1'!A4:L1000,5,FALSE)+(IF(ISBLANK(Draft!I12),0,VLOOKUP(Draft!I12, 'NO USAR1'!A4:L1000,5,FALSE)+(IF(ISBLANK(Draft!J5),0,VLOOKUP(Draft!J5, 'NO USAR1'!A4:L1000,5,FALSE)+(IF(ISBLANK(Draft!K12),0,VLOOKUP(Draft!K12, 'NO USAR1'!A4:L1000,5,FALSE)+(IF(ISBLANK(Draft!L5),0,VLOOKUP(Draft!L5, 'NO USAR1'!A4:L1000,5,FALSE)+IF(ISBLANK(Draft!M12),0,VLOOKUP(Draft!M12, 'NO USAR1'!A4:L1000,5,FALSE)+IF(ISBLANK(Draft!N5),0,VLOOKUP(Draft!N5, 'NO USAR1'!A4:L1000,5,FALSE))))))))))))))))))))))))</f>
        <v>1.268241181</v>
      </c>
      <c r="H14" s="23">
        <f>((IF(ISBLANK(Draft!C12),0,VLOOKUP(Draft!C12, 'NO USAR1'!A4:L1000,6,FALSE)+(IF(ISBLANK(Draft!D5),0,VLOOKUP(Draft!D5, 'NO USAR1'!A4:L1000,6,FALSE)+(IF(ISBLANK(Draft!E12),0,VLOOKUP(Draft!E12, 'NO USAR1'!A4:L1000,6,FALSE)+(IF(ISBLANK(Draft!F5),0,VLOOKUP(Draft!F5, 'NO USAR1'!A4:L1000,6,FALSE)+(IF(ISBLANK(Draft!G12),0,VLOOKUP(Draft!G12, 'NO USAR1'!A4:L1000,6,FALSE)+(IF(ISBLANK(Draft!H5),0,VLOOKUP(Draft!H5, 'NO USAR1'!A4:L1000,6,FALSE)+(IF(ISBLANK(Draft!I12),0,VLOOKUP(Draft!I12, 'NO USAR1'!A4:L1000,6,FALSE)+(IF(ISBLANK(Draft!J5),0,VLOOKUP(Draft!J5, 'NO USAR1'!A4:L1000,6,FALSE)+(IF(ISBLANK(Draft!K12),0,VLOOKUP(Draft!K12, 'NO USAR1'!A4:L1000,6,FALSE)+(IF(ISBLANK(Draft!L5),0,VLOOKUP(Draft!L5, 'NO USAR1'!A4:L1000,6,FALSE)+IF(ISBLANK(Draft!M12),0,VLOOKUP(Draft!M12, 'NO USAR1'!A4:L1000,6,FALSE)+IF(ISBLANK(Draft!N5),0,VLOOKUP(Draft!N5, 'NO USAR1'!A4:L1000,6,FALSE))))))))))))))))))))))))</f>
        <v>-0.1448633057</v>
      </c>
      <c r="I14" s="23">
        <f>((IF(ISBLANK(Draft!C12),0,VLOOKUP(Draft!C12, 'NO USAR1'!A4:L1000,7,FALSE)+(IF(ISBLANK(Draft!D5),0,VLOOKUP(Draft!D5, 'NO USAR1'!A4:L1000,7,FALSE)+(IF(ISBLANK(Draft!E12),0,VLOOKUP(Draft!E12, 'NO USAR1'!A4:L1000,7,FALSE)+(IF(ISBLANK(Draft!F5),0,VLOOKUP(Draft!F5, 'NO USAR1'!A4:L1000,7,FALSE)+(IF(ISBLANK(Draft!G12),0,VLOOKUP(Draft!G12, 'NO USAR1'!A4:L1000,7,FALSE)+(IF(ISBLANK(Draft!H5),0,VLOOKUP(Draft!H5, 'NO USAR1'!A4:L1000,7,FALSE)+(IF(ISBLANK(Draft!I12),0,VLOOKUP(Draft!I12, 'NO USAR1'!A4:L1000,7,FALSE)+(IF(ISBLANK(Draft!J5),0,VLOOKUP(Draft!J5, 'NO USAR1'!A4:L1000,7,FALSE)+(IF(ISBLANK(Draft!K12),0,VLOOKUP(Draft!K12, 'NO USAR1'!A4:L1000,7,FALSE)+(IF(ISBLANK(Draft!L5),0,VLOOKUP(Draft!L5, 'NO USAR1'!A4:L1000,7,FALSE)+IF(ISBLANK(Draft!M12),0,VLOOKUP(Draft!M12, 'NO USAR1'!A4:L1000,7,FALSE)+IF(ISBLANK(Draft!N5),0,VLOOKUP(Draft!N5, 'NO USAR1'!A4:L1000,7,FALSE))))))))))))))))))))))))</f>
        <v>-1.587102313</v>
      </c>
      <c r="J14" s="23">
        <f>((IF(ISBLANK(Draft!C12),0,VLOOKUP(Draft!C12, 'NO USAR1'!A4:L1000,8,FALSE)+(IF(ISBLANK(Draft!D5),0,VLOOKUP(Draft!D5, 'NO USAR1'!A4:L1000,8,FALSE)+(IF(ISBLANK(Draft!E12),0,VLOOKUP(Draft!E12, 'NO USAR1'!A4:L1000,8,FALSE)+(IF(ISBLANK(Draft!F5),0,VLOOKUP(Draft!F5, 'NO USAR1'!A4:L1000,8,FALSE)+(IF(ISBLANK(Draft!G12),0,VLOOKUP(Draft!G12, 'NO USAR1'!A4:L1000,8,FALSE)+(IF(ISBLANK(Draft!H5),0,VLOOKUP(Draft!H5, 'NO USAR1'!A4:L1000,8,FALSE)+(IF(ISBLANK(Draft!I12),0,VLOOKUP(Draft!I12, 'NO USAR1'!A4:L1000,8,FALSE)+(IF(ISBLANK(Draft!J5),0,VLOOKUP(Draft!J5, 'NO USAR1'!A4:L1000,8,FALSE)+(IF(ISBLANK(Draft!K12),0,VLOOKUP(Draft!K12, 'NO USAR1'!A4:L1000,8,FALSE)+(IF(ISBLANK(Draft!L5),0,VLOOKUP(Draft!L5, 'NO USAR1'!A4:L1000,8,FALSE)+IF(ISBLANK(Draft!M12),0,VLOOKUP(Draft!M12, 'NO USAR1'!A4:L1000,8,FALSE)+IF(ISBLANK(Draft!N5),0,VLOOKUP(Draft!N5, 'NO USAR1'!A4:L1000,8,FALSE))))))))))))))))))))))))</f>
        <v>-4.970916566</v>
      </c>
      <c r="K14" s="23">
        <f>((IF(ISBLANK(Draft!C12),0,VLOOKUP(Draft!C12, 'NO USAR1'!A4:L1000,10,FALSE)+(IF(ISBLANK(Draft!D5),0,VLOOKUP(Draft!D5, 'NO USAR1'!A4:L1000,10,FALSE)+(IF(ISBLANK(Draft!E12),0,VLOOKUP(Draft!E12, 'NO USAR1'!A4:L1000,10,FALSE)+(IF(ISBLANK(Draft!F5),0,VLOOKUP(Draft!F5, 'NO USAR1'!A4:L1000,10,FALSE)+(IF(ISBLANK(Draft!G12),0,VLOOKUP(Draft!G12, 'NO USAR1'!A4:L1000,10,FALSE)+(IF(ISBLANK(Draft!H5),0,VLOOKUP(Draft!H5, 'NO USAR1'!A4:L1000,10,FALSE)+(IF(ISBLANK(Draft!I12),0,VLOOKUP(Draft!I12, 'NO USAR1'!A4:L1000,10,FALSE)+(IF(ISBLANK(Draft!J5),0,VLOOKUP(Draft!J5, 'NO USAR1'!A4:L1000,10,FALSE)+(IF(ISBLANK(Draft!K12),0,VLOOKUP(Draft!K12, 'NO USAR1'!A4:L1000,10,FALSE)+(IF(ISBLANK(Draft!L5),0,VLOOKUP(Draft!L5, 'NO USAR1'!A4:L1000,10,FALSE)+IF(ISBLANK(Draft!M12),0,VLOOKUP(Draft!M12, 'NO USAR1'!A4:L1000,10,FALSE)+IF(ISBLANK(Draft!N5),0,VLOOKUP(Draft!N5, 'NO USAR1'!A4:L1000,7,FALSE))))))))))))))))))))))))</f>
        <v>5.576015605</v>
      </c>
      <c r="L14" s="23">
        <f>((IF(ISBLANK(Draft!C12),0,VLOOKUP(Draft!C12, 'NO USAR1'!A4:L1000,12,FALSE)+(IF(ISBLANK(Draft!D5),0,VLOOKUP(Draft!D5, 'NO USAR1'!A4:L1000,12,FALSE)+(IF(ISBLANK(Draft!E12),0,VLOOKUP(Draft!E12, 'NO USAR1'!A4:L1000,12,FALSE)+(IF(ISBLANK(Draft!F5),0,VLOOKUP(Draft!F5, 'NO USAR1'!A4:L1000,12,FALSE)+(IF(ISBLANK(Draft!G12),0,VLOOKUP(Draft!G12, 'NO USAR1'!A4:L1000,12,FALSE)+(IF(ISBLANK(Draft!H5),0,VLOOKUP(Draft!H5, 'NO USAR1'!A4:L1000,12,FALSE)+(IF(ISBLANK(Draft!I12),0,VLOOKUP(Draft!I12, 'NO USAR1'!A4:L1000,12,FALSE)+(IF(ISBLANK(Draft!J5),0,VLOOKUP(Draft!J5, 'NO USAR1'!A4:L1000,12,FALSE)+(IF(ISBLANK(Draft!K12),0,VLOOKUP(Draft!K12, 'NO USAR1'!A4:L1000,12,FALSE)+(IF(ISBLANK(Draft!L5),0,VLOOKUP(Draft!L5, 'NO USAR1'!A4:L1000,12,FALSE)+IF(ISBLANK(Draft!M12),0,VLOOKUP(Draft!M12, 'NO USAR1'!A4:L1000,12,FALSE)+IF(ISBLANK(Draft!N5),0,VLOOKUP(Draft!N5, 'NO USAR1'!A4:L1000,12,FALSE))))))))))))))))))))))))</f>
        <v>-5.37605346</v>
      </c>
      <c r="M14" s="49">
        <f t="array" ref="M14">if(M$3=$C14,"-", countif(indirect(address(row($C$4)+ VLOOKUP(M$3,$C$5:$C$16,1),COLUMN($D$4))):indirect(address(row($C$4)+ VLOOKUP(M$3,$C$5:$C$16,1),COLUMN($L$4)))&gt;indirect(address(row($C14),COLUMN($D$4))):indirect(address(row($C14),COLUMN($L$4))),TRUE()))</f>
        <v>0</v>
      </c>
      <c r="N14" s="49">
        <f t="array" ref="N14">if(N$3=$C14,"-", countif(indirect(address(row($C$4)+ VLOOKUP(N$3,$C$5:$C$16,1),COLUMN($D$4))):indirect(address(row($C$4)+ VLOOKUP(N$3,$C$5:$C$16,1),COLUMN($L$4)))&gt;indirect(address(row($C14),COLUMN($D$4))):indirect(address(row($C14),COLUMN($L$4))),TRUE()))</f>
        <v>0</v>
      </c>
      <c r="O14" s="49">
        <f t="array" ref="O14">if(O$3=$C14,"-", countif(indirect(address(row($C$4)+ VLOOKUP(O$3,$C$5:$C$16,1),COLUMN($D$4))):indirect(address(row($C$4)+ VLOOKUP(O$3,$C$5:$C$16,1),COLUMN($L$4)))&gt;indirect(address(row($C14),COLUMN($D$4))):indirect(address(row($C14),COLUMN($L$4))),TRUE()))</f>
        <v>0</v>
      </c>
      <c r="P14" s="49">
        <f t="array" ref="P14">if(P$3=$C14,"-", countif(indirect(address(row($C$4)+ VLOOKUP(P$3,$C$5:$C$16,1),COLUMN($D$4))):indirect(address(row($C$4)+ VLOOKUP(P$3,$C$5:$C$16,1),COLUMN($L$4)))&gt;indirect(address(row($C14),COLUMN($D$4))):indirect(address(row($C14),COLUMN($L$4))),TRUE()))</f>
        <v>0</v>
      </c>
      <c r="Q14" s="49">
        <f t="array" ref="Q14">if(Q$3=$C14,"-", countif(indirect(address(row($C$4)+ VLOOKUP(Q$3,$C$5:$C$16,1),COLUMN($D$4))):indirect(address(row($C$4)+ VLOOKUP(Q$3,$C$5:$C$16,1),COLUMN($L$4)))&gt;indirect(address(row($C14),COLUMN($D$4))):indirect(address(row($C14),COLUMN($L$4))),TRUE()))</f>
        <v>0</v>
      </c>
      <c r="R14" s="49">
        <f t="array" ref="R14">if(R$3=$C14,"-", countif(indirect(address(row($C$4)+ VLOOKUP(R$3,$C$5:$C$16,1),COLUMN($D$4))):indirect(address(row($C$4)+ VLOOKUP(R$3,$C$5:$C$16,1),COLUMN($L$4)))&gt;indirect(address(row($C14),COLUMN($D$4))):indirect(address(row($C14),COLUMN($L$4))),TRUE()))</f>
        <v>0</v>
      </c>
      <c r="S14" s="49">
        <f t="array" ref="S14">if(S$3=$C14,"-", countif(indirect(address(row($C$4)+ VLOOKUP(S$3,$C$5:$C$16,1),COLUMN($D$4))):indirect(address(row($C$4)+ VLOOKUP(S$3,$C$5:$C$16,1),COLUMN($L$4)))&gt;indirect(address(row($C14),COLUMN($D$4))):indirect(address(row($C14),COLUMN($L$4))),TRUE()))</f>
        <v>0</v>
      </c>
      <c r="T14" s="49">
        <f t="array" ref="T14">if(T$3=$C14,"-", countif(indirect(address(row($C$4)+ VLOOKUP(T$3,$C$5:$C$16,1),COLUMN($D$4))):indirect(address(row($C$4)+ VLOOKUP(T$3,$C$5:$C$16,1),COLUMN($L$4)))&gt;indirect(address(row($C14),COLUMN($D$4))):indirect(address(row($C14),COLUMN($L$4))),TRUE()))</f>
        <v>0</v>
      </c>
      <c r="U14" s="49">
        <f t="array" ref="U14">if(U$3=$C14,"-", countif(indirect(address(row($C$4)+ VLOOKUP(U$3,$C$5:$C$16,1),COLUMN($D$4))):indirect(address(row($C$4)+ VLOOKUP(U$3,$C$5:$C$16,1),COLUMN($L$4)))&gt;indirect(address(row($C14),COLUMN($D$4))):indirect(address(row($C14),COLUMN($L$4))),TRUE()))</f>
        <v>0</v>
      </c>
      <c r="V14" s="49">
        <f t="array" ref="V14">if(V$3=$C14,"-", countif(indirect(address(row($C$4)+ VLOOKUP(V$3,$C$5:$C$16,1),COLUMN($D$4))):indirect(address(row($C$4)+ VLOOKUP(V$3,$C$5:$C$16,1),COLUMN($L$4)))&gt;indirect(address(row($C14),COLUMN($D$4))):indirect(address(row($C14),COLUMN($L$4))),TRUE()))</f>
        <v>0</v>
      </c>
      <c r="W14" s="49">
        <f t="array" ref="W14">if(W$3=$C14,"-", countif(indirect(address(row($C$4)+ VLOOKUP(W$3,$C$5:$C$16,1),COLUMN($D$4))):indirect(address(row($C$4)+ VLOOKUP(W$3,$C$5:$C$16,1),COLUMN($L$4)))&gt;indirect(address(row($C14),COLUMN($D$4))):indirect(address(row($C14),COLUMN($L$4))),TRUE()))</f>
        <v>0</v>
      </c>
      <c r="X14" s="49">
        <f t="array" ref="X14">if(X$3=$C14,"-", countif(indirect(address(row($C$4)+ VLOOKUP(X$3,$C$5:$C$16,1),COLUMN($D$4))):indirect(address(row($C$4)+ VLOOKUP(X$3,$C$5:$C$16,1),COLUMN($L$4)))&gt;indirect(address(row($C14),COLUMN($D$4))):indirect(address(row($C14),COLUMN($L$4))),TRUE()))</f>
        <v>0</v>
      </c>
      <c r="Y14" s="49">
        <f t="array" ref="Y14">if(D$1=$C14,"-", countif(indirect(address(row($C$4)+ VLOOKUP(D$1,$C$5:$C$16,1),COLUMN($D$4))):indirect(address(row($C$4)+ VLOOKUP(D$1,$C$5:$C$16,1),COLUMN($L$4)))&gt;indirect(address(row($C14),COLUMN($D$4))):indirect(address(row($C14),COLUMN($L$4))),TRUE()))</f>
        <v>0</v>
      </c>
      <c r="Z14" s="23">
        <f>SUM(V$5:V$16)/99</f>
        <v>0</v>
      </c>
    </row>
    <row r="15">
      <c r="B15" s="13" t="b">
        <f>Draft!B13</f>
        <v>0</v>
      </c>
      <c r="C15" s="12">
        <v>11.0</v>
      </c>
      <c r="D15" s="23">
        <f>((IF(ISBLANK(Draft!C13),0,VLOOKUP(Draft!C13, 'NO USAR1'!A4:L1000,2,FALSE)+(IF(ISBLANK(Draft!D4),0,VLOOKUP(Draft!D4, 'NO USAR1'!A4:L1000,2,FALSE)+(IF(ISBLANK(Draft!E13),0,VLOOKUP(Draft!E13, 'NO USAR1'!A4:L1000,2,FALSE)+(IF(ISBLANK(Draft!F4),0,VLOOKUP(Draft!F4, 'NO USAR1'!A4:L1000,2,FALSE)+(IF(ISBLANK(Draft!G13),0,VLOOKUP(Draft!G13, 'NO USAR1'!A4:L1000,2,FALSE)+(IF(ISBLANK(Draft!H4),0,VLOOKUP(Draft!H4, 'NO USAR1'!A4:L1000,2,FALSE)+(IF(ISBLANK(Draft!I13),0,VLOOKUP(Draft!I13, 'NO USAR1'!A4:L1000,2,FALSE)+(IF(ISBLANK(Draft!J4),0,VLOOKUP(Draft!J4, 'NO USAR1'!A4:L1000,2,FALSE)+(IF(ISBLANK(Draft!K13),0,VLOOKUP(Draft!K13, 'NO USAR1'!A4:L1000,2,FALSE)+(IF(ISBLANK(Draft!L4),0,VLOOKUP(Draft!L4, 'NO USAR1'!A4:L1000,2,FALSE)+IF(ISBLANK(Draft!M13),0,VLOOKUP(Draft!M13, 'NO USAR1'!A4:L1000,2,FALSE)+IF(ISBLANK(Draft!N4),0,VLOOKUP(Draft!N4, 'NO USAR1'!A4:L1000,2,FALSE))))))))))))))))))))))))</f>
        <v>3.305983018</v>
      </c>
      <c r="E15" s="23">
        <f>((IF(ISBLANK(Draft!C13),0,VLOOKUP(Draft!C13, 'NO USAR1'!A4:L1000,3,FALSE)+(IF(ISBLANK(Draft!D4),0,VLOOKUP(Draft!D4, 'NO USAR1'!A4:L1000,3,FALSE)+(IF(ISBLANK(Draft!E13),0,VLOOKUP(Draft!E13, 'NO USAR1'!A4:L1000,3,FALSE)+(IF(ISBLANK(Draft!F4),0,VLOOKUP(Draft!F4, 'NO USAR1'!A4:L1000,3,FALSE)+(IF(ISBLANK(Draft!G13),0,VLOOKUP(Draft!G13, 'NO USAR1'!A4:L1000,3,FALSE)+(IF(ISBLANK(Draft!H4),0,VLOOKUP(Draft!H4, 'NO USAR1'!A4:L1000,3,FALSE)+(IF(ISBLANK(Draft!I13),0,VLOOKUP(Draft!I13, 'NO USAR1'!A4:L1000,3,FALSE)+(IF(ISBLANK(Draft!J4),0,VLOOKUP(Draft!J4, 'NO USAR1'!A4:L1000,3,FALSE)+(IF(ISBLANK(Draft!K13),0,VLOOKUP(Draft!K13, 'NO USAR1'!A4:L1000,3,FALSE)+(IF(ISBLANK(Draft!L4),0,VLOOKUP(Draft!L4, 'NO USAR1'!A4:L1000,3,FALSE)+IF(ISBLANK(Draft!M13),0,VLOOKUP(Draft!M13, 'NO USAR1'!A4:L1000,3,FALSE)+IF(ISBLANK(Draft!N4),0,VLOOKUP(Draft!N4, 'NO USAR1'!A4:L1000,3,FALSE))))))))))))))))))))))))</f>
        <v>0.979151118</v>
      </c>
      <c r="F15" s="23">
        <f>((IF(ISBLANK(Draft!C13),0,VLOOKUP(Draft!C13, 'NO USAR1'!A4:L1000,4,FALSE)+(IF(ISBLANK(Draft!D4),0,VLOOKUP(Draft!D4, 'NO USAR1'!A4:L1000,4,FALSE)+(IF(ISBLANK(Draft!E13),0,VLOOKUP(Draft!E13, 'NO USAR1'!A4:L1000,4,FALSE)+(IF(ISBLANK(Draft!F4),0,VLOOKUP(Draft!F4, 'NO USAR1'!A4:L1000,4,FALSE)+(IF(ISBLANK(Draft!G13),0,VLOOKUP(Draft!G13, 'NO USAR1'!A4:L1000,4,FALSE)+(IF(ISBLANK(Draft!H4),0,VLOOKUP(Draft!H4, 'NO USAR1'!A4:L1000,4,FALSE)+(IF(ISBLANK(Draft!I13),0,VLOOKUP(Draft!I13, 'NO USAR1'!A4:L1000,4,FALSE)+(IF(ISBLANK(Draft!J4),0,VLOOKUP(Draft!J4, 'NO USAR1'!A4:L1000,4,FALSE)+(IF(ISBLANK(Draft!K13),0,VLOOKUP(Draft!K13, 'NO USAR1'!A4:L1000,4,FALSE)+(IF(ISBLANK(Draft!L4),0,VLOOKUP(Draft!L4, 'NO USAR1'!A4:L1000,4,FALSE)+IF(ISBLANK(Draft!M13),0,VLOOKUP(Draft!M13, 'NO USAR1'!A4:L1000,4,FALSE)+IF(ISBLANK(Draft!N4),0,VLOOKUP(Draft!N4, 'NO USAR1'!A4:L1000,4,FALSE))))))))))))))))))))))))</f>
        <v>3.155313286</v>
      </c>
      <c r="G15" s="23">
        <f>((IF(ISBLANK(Draft!C13),0,VLOOKUP(Draft!C13, 'NO USAR1'!A4:L1000,5,FALSE)+(IF(ISBLANK(Draft!D4),0,VLOOKUP(Draft!D4, 'NO USAR1'!A4:L1000,5,FALSE)+(IF(ISBLANK(Draft!E13),0,VLOOKUP(Draft!E13, 'NO USAR1'!A4:L1000,5,FALSE)+(IF(ISBLANK(Draft!F4),0,VLOOKUP(Draft!F4, 'NO USAR1'!A4:L1000,5,FALSE)+(IF(ISBLANK(Draft!G13),0,VLOOKUP(Draft!G13, 'NO USAR1'!A4:L1000,5,FALSE)+(IF(ISBLANK(Draft!H4),0,VLOOKUP(Draft!H4, 'NO USAR1'!A4:L1000,5,FALSE)+(IF(ISBLANK(Draft!I13),0,VLOOKUP(Draft!I13, 'NO USAR1'!A4:L1000,5,FALSE)+(IF(ISBLANK(Draft!J4),0,VLOOKUP(Draft!J4, 'NO USAR1'!A4:L1000,5,FALSE)+(IF(ISBLANK(Draft!K13),0,VLOOKUP(Draft!K13, 'NO USAR1'!A4:L1000,5,FALSE)+(IF(ISBLANK(Draft!L4),0,VLOOKUP(Draft!L4, 'NO USAR1'!A4:L1000,5,FALSE)+IF(ISBLANK(Draft!M13),0,VLOOKUP(Draft!M13, 'NO USAR1'!A4:L1000,5,FALSE)+IF(ISBLANK(Draft!N4),0,VLOOKUP(Draft!N4, 'NO USAR1'!A4:L1000,5,FALSE))))))))))))))))))))))))</f>
        <v>1.452701483</v>
      </c>
      <c r="H15" s="23">
        <f>((IF(ISBLANK(Draft!C13),0,VLOOKUP(Draft!C13, 'NO USAR1'!A4:L1000,6,FALSE)+(IF(ISBLANK(Draft!D4),0,VLOOKUP(Draft!D4, 'NO USAR1'!A4:L1000,6,FALSE)+(IF(ISBLANK(Draft!E13),0,VLOOKUP(Draft!E13, 'NO USAR1'!A4:L1000,6,FALSE)+(IF(ISBLANK(Draft!F4),0,VLOOKUP(Draft!F4, 'NO USAR1'!A4:L1000,6,FALSE)+(IF(ISBLANK(Draft!G13),0,VLOOKUP(Draft!G13, 'NO USAR1'!A4:L1000,6,FALSE)+(IF(ISBLANK(Draft!H4),0,VLOOKUP(Draft!H4, 'NO USAR1'!A4:L1000,6,FALSE)+(IF(ISBLANK(Draft!I13),0,VLOOKUP(Draft!I13, 'NO USAR1'!A4:L1000,6,FALSE)+(IF(ISBLANK(Draft!J4),0,VLOOKUP(Draft!J4, 'NO USAR1'!A4:L1000,6,FALSE)+(IF(ISBLANK(Draft!K13),0,VLOOKUP(Draft!K13, 'NO USAR1'!A4:L1000,6,FALSE)+(IF(ISBLANK(Draft!L4),0,VLOOKUP(Draft!L4, 'NO USAR1'!A4:L1000,6,FALSE)+IF(ISBLANK(Draft!M13),0,VLOOKUP(Draft!M13, 'NO USAR1'!A4:L1000,6,FALSE)+IF(ISBLANK(Draft!N4),0,VLOOKUP(Draft!N4, 'NO USAR1'!A4:L1000,6,FALSE))))))))))))))))))))))))</f>
        <v>2.170754687</v>
      </c>
      <c r="I15" s="23">
        <f>((IF(ISBLANK(Draft!C13),0,VLOOKUP(Draft!C13, 'NO USAR1'!A4:L1000,7,FALSE)+(IF(ISBLANK(Draft!D4),0,VLOOKUP(Draft!D4, 'NO USAR1'!A4:L1000,7,FALSE)+(IF(ISBLANK(Draft!E13),0,VLOOKUP(Draft!E13, 'NO USAR1'!A4:L1000,7,FALSE)+(IF(ISBLANK(Draft!F4),0,VLOOKUP(Draft!F4, 'NO USAR1'!A4:L1000,7,FALSE)+(IF(ISBLANK(Draft!G13),0,VLOOKUP(Draft!G13, 'NO USAR1'!A4:L1000,7,FALSE)+(IF(ISBLANK(Draft!H4),0,VLOOKUP(Draft!H4, 'NO USAR1'!A4:L1000,7,FALSE)+(IF(ISBLANK(Draft!I13),0,VLOOKUP(Draft!I13, 'NO USAR1'!A4:L1000,7,FALSE)+(IF(ISBLANK(Draft!J4),0,VLOOKUP(Draft!J4, 'NO USAR1'!A4:L1000,7,FALSE)+(IF(ISBLANK(Draft!K13),0,VLOOKUP(Draft!K13, 'NO USAR1'!A4:L1000,7,FALSE)+(IF(ISBLANK(Draft!L4),0,VLOOKUP(Draft!L4, 'NO USAR1'!A4:L1000,7,FALSE)+IF(ISBLANK(Draft!M13),0,VLOOKUP(Draft!M13, 'NO USAR1'!A4:L1000,7,FALSE)+IF(ISBLANK(Draft!N4),0,VLOOKUP(Draft!N4, 'NO USAR1'!A4:L1000,7,FALSE))))))))))))))))))))))))</f>
        <v>-0.9801877523</v>
      </c>
      <c r="J15" s="23">
        <f>((IF(ISBLANK(Draft!C13),0,VLOOKUP(Draft!C13, 'NO USAR1'!A4:L1000,8,FALSE)+(IF(ISBLANK(Draft!D4),0,VLOOKUP(Draft!D4, 'NO USAR1'!A4:L1000,8,FALSE)+(IF(ISBLANK(Draft!E13),0,VLOOKUP(Draft!E13, 'NO USAR1'!A4:L1000,8,FALSE)+(IF(ISBLANK(Draft!F4),0,VLOOKUP(Draft!F4, 'NO USAR1'!A4:L1000,8,FALSE)+(IF(ISBLANK(Draft!G13),0,VLOOKUP(Draft!G13, 'NO USAR1'!A4:L1000,8,FALSE)+(IF(ISBLANK(Draft!H4),0,VLOOKUP(Draft!H4, 'NO USAR1'!A4:L1000,8,FALSE)+(IF(ISBLANK(Draft!I13),0,VLOOKUP(Draft!I13, 'NO USAR1'!A4:L1000,8,FALSE)+(IF(ISBLANK(Draft!J4),0,VLOOKUP(Draft!J4, 'NO USAR1'!A4:L1000,8,FALSE)+(IF(ISBLANK(Draft!K13),0,VLOOKUP(Draft!K13, 'NO USAR1'!A4:L1000,8,FALSE)+(IF(ISBLANK(Draft!L4),0,VLOOKUP(Draft!L4, 'NO USAR1'!A4:L1000,8,FALSE)+IF(ISBLANK(Draft!M13),0,VLOOKUP(Draft!M13, 'NO USAR1'!A4:L1000,8,FALSE)+IF(ISBLANK(Draft!N4),0,VLOOKUP(Draft!N4, 'NO USAR1'!A4:L1000,8,FALSE))))))))))))))))))))))))</f>
        <v>0.147806941</v>
      </c>
      <c r="K15" s="23">
        <f>((IF(ISBLANK(Draft!C13),0,VLOOKUP(Draft!C13, 'NO USAR1'!A4:L1000,10,FALSE)+(IF(ISBLANK(Draft!D4),0,VLOOKUP(Draft!D4, 'NO USAR1'!A4:L1000,10,FALSE)+(IF(ISBLANK(Draft!E13),0,VLOOKUP(Draft!E13, 'NO USAR1'!A4:L1000,10,FALSE)+(IF(ISBLANK(Draft!F4),0,VLOOKUP(Draft!F4, 'NO USAR1'!A4:L1000,10,FALSE)+(IF(ISBLANK(Draft!G13),0,VLOOKUP(Draft!G13, 'NO USAR1'!A4:L1000,10,FALSE)+(IF(ISBLANK(Draft!H4),0,VLOOKUP(Draft!H4, 'NO USAR1'!A4:L1000,10,FALSE)+(IF(ISBLANK(Draft!I13),0,VLOOKUP(Draft!I13, 'NO USAR1'!A4:L1000,10,FALSE)+(IF(ISBLANK(Draft!J4),0,VLOOKUP(Draft!J4, 'NO USAR1'!A4:L1000,10,FALSE)+(IF(ISBLANK(Draft!K13),0,VLOOKUP(Draft!K13, 'NO USAR1'!A4:L1000,10,FALSE)+(IF(ISBLANK(Draft!L4),0,VLOOKUP(Draft!L4, 'NO USAR1'!A4:L1000,10,FALSE)+IF(ISBLANK(Draft!M13),0,VLOOKUP(Draft!M13, 'NO USAR1'!A4:L1000,10,FALSE)+IF(ISBLANK(Draft!N4),0,VLOOKUP(Draft!N4, 'NO USAR1'!A4:L1000,10,FALSE))))))))))))))))))))))))</f>
        <v>-2.099275828</v>
      </c>
      <c r="L15" s="23">
        <f>((IF(ISBLANK(Draft!C13),0,VLOOKUP(Draft!C13, 'NO USAR1'!A4:L1000,12,FALSE)+(IF(ISBLANK(Draft!D4),0,VLOOKUP(Draft!D4, 'NO USAR1'!A4:L1000,12,FALSE)+(IF(ISBLANK(Draft!E13),0,VLOOKUP(Draft!E13, 'NO USAR1'!A4:L1000,12,FALSE)+(IF(ISBLANK(Draft!F4),0,VLOOKUP(Draft!F4, 'NO USAR1'!A4:L1000,12,FALSE)+(IF(ISBLANK(Draft!G13),0,VLOOKUP(Draft!G13, 'NO USAR1'!A4:L1000,12,FALSE)+(IF(ISBLANK(Draft!H4),0,VLOOKUP(Draft!H4, 'NO USAR1'!A4:L1000,12,FALSE)+(IF(ISBLANK(Draft!I13),0,VLOOKUP(Draft!I13, 'NO USAR1'!A4:L1000,12,FALSE)+(IF(ISBLANK(Draft!J4),0,VLOOKUP(Draft!J4, 'NO USAR1'!A4:L1000,12,FALSE)+(IF(ISBLANK(Draft!K13),0,VLOOKUP(Draft!K13, 'NO USAR1'!A4:L1000,12,FALSE)+(IF(ISBLANK(Draft!L4),0,VLOOKUP(Draft!L4, 'NO USAR1'!A4:L1000,12,FALSE)+IF(ISBLANK(Draft!M13),0,VLOOKUP(Draft!M13, 'NO USAR1'!A4:L1000,12,FALSE)+IF(ISBLANK(Draft!N4),0,VLOOKUP(Draft!N4, 'NO USAR1'!A4:L1000,12,FALSE))))))))))))))))))))))))</f>
        <v>-3.435400378</v>
      </c>
      <c r="M15" s="49">
        <f t="array" ref="M15">if(M$3=$C15,"-", countif(indirect(address(row($C$4)+ VLOOKUP(M$3,$C$5:$C$16,1),COLUMN($D$4))):indirect(address(row($C$4)+ VLOOKUP(M$3,$C$5:$C$16,1),COLUMN($L$4)))&gt;indirect(address(row($C15),COLUMN($D$4))):indirect(address(row($C15),COLUMN($L$4))),TRUE()))</f>
        <v>0</v>
      </c>
      <c r="N15" s="49">
        <f t="array" ref="N15">if(N$3=$C15,"-", countif(indirect(address(row($C$4)+ VLOOKUP(N$3,$C$5:$C$16,1),COLUMN($D$4))):indirect(address(row($C$4)+ VLOOKUP(N$3,$C$5:$C$16,1),COLUMN($L$4)))&gt;indirect(address(row($C15),COLUMN($D$4))):indirect(address(row($C15),COLUMN($L$4))),TRUE()))</f>
        <v>0</v>
      </c>
      <c r="O15" s="49">
        <f t="array" ref="O15">if(O$3=$C15,"-", countif(indirect(address(row($C$4)+ VLOOKUP(O$3,$C$5:$C$16,1),COLUMN($D$4))):indirect(address(row($C$4)+ VLOOKUP(O$3,$C$5:$C$16,1),COLUMN($L$4)))&gt;indirect(address(row($C15),COLUMN($D$4))):indirect(address(row($C15),COLUMN($L$4))),TRUE()))</f>
        <v>0</v>
      </c>
      <c r="P15" s="49">
        <f t="array" ref="P15">if(P$3=$C15,"-", countif(indirect(address(row($C$4)+ VLOOKUP(P$3,$C$5:$C$16,1),COLUMN($D$4))):indirect(address(row($C$4)+ VLOOKUP(P$3,$C$5:$C$16,1),COLUMN($L$4)))&gt;indirect(address(row($C15),COLUMN($D$4))):indirect(address(row($C15),COLUMN($L$4))),TRUE()))</f>
        <v>0</v>
      </c>
      <c r="Q15" s="49">
        <f t="array" ref="Q15">if(Q$3=$C15,"-", countif(indirect(address(row($C$4)+ VLOOKUP(Q$3,$C$5:$C$16,1),COLUMN($D$4))):indirect(address(row($C$4)+ VLOOKUP(Q$3,$C$5:$C$16,1),COLUMN($L$4)))&gt;indirect(address(row($C15),COLUMN($D$4))):indirect(address(row($C15),COLUMN($L$4))),TRUE()))</f>
        <v>0</v>
      </c>
      <c r="R15" s="49">
        <f t="array" ref="R15">if(R$3=$C15,"-", countif(indirect(address(row($C$4)+ VLOOKUP(R$3,$C$5:$C$16,1),COLUMN($D$4))):indirect(address(row($C$4)+ VLOOKUP(R$3,$C$5:$C$16,1),COLUMN($L$4)))&gt;indirect(address(row($C15),COLUMN($D$4))):indirect(address(row($C15),COLUMN($L$4))),TRUE()))</f>
        <v>0</v>
      </c>
      <c r="S15" s="49">
        <f t="array" ref="S15">if(S$3=$C15,"-", countif(indirect(address(row($C$4)+ VLOOKUP(S$3,$C$5:$C$16,1),COLUMN($D$4))):indirect(address(row($C$4)+ VLOOKUP(S$3,$C$5:$C$16,1),COLUMN($L$4)))&gt;indirect(address(row($C15),COLUMN($D$4))):indirect(address(row($C15),COLUMN($L$4))),TRUE()))</f>
        <v>0</v>
      </c>
      <c r="T15" s="49">
        <f t="array" ref="T15">if(T$3=$C15,"-", countif(indirect(address(row($C$4)+ VLOOKUP(T$3,$C$5:$C$16,1),COLUMN($D$4))):indirect(address(row($C$4)+ VLOOKUP(T$3,$C$5:$C$16,1),COLUMN($L$4)))&gt;indirect(address(row($C15),COLUMN($D$4))):indirect(address(row($C15),COLUMN($L$4))),TRUE()))</f>
        <v>0</v>
      </c>
      <c r="U15" s="49">
        <f t="array" ref="U15">if(U$3=$C15,"-", countif(indirect(address(row($C$4)+ VLOOKUP(U$3,$C$5:$C$16,1),COLUMN($D$4))):indirect(address(row($C$4)+ VLOOKUP(U$3,$C$5:$C$16,1),COLUMN($L$4)))&gt;indirect(address(row($C15),COLUMN($D$4))):indirect(address(row($C15),COLUMN($L$4))),TRUE()))</f>
        <v>0</v>
      </c>
      <c r="V15" s="49">
        <f t="array" ref="V15">if(V$3=$C15,"-", countif(indirect(address(row($C$4)+ VLOOKUP(V$3,$C$5:$C$16,1),COLUMN($D$4))):indirect(address(row($C$4)+ VLOOKUP(V$3,$C$5:$C$16,1),COLUMN($L$4)))&gt;indirect(address(row($C15),COLUMN($D$4))):indirect(address(row($C15),COLUMN($L$4))),TRUE()))</f>
        <v>0</v>
      </c>
      <c r="W15" s="49">
        <f t="array" ref="W15">if(W$3=$C15,"-", countif(indirect(address(row($C$4)+ VLOOKUP(W$3,$C$5:$C$16,1),COLUMN($D$4))):indirect(address(row($C$4)+ VLOOKUP(W$3,$C$5:$C$16,1),COLUMN($L$4)))&gt;indirect(address(row($C15),COLUMN($D$4))):indirect(address(row($C15),COLUMN($L$4))),TRUE()))</f>
        <v>0</v>
      </c>
      <c r="X15" s="49">
        <f t="array" ref="X15">if(X$3=$C15,"-", countif(indirect(address(row($C$4)+ VLOOKUP(X$3,$C$5:$C$16,1),COLUMN($D$4))):indirect(address(row($C$4)+ VLOOKUP(X$3,$C$5:$C$16,1),COLUMN($L$4)))&gt;indirect(address(row($C15),COLUMN($D$4))):indirect(address(row($C15),COLUMN($L$4))),TRUE()))</f>
        <v>0</v>
      </c>
      <c r="Y15" s="49">
        <f t="array" ref="Y15">if(D$1=$C15,"-", countif(indirect(address(row($C$4)+ VLOOKUP(D$1,$C$5:$C$16,1),COLUMN($D$4))):indirect(address(row($C$4)+ VLOOKUP(D$1,$C$5:$C$16,1),COLUMN($L$4)))&gt;indirect(address(row($C15),COLUMN($D$4))):indirect(address(row($C15),COLUMN($L$4))),TRUE()))</f>
        <v>0</v>
      </c>
      <c r="Z15" s="23">
        <f>SUM(W$5:W$16)/99</f>
        <v>0</v>
      </c>
    </row>
    <row r="16">
      <c r="B16" s="13" t="b">
        <f>Draft!B14</f>
        <v>0</v>
      </c>
      <c r="C16" s="12">
        <v>12.0</v>
      </c>
      <c r="D16" s="23">
        <f>((IF(ISBLANK(Draft!C14),0,VLOOKUP(Draft!C14, 'NO USAR1'!A4:L1000,2,FALSE)+(IF(ISBLANK(Draft!D3),0,VLOOKUP(Draft!D3, 'NO USAR1'!A4:L1000,2,FALSE)+(IF(ISBLANK(Draft!E14),0,VLOOKUP(Draft!E14, 'NO USAR1'!A4:L1000,2,FALSE)+(IF(ISBLANK(Draft!F3),0,VLOOKUP(Draft!F3, 'NO USAR1'!A4:L1000,2,FALSE)+(IF(ISBLANK(Draft!G14),0,VLOOKUP(Draft!G14, 'NO USAR1'!A4:L1000,2,FALSE)+(IF(ISBLANK(Draft!H3),0,VLOOKUP(Draft!H3, 'NO USAR1'!A4:L1000,2,FALSE)+(IF(ISBLANK(Draft!I14),0,VLOOKUP(Draft!I14, 'NO USAR1'!A4:L1000,2,FALSE)+(IF(ISBLANK(Draft!J3),0,VLOOKUP(Draft!J3, 'NO USAR1'!A4:L1000,2,FALSE)+(IF(ISBLANK(Draft!K14),0,VLOOKUP(Draft!K14, 'NO USAR1'!A4:L1000,2,FALSE)+(IF(ISBLANK(Draft!L3),0,VLOOKUP(Draft!L3, 'NO USAR1'!A4:L1000,2,FALSE)+IF(ISBLANK(Draft!M14),0,VLOOKUP(Draft!M14, 'NO USAR1'!A4:L1000,2,FALSE)+IF(ISBLANK(Draft!N3),0,VLOOKUP(Draft!N3, 'NO USAR1'!A4:L1000,2,FALSE))))))))))))))))))))))))</f>
        <v>0.2337587819</v>
      </c>
      <c r="E16" s="23">
        <f>((IF(ISBLANK(Draft!C14),0,VLOOKUP(Draft!C14, 'NO USAR1'!A4:L1000,3,FALSE)+(IF(ISBLANK(Draft!D3),0,VLOOKUP(Draft!D3, 'NO USAR1'!A4:L1000,3,FALSE)+(IF(ISBLANK(Draft!E14),0,VLOOKUP(Draft!E14, 'NO USAR1'!A4:L1000,3,FALSE)+(IF(ISBLANK(Draft!F3),0,VLOOKUP(Draft!F3, 'NO USAR1'!A4:L1000,3,FALSE)+(IF(ISBLANK(Draft!G14),0,VLOOKUP(Draft!G14, 'NO USAR1'!A4:L1000,3,FALSE)+(IF(ISBLANK(Draft!H3),0,VLOOKUP(Draft!H3, 'NO USAR1'!A4:L1000,3,FALSE)+(IF(ISBLANK(Draft!I14),0,VLOOKUP(Draft!I14, 'NO USAR1'!A4:L1000,3,FALSE)+(IF(ISBLANK(Draft!J3),0,VLOOKUP(Draft!J3, 'NO USAR1'!A4:L1000,3,FALSE)+(IF(ISBLANK(Draft!K14),0,VLOOKUP(Draft!K14, 'NO USAR1'!A4:L1000,3,FALSE)+(IF(ISBLANK(Draft!L3),0,VLOOKUP(Draft!L3, 'NO USAR1'!A4:L1000,3,FALSE)+IF(ISBLANK(Draft!M14),0,VLOOKUP(Draft!M14, 'NO USAR1'!A4:L1000,3,FALSE)+IF(ISBLANK(Draft!N3),0,VLOOKUP(Draft!N3, 'NO USAR1'!A4:L1000,3,FALSE))))))))))))))))))))))))</f>
        <v>2.552235573</v>
      </c>
      <c r="F16" s="23">
        <f>((IF(ISBLANK(Draft!C14),0,VLOOKUP(Draft!C14, 'NO USAR1'!A4:L1000,4,FALSE)+(IF(ISBLANK(Draft!D3),0,VLOOKUP(Draft!D3, 'NO USAR1'!A4:L1000,4,FALSE)+(IF(ISBLANK(Draft!E14),0,VLOOKUP(Draft!E14, 'NO USAR1'!A4:L1000,4,FALSE)+(IF(ISBLANK(Draft!F3),0,VLOOKUP(Draft!F3, 'NO USAR1'!A4:L1000,4,FALSE)+(IF(ISBLANK(Draft!G14),0,VLOOKUP(Draft!G14, 'NO USAR1'!A4:L1000,4,FALSE)+(IF(ISBLANK(Draft!H3),0,VLOOKUP(Draft!H3, 'NO USAR1'!A4:L1000,4,FALSE)+(IF(ISBLANK(Draft!I14),0,VLOOKUP(Draft!I14, 'NO USAR1'!A4:L1000,4,FALSE)+(IF(ISBLANK(Draft!J3),0,VLOOKUP(Draft!J3, 'NO USAR1'!A4:L1000,4,FALSE)+(IF(ISBLANK(Draft!K14),0,VLOOKUP(Draft!K14, 'NO USAR1'!A4:L1000,4,FALSE)+(IF(ISBLANK(Draft!L3),0,VLOOKUP(Draft!L3, 'NO USAR1'!A4:L1000,4,FALSE)+IF(ISBLANK(Draft!M14),0,VLOOKUP(Draft!M14, 'NO USAR1'!A4:L1000,4,FALSE)+IF(ISBLANK(Draft!N3),0,VLOOKUP(Draft!N3, 'NO USAR1'!A4:L1000,4,FALSE))))))))))))))))))))))))</f>
        <v>-4.090099162</v>
      </c>
      <c r="G16" s="23">
        <f>((IF(ISBLANK(Draft!C14),0,VLOOKUP(Draft!C14, 'NO USAR1'!A4:L1000,5,FALSE)+(IF(ISBLANK(Draft!D3),0,VLOOKUP(Draft!D3, 'NO USAR1'!A4:L1000,5,FALSE)+(IF(ISBLANK(Draft!E14),0,VLOOKUP(Draft!E14, 'NO USAR1'!A4:L1000,5,FALSE)+(IF(ISBLANK(Draft!F3),0,VLOOKUP(Draft!F3, 'NO USAR1'!A4:L1000,5,FALSE)+(IF(ISBLANK(Draft!G14),0,VLOOKUP(Draft!G14, 'NO USAR1'!A4:L1000,5,FALSE)+(IF(ISBLANK(Draft!H3),0,VLOOKUP(Draft!H3, 'NO USAR1'!A4:L1000,5,FALSE)+(IF(ISBLANK(Draft!I14),0,VLOOKUP(Draft!I14, 'NO USAR1'!A4:L1000,5,FALSE)+(IF(ISBLANK(Draft!J3),0,VLOOKUP(Draft!J3, 'NO USAR1'!A4:L1000,5,FALSE)+(IF(ISBLANK(Draft!K14),0,VLOOKUP(Draft!K14, 'NO USAR1'!A4:L1000,5,FALSE)+(IF(ISBLANK(Draft!L3),0,VLOOKUP(Draft!L3, 'NO USAR1'!A4:L1000,5,FALSE)+IF(ISBLANK(Draft!M14),0,VLOOKUP(Draft!M14, 'NO USAR1'!A4:L1000,5,FALSE)+IF(ISBLANK(Draft!N3),0,VLOOKUP(Draft!N3, 'NO USAR1'!A4:L1000,5,FALSE))))))))))))))))))))))))</f>
        <v>3.185770369</v>
      </c>
      <c r="H16" s="23">
        <f>((IF(ISBLANK(Draft!C14),0,VLOOKUP(Draft!C14, 'NO USAR1'!A4:L1000,6,FALSE)+(IF(ISBLANK(Draft!D3),0,VLOOKUP(Draft!D3, 'NO USAR1'!A4:L1000,6,FALSE)+(IF(ISBLANK(Draft!E14),0,VLOOKUP(Draft!E14, 'NO USAR1'!A4:L1000,6,FALSE)+(IF(ISBLANK(Draft!F3),0,VLOOKUP(Draft!F3, 'NO USAR1'!A4:L1000,6,FALSE)+(IF(ISBLANK(Draft!G14),0,VLOOKUP(Draft!G14, 'NO USAR1'!A4:L1000,6,FALSE)+(IF(ISBLANK(Draft!H3),0,VLOOKUP(Draft!H3, 'NO USAR1'!A4:L1000,6,FALSE)+(IF(ISBLANK(Draft!I14),0,VLOOKUP(Draft!I14, 'NO USAR1'!A4:L1000,6,FALSE)+(IF(ISBLANK(Draft!J3),0,VLOOKUP(Draft!J3, 'NO USAR1'!A4:L1000,6,FALSE)+(IF(ISBLANK(Draft!K14),0,VLOOKUP(Draft!K14, 'NO USAR1'!A4:L1000,6,FALSE)+(IF(ISBLANK(Draft!L3),0,VLOOKUP(Draft!L3, 'NO USAR1'!A4:L1000,6,FALSE)+IF(ISBLANK(Draft!M14),0,VLOOKUP(Draft!M14, 'NO USAR1'!A4:L1000,6,FALSE)+IF(ISBLANK(Draft!N3),0,VLOOKUP(Draft!N3, 'NO USAR1'!A4:L1000,6,FALSE))))))))))))))))))))))))</f>
        <v>3.77961534</v>
      </c>
      <c r="I16" s="23">
        <f>((IF(ISBLANK(Draft!C14),0,VLOOKUP(Draft!C14, 'NO USAR1'!A4:L1000,7,FALSE)+(IF(ISBLANK(Draft!D3),0,VLOOKUP(Draft!D3, 'NO USAR1'!A4:L1000,7,FALSE)+(IF(ISBLANK(Draft!E14),0,VLOOKUP(Draft!E14, 'NO USAR1'!A4:L1000,7,FALSE)+(IF(ISBLANK(Draft!F3),0,VLOOKUP(Draft!F3, 'NO USAR1'!A4:L1000,7,FALSE)+(IF(ISBLANK(Draft!G14),0,VLOOKUP(Draft!G14, 'NO USAR1'!A4:L1000,7,FALSE)+(IF(ISBLANK(Draft!H3),0,VLOOKUP(Draft!H3, 'NO USAR1'!A4:L1000,7,FALSE)+(IF(ISBLANK(Draft!I14),0,VLOOKUP(Draft!I14, 'NO USAR1'!A4:L1000,7,FALSE)+(IF(ISBLANK(Draft!J3),0,VLOOKUP(Draft!J3, 'NO USAR1'!A4:L1000,7,FALSE)+(IF(ISBLANK(Draft!K14),0,VLOOKUP(Draft!K14, 'NO USAR1'!A4:L1000,7,FALSE)+(IF(ISBLANK(Draft!L3),0,VLOOKUP(Draft!L3, 'NO USAR1'!A4:L1000,7,FALSE)+IF(ISBLANK(Draft!M14),0,VLOOKUP(Draft!M14, 'NO USAR1'!A4:L1000,7,FALSE)+IF(ISBLANK(Draft!N3),0,VLOOKUP(Draft!N3, 'NO USAR1'!A4:L1000,7,FALSE))))))))))))))))))))))))</f>
        <v>-2.617059824</v>
      </c>
      <c r="J16" s="23">
        <f>((IF(ISBLANK(Draft!C14),0,VLOOKUP(Draft!C14, 'NO USAR1'!A4:L1000,8,FALSE)+(IF(ISBLANK(Draft!D3),0,VLOOKUP(Draft!D3, 'NO USAR1'!A4:L1000,8,FALSE)+(IF(ISBLANK(Draft!E14),0,VLOOKUP(Draft!E14, 'NO USAR1'!A4:L1000,8,FALSE)+(IF(ISBLANK(Draft!F3),0,VLOOKUP(Draft!F3, 'NO USAR1'!A4:L1000,8,FALSE)+(IF(ISBLANK(Draft!G14),0,VLOOKUP(Draft!G14, 'NO USAR1'!A4:L1000,8,FALSE)+(IF(ISBLANK(Draft!H3),0,VLOOKUP(Draft!H3, 'NO USAR1'!A4:L1000,8,FALSE)+(IF(ISBLANK(Draft!I14),0,VLOOKUP(Draft!I14, 'NO USAR1'!A4:L1000,8,FALSE)+(IF(ISBLANK(Draft!J3),0,VLOOKUP(Draft!J3, 'NO USAR1'!A4:L1000,8,FALSE)+(IF(ISBLANK(Draft!K14),0,VLOOKUP(Draft!K14, 'NO USAR1'!A4:L1000,8,FALSE)+(IF(ISBLANK(Draft!L3),0,VLOOKUP(Draft!L3, 'NO USAR1'!A4:L1000,8,FALSE)+IF(ISBLANK(Draft!M14),0,VLOOKUP(Draft!M14, 'NO USAR1'!A4:L1000,8,FALSE)+IF(ISBLANK(Draft!N3),0,VLOOKUP(Draft!N3, 'NO USAR1'!A4:L1000,8,FALSE))))))))))))))))))))))))</f>
        <v>-6.419667548</v>
      </c>
      <c r="K16" s="23">
        <f>((IF(ISBLANK(Draft!C14),0,VLOOKUP(Draft!C14, 'NO USAR1'!A4:L1000,10,FALSE)+(IF(ISBLANK(Draft!D3),0,VLOOKUP(Draft!D3, 'NO USAR1'!A4:L1000,10,FALSE)+(IF(ISBLANK(Draft!E14),0,VLOOKUP(Draft!E14, 'NO USAR1'!A4:L1000,10,FALSE)+(IF(ISBLANK(Draft!F3),0,VLOOKUP(Draft!F3, 'NO USAR1'!A4:L1000,10,FALSE)+(IF(ISBLANK(Draft!G14),0,VLOOKUP(Draft!G14, 'NO USAR1'!A4:L1000,10,FALSE)+(IF(ISBLANK(Draft!H3),0,VLOOKUP(Draft!H3, 'NO USAR1'!A4:L1000,10,FALSE)+(IF(ISBLANK(Draft!I14),0,VLOOKUP(Draft!I14, 'NO USAR1'!A4:L1000,10,FALSE)+(IF(ISBLANK(Draft!J3),0,VLOOKUP(Draft!J3, 'NO USAR1'!A4:L1000,10,FALSE)+(IF(ISBLANK(Draft!K14),0,VLOOKUP(Draft!K14, 'NO USAR1'!A4:L1000,10,FALSE)+(IF(ISBLANK(Draft!L3),0,VLOOKUP(Draft!L3, 'NO USAR1'!A4:L1000,10,FALSE)+IF(ISBLANK(Draft!M14),0,VLOOKUP(Draft!M14, 'NO USAR1'!A4:L1000,10,FALSE)+IF(ISBLANK(Draft!N3),0,VLOOKUP(Draft!N3, 'NO USAR1'!A4:L1000,10,FALSE))))))))))))))))))))))))</f>
        <v>2.428977789</v>
      </c>
      <c r="L16" s="23">
        <f>((IF(ISBLANK(Draft!C14),0,VLOOKUP(Draft!C14, 'NO USAR1'!A4:L1000,12,FALSE)+(IF(ISBLANK(Draft!D3),0,VLOOKUP(Draft!D3, 'NO USAR1'!A4:L1000,12,FALSE)+(IF(ISBLANK(Draft!E14),0,VLOOKUP(Draft!E14, 'NO USAR1'!A4:L1000,12,FALSE)+(IF(ISBLANK(Draft!F3),0,VLOOKUP(Draft!F3, 'NO USAR1'!A4:L1000,12,FALSE)+(IF(ISBLANK(Draft!G14),0,VLOOKUP(Draft!G14, 'NO USAR1'!A4:L1000,12,FALSE)+(IF(ISBLANK(Draft!H3),0,VLOOKUP(Draft!H3, 'NO USAR1'!A4:L1000,12,FALSE)+(IF(ISBLANK(Draft!I14),0,VLOOKUP(Draft!I14, 'NO USAR1'!A4:L1000,12,FALSE)+(IF(ISBLANK(Draft!J3),0,VLOOKUP(Draft!J3, 'NO USAR1'!A4:L1000,12,FALSE)+(IF(ISBLANK(Draft!K14),0,VLOOKUP(Draft!K14, 'NO USAR1'!A4:L1000,12,FALSE)+(IF(ISBLANK(Draft!L3),0,VLOOKUP(Draft!L3, 'NO USAR1'!A4:L1000,12,FALSE)+IF(ISBLANK(Draft!M14),0,VLOOKUP(Draft!M14, 'NO USAR1'!A4:L1000,12,FALSE)+IF(ISBLANK(Draft!N3),0,VLOOKUP(Draft!N3, 'NO USAR1'!A4:L1000,12,FALSE))))))))))))))))))))))))</f>
        <v>-3.499841912</v>
      </c>
      <c r="M16" s="49">
        <f t="array" ref="M16">if(M$3=$C16,"-", countif(indirect(address(row($C$4)+ VLOOKUP(M$3,$C$5:$C$16,1),COLUMN($D$4))):indirect(address(row($C$4)+ VLOOKUP(M$3,$C$5:$C$16,1),COLUMN($L$4)))&gt;indirect(address(row($C16),COLUMN($D$4))):indirect(address(row($C16),COLUMN($L$4))),TRUE()))</f>
        <v>0</v>
      </c>
      <c r="N16" s="49">
        <f t="array" ref="N16">if(N$3=$C16,"-", countif(indirect(address(row($C$4)+ VLOOKUP(N$3,$C$5:$C$16,1),COLUMN($D$4))):indirect(address(row($C$4)+ VLOOKUP(N$3,$C$5:$C$16,1),COLUMN($L$4)))&gt;indirect(address(row($C16),COLUMN($D$4))):indirect(address(row($C16),COLUMN($L$4))),TRUE()))</f>
        <v>0</v>
      </c>
      <c r="O16" s="49">
        <f t="array" ref="O16">if(O$3=$C16,"-", countif(indirect(address(row($C$4)+ VLOOKUP(O$3,$C$5:$C$16,1),COLUMN($D$4))):indirect(address(row($C$4)+ VLOOKUP(O$3,$C$5:$C$16,1),COLUMN($L$4)))&gt;indirect(address(row($C16),COLUMN($D$4))):indirect(address(row($C16),COLUMN($L$4))),TRUE()))</f>
        <v>0</v>
      </c>
      <c r="P16" s="49">
        <f t="array" ref="P16">if(P$3=$C16,"-", countif(indirect(address(row($C$4)+ VLOOKUP(P$3,$C$5:$C$16,1),COLUMN($D$4))):indirect(address(row($C$4)+ VLOOKUP(P$3,$C$5:$C$16,1),COLUMN($L$4)))&gt;indirect(address(row($C16),COLUMN($D$4))):indirect(address(row($C16),COLUMN($L$4))),TRUE()))</f>
        <v>0</v>
      </c>
      <c r="Q16" s="49">
        <f t="array" ref="Q16">if(Q$3=$C16,"-", countif(indirect(address(row($C$4)+ VLOOKUP(Q$3,$C$5:$C$16,1),COLUMN($D$4))):indirect(address(row($C$4)+ VLOOKUP(Q$3,$C$5:$C$16,1),COLUMN($L$4)))&gt;indirect(address(row($C16),COLUMN($D$4))):indirect(address(row($C16),COLUMN($L$4))),TRUE()))</f>
        <v>0</v>
      </c>
      <c r="R16" s="49">
        <f t="array" ref="R16">if(R$3=$C16,"-", countif(indirect(address(row($C$4)+ VLOOKUP(R$3,$C$5:$C$16,1),COLUMN($D$4))):indirect(address(row($C$4)+ VLOOKUP(R$3,$C$5:$C$16,1),COLUMN($L$4)))&gt;indirect(address(row($C16),COLUMN($D$4))):indirect(address(row($C16),COLUMN($L$4))),TRUE()))</f>
        <v>0</v>
      </c>
      <c r="S16" s="49">
        <f t="array" ref="S16">if(S$3=$C16,"-", countif(indirect(address(row($C$4)+ VLOOKUP(S$3,$C$5:$C$16,1),COLUMN($D$4))):indirect(address(row($C$4)+ VLOOKUP(S$3,$C$5:$C$16,1),COLUMN($L$4)))&gt;indirect(address(row($C16),COLUMN($D$4))):indirect(address(row($C16),COLUMN($L$4))),TRUE()))</f>
        <v>0</v>
      </c>
      <c r="T16" s="49">
        <f t="array" ref="T16">if(T$3=$C16,"-", countif(indirect(address(row($C$4)+ VLOOKUP(T$3,$C$5:$C$16,1),COLUMN($D$4))):indirect(address(row($C$4)+ VLOOKUP(T$3,$C$5:$C$16,1),COLUMN($L$4)))&gt;indirect(address(row($C16),COLUMN($D$4))):indirect(address(row($C16),COLUMN($L$4))),TRUE()))</f>
        <v>0</v>
      </c>
      <c r="U16" s="49">
        <f t="array" ref="U16">if(U$3=$C16,"-", countif(indirect(address(row($C$4)+ VLOOKUP(U$3,$C$5:$C$16,1),COLUMN($D$4))):indirect(address(row($C$4)+ VLOOKUP(U$3,$C$5:$C$16,1),COLUMN($L$4)))&gt;indirect(address(row($C16),COLUMN($D$4))):indirect(address(row($C16),COLUMN($L$4))),TRUE()))</f>
        <v>0</v>
      </c>
      <c r="V16" s="49">
        <f t="array" ref="V16">if(V$3=$C16,"-", countif(indirect(address(row($C$4)+ VLOOKUP(V$3,$C$5:$C$16,1),COLUMN($D$4))):indirect(address(row($C$4)+ VLOOKUP(V$3,$C$5:$C$16,1),COLUMN($L$4)))&gt;indirect(address(row($C16),COLUMN($D$4))):indirect(address(row($C16),COLUMN($L$4))),TRUE()))</f>
        <v>0</v>
      </c>
      <c r="W16" s="49">
        <f t="array" ref="W16">if(W$3=$C16,"-", countif(indirect(address(row($C$4)+ VLOOKUP(W$3,$C$5:$C$16,1),COLUMN($D$4))):indirect(address(row($C$4)+ VLOOKUP(W$3,$C$5:$C$16,1),COLUMN($L$4)))&gt;indirect(address(row($C16),COLUMN($D$4))):indirect(address(row($C16),COLUMN($L$4))),TRUE()))</f>
        <v>0</v>
      </c>
      <c r="X16" s="49">
        <f t="array" ref="X16">if(X$3=$C16,"-", countif(indirect(address(row($C$4)+ VLOOKUP(X$3,$C$5:$C$16,1),COLUMN($D$4))):indirect(address(row($C$4)+ VLOOKUP(X$3,$C$5:$C$16,1),COLUMN($L$4)))&gt;indirect(address(row($C16),COLUMN($D$4))):indirect(address(row($C16),COLUMN($L$4))),TRUE()))</f>
        <v>0</v>
      </c>
      <c r="Y16" s="49">
        <f t="array" ref="Y16">if(D$1=$C16,"-", countif(indirect(address(row($C$4)+ VLOOKUP(D$1,$C$5:$C$16,1),COLUMN($D$4))):indirect(address(row($C$4)+ VLOOKUP(D$1,$C$5:$C$16,1),COLUMN($L$4)))&gt;indirect(address(row($C16),COLUMN($D$4))):indirect(address(row($C16),COLUMN($L$4))),TRUE()))</f>
        <v>0</v>
      </c>
      <c r="Z16" s="23">
        <f>SUM(X$5:X$16)/99</f>
        <v>0</v>
      </c>
    </row>
    <row r="19">
      <c r="D19" s="4" t="s">
        <v>2</v>
      </c>
      <c r="E19" s="6" t="s">
        <v>3</v>
      </c>
      <c r="F19" s="4" t="s">
        <v>5</v>
      </c>
      <c r="G19" s="4" t="s">
        <v>7</v>
      </c>
      <c r="H19" s="4" t="s">
        <v>9</v>
      </c>
      <c r="I19" s="4" t="s">
        <v>10</v>
      </c>
      <c r="J19" s="4" t="s">
        <v>12</v>
      </c>
      <c r="K19" s="4" t="s">
        <v>13</v>
      </c>
      <c r="L19" s="4" t="s">
        <v>15</v>
      </c>
    </row>
    <row r="20">
      <c r="C20" s="2" t="s">
        <v>224</v>
      </c>
    </row>
    <row r="21">
      <c r="C21" s="2"/>
    </row>
    <row r="24">
      <c r="C24" s="2"/>
    </row>
    <row r="25">
      <c r="C25" s="2" t="s">
        <v>74</v>
      </c>
    </row>
    <row r="26">
      <c r="C26" s="2" t="s">
        <v>225</v>
      </c>
    </row>
    <row r="31">
      <c r="C31" s="2" t="s">
        <v>74</v>
      </c>
    </row>
  </sheetData>
  <conditionalFormatting sqref="D5:L16">
    <cfRule type="cellIs" dxfId="2" priority="1" operator="equal">
      <formula>0</formula>
    </cfRule>
  </conditionalFormatting>
  <conditionalFormatting sqref="D5:L16">
    <cfRule type="colorScale" priority="2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Z5:Z16">
    <cfRule type="colorScale" priority="3">
      <colorScale>
        <cfvo type="min"/>
        <cfvo type="formula" val="0.5"/>
        <cfvo type="max"/>
        <color rgb="FFFF0000"/>
        <color rgb="FFFFFFFF"/>
        <color rgb="FF00FF00"/>
      </colorScale>
    </cfRule>
  </conditionalFormatting>
  <conditionalFormatting sqref="Y5:Y16">
    <cfRule type="colorScale" priority="4">
      <colorScale>
        <cfvo type="formula" val="2"/>
        <cfvo type="formula" val="4.5"/>
        <cfvo type="formula" val="8"/>
        <color rgb="FFFF0000"/>
        <color rgb="FFFFFFFF"/>
        <color rgb="FF00FF00"/>
      </colorScale>
    </cfRule>
  </conditionalFormatting>
  <dataValidations>
    <dataValidation type="list" allowBlank="1" sqref="C21:C24">
      <formula1>Trades!$C$6:$C$15</formula1>
    </dataValidation>
    <dataValidation type="list" allowBlank="1" sqref="C27:C30">
      <formula1>Trades!$C$7:$C$13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15" max="16" width="20.0"/>
    <col customWidth="1" min="17" max="17" width="6.13"/>
    <col customWidth="1" min="18" max="18" width="5.88"/>
    <col customWidth="1" min="19" max="19" width="5.75"/>
    <col customWidth="1" min="20" max="20" width="7.75"/>
    <col customWidth="1" min="21" max="29" width="6.63"/>
    <col customWidth="1" min="30" max="30" width="7.38"/>
    <col customWidth="1" min="31" max="31" width="4.75"/>
    <col customWidth="1" min="32" max="32" width="6.88"/>
    <col customWidth="1" min="33" max="33" width="4.75"/>
    <col customWidth="1" min="34" max="34" width="4.63"/>
    <col customWidth="1" min="35" max="35" width="4.75"/>
    <col customWidth="1" min="36" max="36" width="5.25"/>
    <col customWidth="1" min="37" max="37" width="4.75"/>
    <col customWidth="1" min="38" max="40" width="5.25"/>
  </cols>
  <sheetData>
    <row r="1">
      <c r="A1" s="2" t="s">
        <v>199</v>
      </c>
      <c r="B1" s="52">
        <f t="array" ref="B1">AVERAGE(INDIRECT("NO USAR2!$L$2:$L$"&amp;TEXT(N1,"0")))</f>
        <v>16.95302013</v>
      </c>
      <c r="C1" s="52">
        <f t="array" ref="C1">AVERAGE(INDIRECT("NO USAR2!$K$2:$K$"&amp;TEXT(N1,"0")))</f>
        <v>1.613422819</v>
      </c>
      <c r="D1" s="52">
        <f t="array" ref="D1">AVERAGE(INDIRECT("NO USAR2!$M$2:$M$"&amp;TEXT(N1,"0")))</f>
        <v>6.074496644</v>
      </c>
      <c r="E1" s="52">
        <f t="array" ref="E1">AVERAGE(INDIRECT("NO USAR2!$N$2:$N$"&amp;TEXT(N1,"0")))</f>
        <v>3.702013423</v>
      </c>
      <c r="F1" s="52">
        <f t="array" ref="F1">AVERAGE(INDIRECT("NO USAR2!$O$2:$O$"&amp;TEXT(N1,"0")))</f>
        <v>1.004026846</v>
      </c>
      <c r="G1" s="52">
        <f t="array" ref="G1">AVERAGE(INDIRECT("NO USAR2!$P$2:$P$"&amp;TEXT(N1,"0")))</f>
        <v>0.6973154362</v>
      </c>
      <c r="H1" s="52">
        <f t="array" ref="H1">AVERAGE(INDIRECT("NO USAR2!$H$2:$H$"&amp;TEXT(N1,"0")))</f>
        <v>0.488696555</v>
      </c>
      <c r="I1" s="37">
        <f t="array" ref="I1">AVERAGE(INDIRECT("I4:I"&amp;TEXT(N1,"0")))</f>
        <v>13.04353741</v>
      </c>
      <c r="J1" s="52">
        <f t="array" ref="J1">AVERAGE(INDIRECT("NO USAR2!$J$2:$J$"&amp;TEXT(N1,"0")))</f>
        <v>0.7905452312</v>
      </c>
      <c r="K1" s="37">
        <f t="array" ref="K1">AVERAGE(INDIRECT("K4:K"&amp;TEXT(N1,"0")))</f>
        <v>3.587755102</v>
      </c>
      <c r="L1" s="52">
        <f t="array" ref="L1">AVERAGE(INDIRECT("NO USAR2!$q$2:$q$"&amp;TEXT(N1,"0")))</f>
        <v>2.020805369</v>
      </c>
      <c r="M1" s="52">
        <f>SUM('NO USAR2'!R2:R202)</f>
        <v>0</v>
      </c>
      <c r="N1" s="53">
        <f>Team!Z1</f>
        <v>150</v>
      </c>
    </row>
    <row r="2">
      <c r="A2" s="2" t="s">
        <v>200</v>
      </c>
      <c r="B2">
        <f t="array" ref="B2">STDEV(INDIRECT("NO USAR2!$L$2:$L$"&amp;TEXT(N1,"0")))</f>
        <v>5.633065473</v>
      </c>
      <c r="C2">
        <f t="array" ref="C2">STDEV(INDIRECT("NO USAR2!$K$2:$K$"&amp;TEXT(N1,"0")))</f>
        <v>1.000044439</v>
      </c>
      <c r="D2">
        <f t="array" ref="D2">STDEV(INDIRECT("NO USAR2!$M$2:$M$"&amp;TEXT(N1,"0")))</f>
        <v>2.449687083</v>
      </c>
      <c r="E2">
        <f t="array" ref="E2">STDEV(INDIRECT("NO USAR2!$N$2:$N$"&amp;TEXT(N1,"0")))</f>
        <v>2.19031868</v>
      </c>
      <c r="F2">
        <f t="array" ref="F2">STDEV(INDIRECT("NO USAR2!$O$2:$O$"&amp;TEXT(N1,"0")))</f>
        <v>0.3057730996</v>
      </c>
      <c r="G2">
        <f t="array" ref="G2">STDEV(INDIRECT("NO USAR2!$P$2:$P$"&amp;TEXT(N1,"0")))</f>
        <v>0.4854569189</v>
      </c>
      <c r="H2">
        <f t="array" ref="H2">STDEV(INDIRECT("NO USAR2!$H$2:$H$"&amp;TEXT(N1,"0")))</f>
        <v>0.06606078732</v>
      </c>
      <c r="J2">
        <f t="array" ref="J2">STDEV(INDIRECT("NO USAR2!$J$2:$J$"&amp;TEXT(N1,"0")))</f>
        <v>0.08479943471</v>
      </c>
      <c r="L2">
        <f t="array" ref="L2">STDEV(INDIRECT("NO USAR2!$q$2:$q$"&amp;TEXT(N1,"0")))</f>
        <v>0.9060811944</v>
      </c>
      <c r="O2" s="54" t="s">
        <v>33</v>
      </c>
      <c r="P2" s="54"/>
      <c r="Q2" s="54" t="s">
        <v>34</v>
      </c>
      <c r="R2" s="54" t="s">
        <v>35</v>
      </c>
      <c r="S2" s="54" t="s">
        <v>36</v>
      </c>
      <c r="T2" s="54"/>
      <c r="U2" s="54" t="s">
        <v>37</v>
      </c>
    </row>
    <row r="3">
      <c r="A3" t="str">
        <f>'NO USAR2'!B1</f>
        <v>NAME</v>
      </c>
      <c r="B3" s="55" t="s">
        <v>90</v>
      </c>
      <c r="C3" s="55" t="s">
        <v>92</v>
      </c>
      <c r="D3" s="55" t="s">
        <v>93</v>
      </c>
      <c r="E3" s="55" t="s">
        <v>95</v>
      </c>
      <c r="F3" s="55" t="s">
        <v>96</v>
      </c>
      <c r="G3" s="55" t="s">
        <v>98</v>
      </c>
      <c r="H3" s="55" t="s">
        <v>100</v>
      </c>
      <c r="I3" s="55" t="s">
        <v>201</v>
      </c>
      <c r="J3" s="55" t="s">
        <v>102</v>
      </c>
      <c r="K3" s="55" t="s">
        <v>202</v>
      </c>
      <c r="L3" s="55" t="s">
        <v>103</v>
      </c>
      <c r="N3" s="56"/>
      <c r="O3" s="57" t="s">
        <v>33</v>
      </c>
      <c r="P3" s="57"/>
      <c r="Q3" s="57"/>
      <c r="R3" s="57" t="s">
        <v>35</v>
      </c>
      <c r="S3" s="57" t="s">
        <v>36</v>
      </c>
      <c r="T3" s="57"/>
      <c r="U3" s="57" t="s">
        <v>37</v>
      </c>
    </row>
    <row r="4">
      <c r="A4" t="str">
        <f>IF('NO USAR2'!B2="",ROW('NO USAR2'!B2),'NO USAR2'!B2)</f>
        <v>Nikola Jokic</v>
      </c>
      <c r="B4" s="58">
        <f>IF(TYPE($A4)=1,"",('NO USAR2'!$L2-B$1)/B$2)</f>
        <v>1.659306094</v>
      </c>
      <c r="C4" s="58">
        <f>IF(TYPE($A4)=1,"",('NO USAR2'!$K2-C$1)/C$2)</f>
        <v>-0.4134044473</v>
      </c>
      <c r="D4" s="58">
        <f>IF(TYPE($A4)=1,"",('NO USAR2'!$M2-D$1)/D$2)</f>
        <v>3.153669466</v>
      </c>
      <c r="E4" s="58">
        <f>IF(TYPE($A4)=1,"",('NO USAR2'!$N2-E$1)/E$2)</f>
        <v>2.144887235</v>
      </c>
      <c r="F4" s="58">
        <f>IF(TYPE($A4)=1,"",('NO USAR2'!$O2-F$1)/F$2)</f>
        <v>1.294990157</v>
      </c>
      <c r="G4" s="58">
        <f>IF(TYPE($A4)=1,"",('NO USAR2'!$P2-G$1)/G$2)</f>
        <v>0.4175129777</v>
      </c>
      <c r="H4" s="58">
        <f>IF(TYPE($A4)=1,"",('NO USAR2'!$H2-H$1)/H$2*I4/$I$1)</f>
        <v>1.853014153</v>
      </c>
      <c r="I4" s="58">
        <f>IF(TYPE($A4)=1,"",IF('NO USAR2'!H2=0,0,'NO USAR2'!G2/'NO USAR2'!H2))</f>
        <v>17.4</v>
      </c>
      <c r="J4" s="59">
        <f>IF(TYPE($A4)=1,"",('NO USAR2'!$J2-J$1)/J$2*K4/$K$1)</f>
        <v>0.8438369258</v>
      </c>
      <c r="K4" s="60">
        <f>IF(TYPE($A4)=1,"",IF('NO USAR2'!J2=0,0,'NO USAR2'!I2/'NO USAR2'!J2))</f>
        <v>6</v>
      </c>
      <c r="L4" s="58">
        <f>IF(TYPE($A4)=1,"",-('NO USAR2'!$Q2-L$1)/L$2)</f>
        <v>-2.073980392</v>
      </c>
    </row>
    <row r="5">
      <c r="A5" t="str">
        <f>IF('NO USAR2'!B3="",ROW('NO USAR2'!B3),'NO USAR2'!B3)</f>
        <v>Kevin Durant</v>
      </c>
      <c r="B5" s="58">
        <f>IF(TYPE($A5)=1,"",('NO USAR2'!$L3-B$1)/B$2)</f>
        <v>2.174123472</v>
      </c>
      <c r="C5" s="58">
        <f>IF(TYPE($A5)=1,"",('NO USAR2'!$K3-C$1)/C$2)</f>
        <v>0.486555559</v>
      </c>
      <c r="D5" s="58">
        <f>IF(TYPE($A5)=1,"",('NO USAR2'!$M3-D$1)/D$2)</f>
        <v>0.459447806</v>
      </c>
      <c r="E5" s="58">
        <f>IF(TYPE($A5)=1,"",('NO USAR2'!$N3-E$1)/E$2)</f>
        <v>1.186122641</v>
      </c>
      <c r="F5" s="58">
        <f>IF(TYPE($A5)=1,"",('NO USAR2'!$O3-F$1)/F$2)</f>
        <v>-0.3402092786</v>
      </c>
      <c r="G5" s="58">
        <f>IF(TYPE($A5)=1,"",('NO USAR2'!$P3-G$1)/G$2)</f>
        <v>0.4175129777</v>
      </c>
      <c r="H5" s="58">
        <f>IF(TYPE($A5)=1,"",('NO USAR2'!$H3-H$1)/H$2*I5/$I$1)</f>
        <v>0.7239556368</v>
      </c>
      <c r="I5" s="58">
        <f>IF(TYPE($A5)=1,"",IF('NO USAR2'!H3=0,0,'NO USAR2'!G3/'NO USAR2'!H3))</f>
        <v>19.8</v>
      </c>
      <c r="J5" s="59">
        <f>IF(TYPE($A5)=1,"",('NO USAR2'!$J3-J$1)/J$2*K5/$K$1)</f>
        <v>2.72489117</v>
      </c>
      <c r="K5" s="60">
        <f>IF(TYPE($A5)=1,"",IF('NO USAR2'!J3=0,0,'NO USAR2'!I3/'NO USAR2'!J3))</f>
        <v>7.3</v>
      </c>
      <c r="L5" s="58">
        <f>IF(TYPE($A5)=1,"",-('NO USAR2'!$Q3-L$1)/L$2)</f>
        <v>-1.522153466</v>
      </c>
    </row>
    <row r="6">
      <c r="A6" t="str">
        <f>IF('NO USAR2'!B4="",ROW('NO USAR2'!B4),'NO USAR2'!B4)</f>
        <v>Joel Embiid</v>
      </c>
      <c r="B6" s="58">
        <f>IF(TYPE($A6)=1,"",('NO USAR2'!$L4-B$1)/B$2)</f>
        <v>2.387151353</v>
      </c>
      <c r="C6" s="58">
        <f>IF(TYPE($A6)=1,"",('NO USAR2'!$K4-C$1)/C$2)</f>
        <v>-0.3134088911</v>
      </c>
      <c r="D6" s="58">
        <f>IF(TYPE($A6)=1,"",('NO USAR2'!$M4-D$1)/D$2)</f>
        <v>2.3780602</v>
      </c>
      <c r="E6" s="58">
        <f>IF(TYPE($A6)=1,"",('NO USAR2'!$N4-E$1)/E$2)</f>
        <v>0.1360471332</v>
      </c>
      <c r="F6" s="58">
        <f>IF(TYPE($A6)=1,"",('NO USAR2'!$O4-F$1)/F$2)</f>
        <v>0.3138704957</v>
      </c>
      <c r="G6" s="58">
        <f>IF(TYPE($A6)=1,"",('NO USAR2'!$P4-G$1)/G$2)</f>
        <v>1.653461991</v>
      </c>
      <c r="H6" s="58">
        <f>IF(TYPE($A6)=1,"",('NO USAR2'!$H4-H$1)/H$2*I6/$I$1)</f>
        <v>0.1436846312</v>
      </c>
      <c r="I6" s="58">
        <f>IF(TYPE($A6)=1,"",IF('NO USAR2'!H4=0,0,'NO USAR2'!G4/'NO USAR2'!H4))</f>
        <v>19.8</v>
      </c>
      <c r="J6" s="59">
        <f>IF(TYPE($A6)=1,"",('NO USAR2'!$J4-J$1)/J$2*K6/$K$1)</f>
        <v>1.083604214</v>
      </c>
      <c r="K6" s="60">
        <f>IF(TYPE($A6)=1,"",IF('NO USAR2'!J4=0,0,'NO USAR2'!I4/'NO USAR2'!J4))</f>
        <v>11.6</v>
      </c>
      <c r="L6" s="58">
        <f>IF(TYPE($A6)=1,"",-('NO USAR2'!$Q4-L$1)/L$2)</f>
        <v>-1.301422696</v>
      </c>
    </row>
    <row r="7">
      <c r="A7" t="str">
        <f>IF('NO USAR2'!B5="",ROW('NO USAR2'!B5),'NO USAR2'!B5)</f>
        <v>James Harden</v>
      </c>
      <c r="B7" s="58">
        <f>IF(TYPE($A7)=1,"",('NO USAR2'!$L5-B$1)/B$2)</f>
        <v>0.9137085109</v>
      </c>
      <c r="C7" s="58">
        <f>IF(TYPE($A7)=1,"",('NO USAR2'!$K5-C$1)/C$2)</f>
        <v>0.6865466715</v>
      </c>
      <c r="D7" s="58">
        <f>IF(TYPE($A7)=1,"",('NO USAR2'!$M5-D$1)/D$2)</f>
        <v>0.5819124269</v>
      </c>
      <c r="E7" s="58">
        <f>IF(TYPE($A7)=1,"",('NO USAR2'!$N5-E$1)/E$2)</f>
        <v>2.966685459</v>
      </c>
      <c r="F7" s="58">
        <f>IF(TYPE($A7)=1,"",('NO USAR2'!$O5-F$1)/F$2)</f>
        <v>0.96795027</v>
      </c>
      <c r="G7" s="58">
        <f>IF(TYPE($A7)=1,"",('NO USAR2'!$P5-G$1)/G$2)</f>
        <v>-0.200461529</v>
      </c>
      <c r="H7" s="58">
        <f>IF(TYPE($A7)=1,"",('NO USAR2'!$H5-H$1)/H$2*I7/$I$1)</f>
        <v>-0.7421562644</v>
      </c>
      <c r="I7" s="58">
        <f>IF(TYPE($A7)=1,"",IF('NO USAR2'!H5=0,0,'NO USAR2'!G5/'NO USAR2'!H5))</f>
        <v>14.2</v>
      </c>
      <c r="J7" s="59">
        <f>IF(TYPE($A7)=1,"",('NO USAR2'!$J5-J$1)/J$2*K7/$K$1)</f>
        <v>2.358434251</v>
      </c>
      <c r="K7" s="60">
        <f>IF(TYPE($A7)=1,"",IF('NO USAR2'!J5=0,0,'NO USAR2'!I5/'NO USAR2'!J5))</f>
        <v>8.2</v>
      </c>
      <c r="L7" s="58">
        <f>IF(TYPE($A7)=1,"",-('NO USAR2'!$Q5-L$1)/L$2)</f>
        <v>-2.625807318</v>
      </c>
    </row>
    <row r="8">
      <c r="A8" t="str">
        <f>IF('NO USAR2'!B6="",ROW('NO USAR2'!B6),'NO USAR2'!B6)</f>
        <v>Giannis Antetokounmpo</v>
      </c>
      <c r="B8" s="58">
        <f>IF(TYPE($A8)=1,"",('NO USAR2'!$L6-B$1)/B$2)</f>
        <v>2.369399029</v>
      </c>
      <c r="C8" s="58">
        <f>IF(TYPE($A8)=1,"",('NO USAR2'!$K6-C$1)/C$2)</f>
        <v>-0.5134000036</v>
      </c>
      <c r="D8" s="58">
        <f>IF(TYPE($A8)=1,"",('NO USAR2'!$M6-D$1)/D$2)</f>
        <v>2.33723866</v>
      </c>
      <c r="E8" s="58">
        <f>IF(TYPE($A8)=1,"",('NO USAR2'!$N6-E$1)/E$2)</f>
        <v>1.003500814</v>
      </c>
      <c r="F8" s="58">
        <f>IF(TYPE($A8)=1,"",('NO USAR2'!$O6-F$1)/F$2)</f>
        <v>0.3138704957</v>
      </c>
      <c r="G8" s="58">
        <f>IF(TYPE($A8)=1,"",('NO USAR2'!$P6-G$1)/G$2)</f>
        <v>1.447470489</v>
      </c>
      <c r="H8" s="58">
        <f>IF(TYPE($A8)=1,"",('NO USAR2'!$H6-H$1)/H$2*I8/$I$1)</f>
        <v>1.407162721</v>
      </c>
      <c r="I8" s="58">
        <f>IF(TYPE($A8)=1,"",IF('NO USAR2'!H6=0,0,'NO USAR2'!G6/'NO USAR2'!H6))</f>
        <v>18.8</v>
      </c>
      <c r="J8" s="59">
        <f>IF(TYPE($A8)=1,"",('NO USAR2'!$J6-J$1)/J$2*K8/$K$1)</f>
        <v>-2.531967143</v>
      </c>
      <c r="K8" s="60">
        <f>IF(TYPE($A8)=1,"",IF('NO USAR2'!J6=0,0,'NO USAR2'!I6/'NO USAR2'!J6))</f>
        <v>11.6</v>
      </c>
      <c r="L8" s="58">
        <f>IF(TYPE($A8)=1,"",-('NO USAR2'!$Q6-L$1)/L$2)</f>
        <v>-1.522153466</v>
      </c>
    </row>
    <row r="9">
      <c r="A9" t="str">
        <f>IF('NO USAR2'!B7="",ROW('NO USAR2'!B7),'NO USAR2'!B7)</f>
        <v>LeBron James</v>
      </c>
      <c r="B9" s="58">
        <f>IF(TYPE($A9)=1,"",('NO USAR2'!$L7-B$1)/B$2)</f>
        <v>1.890086298</v>
      </c>
      <c r="C9" s="58">
        <f>IF(TYPE($A9)=1,"",('NO USAR2'!$K7-C$1)/C$2)</f>
        <v>1.086528896</v>
      </c>
      <c r="D9" s="58">
        <f>IF(TYPE($A9)=1,"",('NO USAR2'!$M7-D$1)/D$2)</f>
        <v>0.5819124269</v>
      </c>
      <c r="E9" s="58">
        <f>IF(TYPE($A9)=1,"",('NO USAR2'!$N7-E$1)/E$2)</f>
        <v>1.094811727</v>
      </c>
      <c r="F9" s="58">
        <f>IF(TYPE($A9)=1,"",('NO USAR2'!$O7-F$1)/F$2)</f>
        <v>0.6409103829</v>
      </c>
      <c r="G9" s="58">
        <f>IF(TYPE($A9)=1,"",('NO USAR2'!$P7-G$1)/G$2)</f>
        <v>0.62350448</v>
      </c>
      <c r="H9" s="58">
        <f>IF(TYPE($A9)=1,"",('NO USAR2'!$H7-H$1)/H$2*I9/$I$1)</f>
        <v>0.7832945496</v>
      </c>
      <c r="I9" s="58">
        <f>IF(TYPE($A9)=1,"",IF('NO USAR2'!H7=0,0,'NO USAR2'!G7/'NO USAR2'!H7))</f>
        <v>19.9</v>
      </c>
      <c r="J9" s="59">
        <f>IF(TYPE($A9)=1,"",('NO USAR2'!$J7-J$1)/J$2*K9/$K$1)</f>
        <v>-0.8151429601</v>
      </c>
      <c r="K9" s="60">
        <f>IF(TYPE($A9)=1,"",IF('NO USAR2'!J7=0,0,'NO USAR2'!I7/'NO USAR2'!J7))</f>
        <v>5.5</v>
      </c>
      <c r="L9" s="58">
        <f>IF(TYPE($A9)=1,"",-('NO USAR2'!$Q7-L$1)/L$2)</f>
        <v>-1.301422696</v>
      </c>
      <c r="U9" s="61">
        <v>2.0</v>
      </c>
    </row>
    <row r="10">
      <c r="A10" t="str">
        <f>IF('NO USAR2'!B8="",ROW('NO USAR2'!B8),'NO USAR2'!B8)</f>
        <v>Stephen Curry</v>
      </c>
      <c r="B10" s="58">
        <f>IF(TYPE($A10)=1,"",('NO USAR2'!$L8-B$1)/B$2)</f>
        <v>1.446278213</v>
      </c>
      <c r="C10" s="58">
        <f>IF(TYPE($A10)=1,"",('NO USAR2'!$K8-C$1)/C$2)</f>
        <v>2.986444465</v>
      </c>
      <c r="D10" s="58">
        <f>IF(TYPE($A10)=1,"",('NO USAR2'!$M8-D$1)/D$2)</f>
        <v>-0.3161614598</v>
      </c>
      <c r="E10" s="58">
        <f>IF(TYPE($A10)=1,"",('NO USAR2'!$N8-E$1)/E$2)</f>
        <v>1.231778098</v>
      </c>
      <c r="F10" s="58">
        <f>IF(TYPE($A10)=1,"",('NO USAR2'!$O8-F$1)/F$2)</f>
        <v>0.6409103829</v>
      </c>
      <c r="G10" s="58">
        <f>IF(TYPE($A10)=1,"",('NO USAR2'!$P8-G$1)/G$2)</f>
        <v>-0.6124445335</v>
      </c>
      <c r="H10" s="58">
        <f>IF(TYPE($A10)=1,"",('NO USAR2'!$H8-H$1)/H$2*I10/$I$1)</f>
        <v>-1.035222752</v>
      </c>
      <c r="I10" s="58">
        <f>IF(TYPE($A10)=1,"",IF('NO USAR2'!H8=0,0,'NO USAR2'!G8/'NO USAR2'!H8))</f>
        <v>18.4</v>
      </c>
      <c r="J10" s="59">
        <f>IF(TYPE($A10)=1,"",('NO USAR2'!$J8-J$1)/J$2*K10/$K$1)</f>
        <v>1.989822762</v>
      </c>
      <c r="K10" s="60">
        <f>IF(TYPE($A10)=1,"",IF('NO USAR2'!J8=0,0,'NO USAR2'!I8/'NO USAR2'!J8))</f>
        <v>4.8</v>
      </c>
      <c r="L10" s="58">
        <f>IF(TYPE($A10)=1,"",-('NO USAR2'!$Q8-L$1)/L$2)</f>
        <v>-1.411788081</v>
      </c>
      <c r="U10" s="62">
        <v>1.5</v>
      </c>
    </row>
    <row r="11">
      <c r="A11" t="str">
        <f>IF('NO USAR2'!B9="",ROW('NO USAR2'!B9),'NO USAR2'!B9)</f>
        <v>Karl-Anthony Towns</v>
      </c>
      <c r="B11" s="58">
        <f>IF(TYPE($A11)=1,"",('NO USAR2'!$L9-B$1)/B$2)</f>
        <v>1.144488715</v>
      </c>
      <c r="C11" s="58">
        <f>IF(TYPE($A11)=1,"",('NO USAR2'!$K9-C$1)/C$2)</f>
        <v>0.5865511152</v>
      </c>
      <c r="D11" s="58">
        <f>IF(TYPE($A11)=1,"",('NO USAR2'!$M9-D$1)/D$2)</f>
        <v>1.071770911</v>
      </c>
      <c r="E11" s="58">
        <f>IF(TYPE($A11)=1,"",('NO USAR2'!$N9-E$1)/E$2)</f>
        <v>-0.0009192373865</v>
      </c>
      <c r="F11" s="58">
        <f>IF(TYPE($A11)=1,"",('NO USAR2'!$O9-F$1)/F$2)</f>
        <v>-0.01316939143</v>
      </c>
      <c r="G11" s="58">
        <f>IF(TYPE($A11)=1,"",('NO USAR2'!$P9-G$1)/G$2)</f>
        <v>0.62350448</v>
      </c>
      <c r="H11" s="58">
        <f>IF(TYPE($A11)=1,"",('NO USAR2'!$H9-H$1)/H$2*I11/$I$1)</f>
        <v>0.4960900314</v>
      </c>
      <c r="I11" s="58">
        <f>IF(TYPE($A11)=1,"",IF('NO USAR2'!H9=0,0,'NO USAR2'!G9/'NO USAR2'!H9))</f>
        <v>15.7</v>
      </c>
      <c r="J11" s="59">
        <f>IF(TYPE($A11)=1,"",('NO USAR2'!$J9-J$1)/J$2*K11/$K$1)</f>
        <v>0.8438369258</v>
      </c>
      <c r="K11" s="60">
        <f>IF(TYPE($A11)=1,"",IF('NO USAR2'!J9=0,0,'NO USAR2'!I9/'NO USAR2'!J9))</f>
        <v>6</v>
      </c>
      <c r="L11" s="58">
        <f>IF(TYPE($A11)=1,"",-('NO USAR2'!$Q9-L$1)/L$2)</f>
        <v>-1.301422696</v>
      </c>
      <c r="U11" s="63">
        <v>1.25</v>
      </c>
      <c r="Y11" s="55"/>
      <c r="Z11" s="64"/>
    </row>
    <row r="12">
      <c r="A12" t="str">
        <f>IF('NO USAR2'!B10="",ROW('NO USAR2'!B10),'NO USAR2'!B10)</f>
        <v>Kyrie Irving</v>
      </c>
      <c r="B12" s="58">
        <f>IF(TYPE($A12)=1,"",('NO USAR2'!$L10-B$1)/B$2)</f>
        <v>1.712563064</v>
      </c>
      <c r="C12" s="58">
        <f>IF(TYPE($A12)=1,"",('NO USAR2'!$K10-C$1)/C$2)</f>
        <v>1.486511122</v>
      </c>
      <c r="D12" s="58">
        <f>IF(TYPE($A12)=1,"",('NO USAR2'!$M10-D$1)/D$2)</f>
        <v>-0.8468414838</v>
      </c>
      <c r="E12" s="58">
        <f>IF(TYPE($A12)=1,"",('NO USAR2'!$N10-E$1)/E$2)</f>
        <v>0.6839126156</v>
      </c>
      <c r="F12" s="58">
        <f>IF(TYPE($A12)=1,"",('NO USAR2'!$O10-F$1)/F$2)</f>
        <v>0.6409103829</v>
      </c>
      <c r="G12" s="58">
        <f>IF(TYPE($A12)=1,"",('NO USAR2'!$P10-G$1)/G$2)</f>
        <v>-0.200461529</v>
      </c>
      <c r="H12" s="58">
        <f>IF(TYPE($A12)=1,"",('NO USAR2'!$H10-H$1)/H$2*I12/$I$1)</f>
        <v>-0.4828071643</v>
      </c>
      <c r="I12" s="58">
        <f>IF(TYPE($A12)=1,"",IF('NO USAR2'!H10=0,0,'NO USAR2'!G10/'NO USAR2'!H10))</f>
        <v>20.7</v>
      </c>
      <c r="J12" s="59">
        <f>IF(TYPE($A12)=1,"",('NO USAR2'!$J10-J$1)/J$2*K12/$K$1)</f>
        <v>2.043129735</v>
      </c>
      <c r="K12" s="60">
        <f>IF(TYPE($A12)=1,"",IF('NO USAR2'!J10=0,0,'NO USAR2'!I10/'NO USAR2'!J10))</f>
        <v>4.4</v>
      </c>
      <c r="L12" s="58">
        <f>IF(TYPE($A12)=1,"",-('NO USAR2'!$Q10-L$1)/L$2)</f>
        <v>-0.528865</v>
      </c>
      <c r="M12" t="str">
        <f t="array" ref="M12:M31">transpose(Projections!J5:AC5)</f>
        <v>Pos</v>
      </c>
      <c r="U12" s="61">
        <v>1.0</v>
      </c>
      <c r="Y12" s="65"/>
      <c r="Z12" s="65"/>
    </row>
    <row r="13">
      <c r="A13" t="str">
        <f>IF('NO USAR2'!B11="",ROW('NO USAR2'!B11),'NO USAR2'!B11)</f>
        <v>Luka Doncic</v>
      </c>
      <c r="B13" s="58">
        <f>IF(TYPE($A13)=1,"",('NO USAR2'!$L11-B$1)/B$2)</f>
        <v>2.351646706</v>
      </c>
      <c r="C13" s="58">
        <f>IF(TYPE($A13)=1,"",('NO USAR2'!$K11-C$1)/C$2)</f>
        <v>1.586506678</v>
      </c>
      <c r="D13" s="58">
        <f>IF(TYPE($A13)=1,"",('NO USAR2'!$M11-D$1)/D$2)</f>
        <v>1.357521693</v>
      </c>
      <c r="E13" s="58">
        <f>IF(TYPE($A13)=1,"",('NO USAR2'!$N11-E$1)/E$2)</f>
        <v>2.37316452</v>
      </c>
      <c r="F13" s="58">
        <f>IF(TYPE($A13)=1,"",('NO USAR2'!$O11-F$1)/F$2)</f>
        <v>0.6409103829</v>
      </c>
      <c r="G13" s="58">
        <f>IF(TYPE($A13)=1,"",('NO USAR2'!$P11-G$1)/G$2)</f>
        <v>-0.200461529</v>
      </c>
      <c r="H13" s="58">
        <f>IF(TYPE($A13)=1,"",('NO USAR2'!$H11-H$1)/H$2*I13/$I$1)</f>
        <v>-0.7401473599</v>
      </c>
      <c r="I13" s="58">
        <f>IF(TYPE($A13)=1,"",IF('NO USAR2'!H11=0,0,'NO USAR2'!G11/'NO USAR2'!H11))</f>
        <v>23.2</v>
      </c>
      <c r="J13" s="59">
        <f>IF(TYPE($A13)=1,"",('NO USAR2'!$J11-J$1)/J$2*K13/$K$1)</f>
        <v>-1.272675466</v>
      </c>
      <c r="K13" s="60">
        <f>IF(TYPE($A13)=1,"",IF('NO USAR2'!J11=0,0,'NO USAR2'!I11/'NO USAR2'!J11))</f>
        <v>7.7</v>
      </c>
      <c r="L13" s="58">
        <f>IF(TYPE($A13)=1,"",-('NO USAR2'!$Q11-L$1)/L$2)</f>
        <v>-2.846538088</v>
      </c>
      <c r="M13" t="s">
        <v>83</v>
      </c>
      <c r="U13" s="63">
        <v>0.75</v>
      </c>
    </row>
    <row r="14">
      <c r="A14" t="str">
        <f>IF('NO USAR2'!B12="",ROW('NO USAR2'!B12),'NO USAR2'!B12)</f>
        <v>Trae Young</v>
      </c>
      <c r="B14" s="58">
        <f>IF(TYPE($A14)=1,"",('NO USAR2'!$L12-B$1)/B$2)</f>
        <v>1.854581651</v>
      </c>
      <c r="C14" s="58">
        <f>IF(TYPE($A14)=1,"",('NO USAR2'!$K12-C$1)/C$2)</f>
        <v>1.386515565</v>
      </c>
      <c r="D14" s="58">
        <f>IF(TYPE($A14)=1,"",('NO USAR2'!$M12-D$1)/D$2)</f>
        <v>-0.9693061047</v>
      </c>
      <c r="E14" s="58">
        <f>IF(TYPE($A14)=1,"",('NO USAR2'!$N12-E$1)/E$2)</f>
        <v>2.281853606</v>
      </c>
      <c r="F14" s="58">
        <f>IF(TYPE($A14)=1,"",('NO USAR2'!$O12-F$1)/F$2)</f>
        <v>-0.3402092786</v>
      </c>
      <c r="G14" s="58">
        <f>IF(TYPE($A14)=1,"",('NO USAR2'!$P12-G$1)/G$2)</f>
        <v>-1.23041904</v>
      </c>
      <c r="H14" s="58">
        <f>IF(TYPE($A14)=1,"",('NO USAR2'!$H12-H$1)/H$2*I14/$I$1)</f>
        <v>-0.8981795542</v>
      </c>
      <c r="I14" s="58">
        <f>IF(TYPE($A14)=1,"",IF('NO USAR2'!H12=0,0,'NO USAR2'!G12/'NO USAR2'!H12))</f>
        <v>20</v>
      </c>
      <c r="J14" s="59">
        <f>IF(TYPE($A14)=1,"",('NO USAR2'!$J12-J$1)/J$2*K14/$K$1)</f>
        <v>2.847043477</v>
      </c>
      <c r="K14" s="60">
        <f>IF(TYPE($A14)=1,"",IF('NO USAR2'!J12=0,0,'NO USAR2'!I12/'NO USAR2'!J12))</f>
        <v>7</v>
      </c>
      <c r="L14" s="58">
        <f>IF(TYPE($A14)=1,"",-('NO USAR2'!$Q12-L$1)/L$2)</f>
        <v>-2.073980392</v>
      </c>
      <c r="M14" t="s">
        <v>40</v>
      </c>
      <c r="U14" s="63">
        <v>0.5</v>
      </c>
    </row>
    <row r="15">
      <c r="A15" t="str">
        <f>IF('NO USAR2'!B13="",ROW('NO USAR2'!B13),'NO USAR2'!B13)</f>
        <v>LaMelo Ball</v>
      </c>
      <c r="B15" s="58">
        <f>IF(TYPE($A15)=1,"",('NO USAR2'!$L13-B$1)/B$2)</f>
        <v>0.7716899238</v>
      </c>
      <c r="C15" s="58">
        <f>IF(TYPE($A15)=1,"",('NO USAR2'!$K13-C$1)/C$2)</f>
        <v>1.486511122</v>
      </c>
      <c r="D15" s="58">
        <f>IF(TYPE($A15)=1,"",('NO USAR2'!$M13-D$1)/D$2)</f>
        <v>0.3369831851</v>
      </c>
      <c r="E15" s="58">
        <f>IF(TYPE($A15)=1,"",('NO USAR2'!$N13-E$1)/E$2)</f>
        <v>2.053576321</v>
      </c>
      <c r="F15" s="58">
        <f>IF(TYPE($A15)=1,"",('NO USAR2'!$O13-F$1)/F$2)</f>
        <v>1.949069931</v>
      </c>
      <c r="G15" s="58">
        <f>IF(TYPE($A15)=1,"",('NO USAR2'!$P13-G$1)/G$2)</f>
        <v>-0.6124445335</v>
      </c>
      <c r="H15" s="58">
        <f>IF(TYPE($A15)=1,"",('NO USAR2'!$H13-H$1)/H$2*I15/$I$1)</f>
        <v>-1.159147827</v>
      </c>
      <c r="I15" s="58">
        <f>IF(TYPE($A15)=1,"",IF('NO USAR2'!H13=0,0,'NO USAR2'!G13/'NO USAR2'!H13))</f>
        <v>17.8</v>
      </c>
      <c r="J15" s="59">
        <f>IF(TYPE($A15)=1,"",('NO USAR2'!$J13-J$1)/J$2*K15/$K$1)</f>
        <v>0.6972997948</v>
      </c>
      <c r="K15" s="60">
        <f>IF(TYPE($A15)=1,"",IF('NO USAR2'!J13=0,0,'NO USAR2'!I13/'NO USAR2'!J13))</f>
        <v>3.4</v>
      </c>
      <c r="L15" s="58">
        <f>IF(TYPE($A15)=1,"",-('NO USAR2'!$Q13-L$1)/L$2)</f>
        <v>-1.632518852</v>
      </c>
      <c r="M15" t="s">
        <v>84</v>
      </c>
      <c r="U15" s="63">
        <v>0.25</v>
      </c>
    </row>
    <row r="16">
      <c r="A16" t="str">
        <f>IF('NO USAR2'!B14="",ROW('NO USAR2'!B14),'NO USAR2'!B14)</f>
        <v>Damian Lillard</v>
      </c>
      <c r="B16" s="58">
        <f>IF(TYPE($A16)=1,"",('NO USAR2'!$L14-B$1)/B$2)</f>
        <v>1.517287506</v>
      </c>
      <c r="C16" s="58">
        <f>IF(TYPE($A16)=1,"",('NO USAR2'!$K14-C$1)/C$2)</f>
        <v>1.886493347</v>
      </c>
      <c r="D16" s="58">
        <f>IF(TYPE($A16)=1,"",('NO USAR2'!$M14-D$1)/D$2)</f>
        <v>-0.7651984031</v>
      </c>
      <c r="E16" s="58">
        <f>IF(TYPE($A16)=1,"",('NO USAR2'!$N14-E$1)/E$2)</f>
        <v>1.733988123</v>
      </c>
      <c r="F16" s="58">
        <f>IF(TYPE($A16)=1,"",('NO USAR2'!$O14-F$1)/F$2)</f>
        <v>-0.3402092786</v>
      </c>
      <c r="G16" s="58">
        <f>IF(TYPE($A16)=1,"",('NO USAR2'!$P14-G$1)/G$2)</f>
        <v>-0.8184360358</v>
      </c>
      <c r="H16" s="58">
        <f>IF(TYPE($A16)=1,"",('NO USAR2'!$H14-H$1)/H$2*I16/$I$1)</f>
        <v>-1.037846376</v>
      </c>
      <c r="I16" s="58">
        <f>IF(TYPE($A16)=1,"",IF('NO USAR2'!H14=0,0,'NO USAR2'!G14/'NO USAR2'!H14))</f>
        <v>18.2</v>
      </c>
      <c r="J16" s="59">
        <f>IF(TYPE($A16)=1,"",('NO USAR2'!$J14-J$1)/J$2*K16/$K$1)</f>
        <v>2.311819172</v>
      </c>
      <c r="K16" s="60">
        <f>IF(TYPE($A16)=1,"",IF('NO USAR2'!J14=0,0,'NO USAR2'!I14/'NO USAR2'!J14))</f>
        <v>6.7</v>
      </c>
      <c r="L16" s="58">
        <f>IF(TYPE($A16)=1,"",-('NO USAR2'!$Q14-L$1)/L$2)</f>
        <v>-1.080691926</v>
      </c>
      <c r="M16" t="s">
        <v>2</v>
      </c>
      <c r="U16" s="63">
        <v>0.0</v>
      </c>
    </row>
    <row r="17">
      <c r="A17" t="str">
        <f>IF('NO USAR2'!B15="",ROW('NO USAR2'!B15),'NO USAR2'!B15)</f>
        <v>Jayson Tatum</v>
      </c>
      <c r="B17" s="58">
        <f>IF(TYPE($A17)=1,"",('NO USAR2'!$L15-B$1)/B$2)</f>
        <v>1.872333974</v>
      </c>
      <c r="C17" s="58">
        <f>IF(TYPE($A17)=1,"",('NO USAR2'!$K15-C$1)/C$2)</f>
        <v>1.486511122</v>
      </c>
      <c r="D17" s="58">
        <f>IF(TYPE($A17)=1,"",('NO USAR2'!$M15-D$1)/D$2)</f>
        <v>0.867663209</v>
      </c>
      <c r="E17" s="58">
        <f>IF(TYPE($A17)=1,"",('NO USAR2'!$N15-E$1)/E$2)</f>
        <v>0.4099798744</v>
      </c>
      <c r="F17" s="58">
        <f>IF(TYPE($A17)=1,"",('NO USAR2'!$O15-F$1)/F$2)</f>
        <v>-0.01316939143</v>
      </c>
      <c r="G17" s="58">
        <f>IF(TYPE($A17)=1,"",('NO USAR2'!$P15-G$1)/G$2)</f>
        <v>-0.200461529</v>
      </c>
      <c r="H17" s="58">
        <f>IF(TYPE($A17)=1,"",('NO USAR2'!$H15-H$1)/H$2*I17/$I$1)</f>
        <v>-0.8850614313</v>
      </c>
      <c r="I17" s="58">
        <f>IF(TYPE($A17)=1,"",IF('NO USAR2'!H15=0,0,'NO USAR2'!G15/'NO USAR2'!H15))</f>
        <v>21</v>
      </c>
      <c r="J17" s="59">
        <f>IF(TYPE($A17)=1,"",('NO USAR2'!$J15-J$1)/J$2*K17/$K$1)</f>
        <v>1.37906123</v>
      </c>
      <c r="K17" s="60">
        <f>IF(TYPE($A17)=1,"",IF('NO USAR2'!J15=0,0,'NO USAR2'!I15/'NO USAR2'!J15))</f>
        <v>6.3</v>
      </c>
      <c r="L17" s="58">
        <f>IF(TYPE($A17)=1,"",-('NO USAR2'!$Q15-L$1)/L$2)</f>
        <v>-1.080691926</v>
      </c>
      <c r="M17" t="s">
        <v>3</v>
      </c>
    </row>
    <row r="18">
      <c r="A18" t="str">
        <f>IF('NO USAR2'!B16="",ROW('NO USAR2'!B16),'NO USAR2'!B16)</f>
        <v>Anthony Davis</v>
      </c>
      <c r="B18" s="58">
        <f>IF(TYPE($A18)=1,"",('NO USAR2'!$L16-B$1)/B$2)</f>
        <v>1.215498009</v>
      </c>
      <c r="C18" s="58">
        <f>IF(TYPE($A18)=1,"",('NO USAR2'!$K16-C$1)/C$2)</f>
        <v>-1.313364454</v>
      </c>
      <c r="D18" s="58">
        <f>IF(TYPE($A18)=1,"",('NO USAR2'!$M16-D$1)/D$2)</f>
        <v>1.643272475</v>
      </c>
      <c r="E18" s="58">
        <f>IF(TYPE($A18)=1,"",('NO USAR2'!$N16-E$1)/E$2)</f>
        <v>-0.2291965217</v>
      </c>
      <c r="F18" s="58">
        <f>IF(TYPE($A18)=1,"",('NO USAR2'!$O16-F$1)/F$2)</f>
        <v>0.6409103829</v>
      </c>
      <c r="G18" s="58">
        <f>IF(TYPE($A18)=1,"",('NO USAR2'!$P16-G$1)/G$2)</f>
        <v>2.683419502</v>
      </c>
      <c r="H18" s="58">
        <f>IF(TYPE($A18)=1,"",('NO USAR2'!$H16-H$1)/H$2*I18/$I$1)</f>
        <v>0.9298277933</v>
      </c>
      <c r="I18" s="58">
        <f>IF(TYPE($A18)=1,"",IF('NO USAR2'!H16=0,0,'NO USAR2'!G16/'NO USAR2'!H16))</f>
        <v>17.8</v>
      </c>
      <c r="J18" s="59">
        <f>IF(TYPE($A18)=1,"",('NO USAR2'!$J16-J$1)/J$2*K18/$K$1)</f>
        <v>-1.319290545</v>
      </c>
      <c r="K18" s="60">
        <f>IF(TYPE($A18)=1,"",IF('NO USAR2'!J16=0,0,'NO USAR2'!I16/'NO USAR2'!J16))</f>
        <v>6.2</v>
      </c>
      <c r="L18" s="58">
        <f>IF(TYPE($A18)=1,"",-('NO USAR2'!$Q16-L$1)/L$2)</f>
        <v>-0.08740345939</v>
      </c>
      <c r="M18" t="s">
        <v>5</v>
      </c>
      <c r="Q18" s="54"/>
      <c r="R18" s="66"/>
      <c r="S18" s="54"/>
      <c r="T18" s="54"/>
      <c r="U18" s="54" t="s">
        <v>2</v>
      </c>
      <c r="V18" s="66">
        <v>3.0</v>
      </c>
      <c r="W18" s="54" t="s">
        <v>5</v>
      </c>
      <c r="X18" s="54" t="s">
        <v>7</v>
      </c>
      <c r="Y18" s="54" t="s">
        <v>9</v>
      </c>
      <c r="Z18" s="54" t="s">
        <v>32</v>
      </c>
      <c r="AA18" s="54" t="s">
        <v>12</v>
      </c>
      <c r="AB18" s="54" t="s">
        <v>13</v>
      </c>
      <c r="AC18" s="54" t="s">
        <v>15</v>
      </c>
    </row>
    <row r="19">
      <c r="A19" t="str">
        <f>IF('NO USAR2'!B17="",ROW('NO USAR2'!B17),'NO USAR2'!B17)</f>
        <v>Tyrese Haliburton</v>
      </c>
      <c r="B19" s="58">
        <f>IF(TYPE($A19)=1,"",('NO USAR2'!$L17-B$1)/B$2)</f>
        <v>0.3101295154</v>
      </c>
      <c r="C19" s="58">
        <f>IF(TYPE($A19)=1,"",('NO USAR2'!$K17-C$1)/C$2)</f>
        <v>0.5865511152</v>
      </c>
      <c r="D19" s="58">
        <f>IF(TYPE($A19)=1,"",('NO USAR2'!$M17-D$1)/D$2)</f>
        <v>-0.8060199435</v>
      </c>
      <c r="E19" s="58">
        <f>IF(TYPE($A19)=1,"",('NO USAR2'!$N17-E$1)/E$2)</f>
        <v>2.418819976</v>
      </c>
      <c r="F19" s="58">
        <f>IF(TYPE($A19)=1,"",('NO USAR2'!$O17-F$1)/F$2)</f>
        <v>1.949069931</v>
      </c>
      <c r="G19" s="58">
        <f>IF(TYPE($A19)=1,"",('NO USAR2'!$P17-G$1)/G$2)</f>
        <v>-0.200461529</v>
      </c>
      <c r="H19" s="58">
        <f>IF(TYPE($A19)=1,"",('NO USAR2'!$H17-H$1)/H$2*I19/$I$1)</f>
        <v>-0.27793946</v>
      </c>
      <c r="I19" s="58">
        <f>IF(TYPE($A19)=1,"",IF('NO USAR2'!H17=0,0,'NO USAR2'!G17/'NO USAR2'!H17))</f>
        <v>14.2</v>
      </c>
      <c r="J19" s="59">
        <f>IF(TYPE($A19)=1,"",('NO USAR2'!$J17-J$1)/J$2*K19/$K$1)</f>
        <v>0.7661451278</v>
      </c>
      <c r="K19" s="60">
        <f>IF(TYPE($A19)=1,"",IF('NO USAR2'!J17=0,0,'NO USAR2'!I17/'NO USAR2'!J17))</f>
        <v>3.5</v>
      </c>
      <c r="L19" s="58">
        <f>IF(TYPE($A19)=1,"",-('NO USAR2'!$Q17-L$1)/L$2)</f>
        <v>-0.6392303852</v>
      </c>
      <c r="M19" t="s">
        <v>7</v>
      </c>
      <c r="U19" s="2">
        <f>Projections!L3</f>
        <v>1.5</v>
      </c>
      <c r="V19" s="2">
        <f>Projections!M3</f>
        <v>1</v>
      </c>
      <c r="W19" s="2">
        <f>Projections!N3</f>
        <v>1</v>
      </c>
      <c r="X19" s="2">
        <f>Projections!O3</f>
        <v>1.25</v>
      </c>
      <c r="Y19" s="2">
        <f>Projections!P3</f>
        <v>1.25</v>
      </c>
      <c r="Z19" s="2">
        <f>Projections!Q3</f>
        <v>0</v>
      </c>
      <c r="AA19" s="2">
        <f>Projections!R3</f>
        <v>0</v>
      </c>
      <c r="AB19" s="2">
        <f>Projections!S3</f>
        <v>0.5</v>
      </c>
      <c r="AC19" s="2">
        <f>Projections!T3</f>
        <v>0</v>
      </c>
    </row>
    <row r="20">
      <c r="A20" t="str">
        <f>IF('NO USAR2'!B18="",ROW('NO USAR2'!B18),'NO USAR2'!B18)</f>
        <v>Kawhi Leonard</v>
      </c>
      <c r="B20" s="58">
        <f>IF(TYPE($A20)=1,"",('NO USAR2'!$L18-B$1)/B$2)</f>
        <v>1.162241038</v>
      </c>
      <c r="C20" s="58">
        <f>IF(TYPE($A20)=1,"",('NO USAR2'!$K18-C$1)/C$2)</f>
        <v>0.08657333394</v>
      </c>
      <c r="D20" s="58">
        <f>IF(TYPE($A20)=1,"",('NO USAR2'!$M18-D$1)/D$2)</f>
        <v>-0.03041067768</v>
      </c>
      <c r="E20" s="58">
        <f>IF(TYPE($A20)=1,"",('NO USAR2'!$N18-E$1)/E$2)</f>
        <v>0.3186689607</v>
      </c>
      <c r="F20" s="58">
        <f>IF(TYPE($A20)=1,"",('NO USAR2'!$O18-F$1)/F$2)</f>
        <v>1.294990157</v>
      </c>
      <c r="G20" s="58">
        <f>IF(TYPE($A20)=1,"",('NO USAR2'!$P18-G$1)/G$2)</f>
        <v>-0.6124445335</v>
      </c>
      <c r="H20" s="58">
        <f>IF(TYPE($A20)=1,"",('NO USAR2'!$H18-H$1)/H$2*I20/$I$1)</f>
        <v>0.1095775118</v>
      </c>
      <c r="I20" s="58">
        <f>IF(TYPE($A20)=1,"",IF('NO USAR2'!H18=0,0,'NO USAR2'!G18/'NO USAR2'!H18))</f>
        <v>17.2</v>
      </c>
      <c r="J20" s="59">
        <f>IF(TYPE($A20)=1,"",('NO USAR2'!$J18-J$1)/J$2*K20/$K$1)</f>
        <v>1.485675177</v>
      </c>
      <c r="K20" s="60">
        <f>IF(TYPE($A20)=1,"",IF('NO USAR2'!J18=0,0,'NO USAR2'!I18/'NO USAR2'!J18))</f>
        <v>5.5</v>
      </c>
      <c r="L20" s="58">
        <f>IF(TYPE($A20)=1,"",-('NO USAR2'!$Q18-L$1)/L$2)</f>
        <v>0.1333273109</v>
      </c>
      <c r="M20" t="s">
        <v>9</v>
      </c>
      <c r="N20" s="64" t="s">
        <v>76</v>
      </c>
      <c r="O20" s="64" t="s">
        <v>79</v>
      </c>
      <c r="P20" s="67" t="s">
        <v>81</v>
      </c>
      <c r="Q20" s="64" t="s">
        <v>82</v>
      </c>
      <c r="R20" s="56" t="s">
        <v>83</v>
      </c>
      <c r="S20" s="64" t="s">
        <v>40</v>
      </c>
      <c r="T20" s="67" t="s">
        <v>84</v>
      </c>
      <c r="U20" s="56" t="s">
        <v>2</v>
      </c>
      <c r="V20" s="56" t="s">
        <v>3</v>
      </c>
      <c r="W20" s="56" t="s">
        <v>5</v>
      </c>
      <c r="X20" s="56" t="s">
        <v>7</v>
      </c>
      <c r="Y20" s="56" t="s">
        <v>9</v>
      </c>
      <c r="Z20" s="56" t="s">
        <v>10</v>
      </c>
      <c r="AA20" s="56" t="s">
        <v>12</v>
      </c>
      <c r="AB20" s="56" t="s">
        <v>13</v>
      </c>
      <c r="AC20" s="67" t="s">
        <v>15</v>
      </c>
      <c r="AD20" s="55" t="s">
        <v>90</v>
      </c>
      <c r="AE20" s="55" t="s">
        <v>92</v>
      </c>
      <c r="AF20" s="55" t="s">
        <v>93</v>
      </c>
      <c r="AG20" s="55" t="s">
        <v>95</v>
      </c>
      <c r="AH20" s="55" t="s">
        <v>96</v>
      </c>
      <c r="AI20" s="55" t="s">
        <v>98</v>
      </c>
      <c r="AJ20" s="55" t="s">
        <v>100</v>
      </c>
      <c r="AK20" s="55" t="s">
        <v>102</v>
      </c>
      <c r="AL20" s="55" t="s">
        <v>103</v>
      </c>
      <c r="AM20" s="56" t="s">
        <v>203</v>
      </c>
      <c r="AN20" s="56" t="s">
        <v>204</v>
      </c>
    </row>
    <row r="21">
      <c r="A21" t="str">
        <f>IF('NO USAR2'!B19="",ROW('NO USAR2'!B19),'NO USAR2'!B19)</f>
        <v>Devin Booker</v>
      </c>
      <c r="B21" s="58">
        <f>IF(TYPE($A21)=1,"",('NO USAR2'!$L19-B$1)/B$2)</f>
        <v>1.819077004</v>
      </c>
      <c r="C21" s="58">
        <f>IF(TYPE($A21)=1,"",('NO USAR2'!$K19-C$1)/C$2)</f>
        <v>1.186524453</v>
      </c>
      <c r="D21" s="58">
        <f>IF(TYPE($A21)=1,"",('NO USAR2'!$M19-D$1)/D$2)</f>
        <v>-0.3569830001</v>
      </c>
      <c r="E21" s="58">
        <f>IF(TYPE($A21)=1,"",('NO USAR2'!$N19-E$1)/E$2)</f>
        <v>0.546946245</v>
      </c>
      <c r="F21" s="58">
        <f>IF(TYPE($A21)=1,"",('NO USAR2'!$O19-F$1)/F$2)</f>
        <v>0.3138704957</v>
      </c>
      <c r="G21" s="58">
        <f>IF(TYPE($A21)=1,"",('NO USAR2'!$P19-G$1)/G$2)</f>
        <v>-0.6124445335</v>
      </c>
      <c r="H21" s="58">
        <f>IF(TYPE($A21)=1,"",('NO USAR2'!$H19-H$1)/H$2*I21/$I$1)</f>
        <v>-0.4208446269</v>
      </c>
      <c r="I21" s="58">
        <f>IF(TYPE($A21)=1,"",IF('NO USAR2'!H19=0,0,'NO USAR2'!G19/'NO USAR2'!H19))</f>
        <v>21</v>
      </c>
      <c r="J21" s="59">
        <f>IF(TYPE($A21)=1,"",('NO USAR2'!$J19-J$1)/J$2*K21/$K$1)</f>
        <v>1.416829844</v>
      </c>
      <c r="K21" s="60">
        <f>IF(TYPE($A21)=1,"",IF('NO USAR2'!J19=0,0,'NO USAR2'!I19/'NO USAR2'!J19))</f>
        <v>5.4</v>
      </c>
      <c r="L21" s="58">
        <f>IF(TYPE($A21)=1,"",-('NO USAR2'!$Q19-L$1)/L$2)</f>
        <v>-0.528865</v>
      </c>
      <c r="M21" t="s">
        <v>10</v>
      </c>
      <c r="N21" s="63">
        <v>1.0</v>
      </c>
      <c r="O21" s="68" t="str">
        <f>IF('NO USAR2'!B2="",ROW('NO USAR2'!B2),'NO USAR2'!B2)</f>
        <v>Nikola Jokic</v>
      </c>
      <c r="P21" s="68">
        <f>'NO USAR2'!E2</f>
        <v>74</v>
      </c>
      <c r="Q21" s="68" t="str">
        <f>IF('NO USAR2'!C2="",ROW('NO USAR2'!N17),'NO USAR2'!C2)</f>
        <v>C</v>
      </c>
      <c r="R21" s="65">
        <f>VLOOKUP($O21,'NO USAR1'!$A$4:$L$399,2,False)+VLOOKUP($O21,'NO USAR1'!$A$4:$L$399,3,False)+VLOOKUP($O21,'NO USAR1'!$A$4:$L$399,4,False)+VLOOKUP($O21,'NO USAR1'!$A$4:$L$399,5,False)+VLOOKUP($O21,'NO USAR1'!$A$4:$L$399,6,False)+VLOOKUP($O21,'NO USAR1'!$A$4:$L$399,7,False)+VLOOKUP($O21,'NO USAR1'!$A$4:$L$399,8,False)+VLOOKUP($O21,'NO USAR1'!$A$4:$L$399,10,False)+VLOOKUP($O21,'NO USAR1'!$A$4:$L$399,12,False)*0</f>
        <v>10.95381256</v>
      </c>
      <c r="S21" s="65">
        <f>VLOOKUP($O21,'NO USAR1'!$A$4:$L$399,2,False)*$U$19+VLOOKUP($O21,'NO USAR1'!$A$4:$L$399,3,False)*$V$19+VLOOKUP($O21,'NO USAR1'!$A$4:$L$399,4,False)*$W$19+VLOOKUP($O21,'NO USAR1'!$A$4:$L$399,5,False)*$X$19+VLOOKUP($O21,'NO USAR1'!$A$4:$L$399,6,False)*$Y$19+VLOOKUP($O21,'NO USAR1'!$A$4:$L$399,7,False)*$Z$19+VLOOKUP($O21,'NO USAR1'!$A$4:$L$399,8,False)*$AA$19+VLOOKUP($O21,'NO USAR1'!$A$4:$L$399,10,False)*$AB$19+VLOOKUP($O21,'NO USAR1'!$A$4:$L$399,12,False)*$AC$19+IF(Projections!$K$3,-AN21, IF(Projections!$J$3,-AM21,0))</f>
        <v>9.950989362</v>
      </c>
      <c r="T21" s="65">
        <f t="shared" ref="T21:T220" si="1">S21-R21</f>
        <v>-1.002823199</v>
      </c>
      <c r="U21" s="65">
        <f>VLOOKUP($O21,'NO USAR2'!$B$2:$R$397,11,False)</f>
        <v>26.3</v>
      </c>
      <c r="V21" s="69">
        <f>VLOOKUP($O21,'NO USAR2'!$B$2:$R$397,10,False)</f>
        <v>1.2</v>
      </c>
      <c r="W21" s="65">
        <f>VLOOKUP($O21,'NO USAR2'!$B$2:$R$397,12,False)</f>
        <v>13.8</v>
      </c>
      <c r="X21" s="65">
        <f>VLOOKUP($O21,'NO USAR2'!$B$2:$R$397,13,False)</f>
        <v>8.4</v>
      </c>
      <c r="Y21" s="65">
        <f>VLOOKUP($O21,'NO USAR2'!$B$2:$R$397,14,False)</f>
        <v>1.4</v>
      </c>
      <c r="Z21" s="70">
        <f>VLOOKUP($O21,'NO USAR2'!$B$2:$R$397,15,False)</f>
        <v>0.9</v>
      </c>
      <c r="AA21" s="65">
        <f>100*VLOOKUP($O21,'NO USAR2'!$B$2:$R$397,7,False)</f>
        <v>58.04597701</v>
      </c>
      <c r="AB21" s="65">
        <f>100*VLOOKUP($O21,'NO USAR2'!$B$2:$R$397,9,False)</f>
        <v>83.33333333</v>
      </c>
      <c r="AC21" s="65">
        <f>VLOOKUP($O21,'NO USAR2'!$B$2:$Q$397,16,False)</f>
        <v>3.9</v>
      </c>
      <c r="AD21" s="65">
        <f>VLOOKUP($O21,'NO USAR1'!$A$4:$L$399,2,False)*$U$19</f>
        <v>2.48895914</v>
      </c>
      <c r="AE21" s="65">
        <f>VLOOKUP($O21,'NO USAR1'!$A$4:$L$399,3,False)*$V$19</f>
        <v>-0.4134044473</v>
      </c>
      <c r="AF21" s="65">
        <f>VLOOKUP($O21,'NO USAR1'!$A$4:$L$399,4,False)*$W$19</f>
        <v>3.153669466</v>
      </c>
      <c r="AG21" s="65">
        <f>VLOOKUP($O21,'NO USAR1'!$A$4:$L$399,5,False)*$X$19</f>
        <v>2.681109044</v>
      </c>
      <c r="AH21" s="65">
        <f>VLOOKUP($O21,'NO USAR1'!$A$4:$L$399,6,False)*$Y$19</f>
        <v>1.618737696</v>
      </c>
      <c r="AI21" s="65">
        <f>VLOOKUP($O21,'NO USAR1'!$A$4:$L$399,7,False)*$Z$19</f>
        <v>0</v>
      </c>
      <c r="AJ21" s="65">
        <f>VLOOKUP($O21,'NO USAR1'!$A$4:$L$399,8,False)*$AA$19</f>
        <v>0</v>
      </c>
      <c r="AK21" s="70">
        <f>VLOOKUP($O21,'NO USAR1'!$A$4:$L$399,10,False)*$AB$19</f>
        <v>0.4219184629</v>
      </c>
      <c r="AL21" s="65">
        <f>VLOOKUP($O21,'NO USAR1'!$A$4:$L$399,12,False)*$AC$19</f>
        <v>0</v>
      </c>
      <c r="AM21" s="71">
        <f t="shared" ref="AM21:AM220" si="2">MIN(AD21:AL21)</f>
        <v>-0.4134044473</v>
      </c>
      <c r="AN21" s="71">
        <f t="shared" ref="AN21:AN220" si="3">small(AD21:AL21,2)+AM21</f>
        <v>-0.4134044473</v>
      </c>
    </row>
    <row r="22">
      <c r="A22" t="str">
        <f>IF('NO USAR2'!B20="",ROW('NO USAR2'!B20),'NO USAR2'!B20)</f>
        <v>Paul George</v>
      </c>
      <c r="B22" s="58">
        <f>IF(TYPE($A22)=1,"",('NO USAR2'!$L20-B$1)/B$2)</f>
        <v>1.162241038</v>
      </c>
      <c r="C22" s="58">
        <f>IF(TYPE($A22)=1,"",('NO USAR2'!$K20-C$1)/C$2)</f>
        <v>1.286520009</v>
      </c>
      <c r="D22" s="58">
        <f>IF(TYPE($A22)=1,"",('NO USAR2'!$M20-D$1)/D$2)</f>
        <v>0.3369831851</v>
      </c>
      <c r="E22" s="58">
        <f>IF(TYPE($A22)=1,"",('NO USAR2'!$N20-E$1)/E$2)</f>
        <v>0.4556353313</v>
      </c>
      <c r="F22" s="58">
        <f>IF(TYPE($A22)=1,"",('NO USAR2'!$O20-F$1)/F$2)</f>
        <v>1.949069931</v>
      </c>
      <c r="G22" s="58">
        <f>IF(TYPE($A22)=1,"",('NO USAR2'!$P20-G$1)/G$2)</f>
        <v>-0.6124445335</v>
      </c>
      <c r="H22" s="58">
        <f>IF(TYPE($A22)=1,"",('NO USAR2'!$H20-H$1)/H$2*I22/$I$1)</f>
        <v>-0.6329684848</v>
      </c>
      <c r="I22" s="58">
        <f>IF(TYPE($A22)=1,"",IF('NO USAR2'!H20=0,0,'NO USAR2'!G20/'NO USAR2'!H20))</f>
        <v>18.1</v>
      </c>
      <c r="J22" s="59">
        <f>IF(TYPE($A22)=1,"",('NO USAR2'!$J20-J$1)/J$2*K22/$K$1)</f>
        <v>1.003757846</v>
      </c>
      <c r="K22" s="60">
        <f>IF(TYPE($A22)=1,"",IF('NO USAR2'!J20=0,0,'NO USAR2'!I20/'NO USAR2'!J20))</f>
        <v>4.8</v>
      </c>
      <c r="L22" s="58">
        <f>IF(TYPE($A22)=1,"",-('NO USAR2'!$Q20-L$1)/L$2)</f>
        <v>-2.294711163</v>
      </c>
      <c r="M22" t="s">
        <v>12</v>
      </c>
      <c r="N22" s="2">
        <v>2.0</v>
      </c>
      <c r="O22" s="68" t="str">
        <f>IF('NO USAR2'!B3="",ROW('NO USAR2'!B3),'NO USAR2'!B3)</f>
        <v>Kevin Durant</v>
      </c>
      <c r="P22" s="68">
        <f>'NO USAR2'!E3</f>
        <v>68</v>
      </c>
      <c r="Q22" s="68" t="str">
        <f>IF('NO USAR2'!C3="",ROW('NO USAR2'!N18),'NO USAR2'!C3)</f>
        <v>SF/PF</v>
      </c>
      <c r="R22" s="65">
        <f>VLOOKUP($O22,'NO USAR1'!$A$4:$L$399,2,False)+VLOOKUP($O22,'NO USAR1'!$A$4:$L$399,3,False)+VLOOKUP($O22,'NO USAR1'!$A$4:$L$399,4,False)+VLOOKUP($O22,'NO USAR1'!$A$4:$L$399,5,False)+VLOOKUP($O22,'NO USAR1'!$A$4:$L$399,6,False)+VLOOKUP($O22,'NO USAR1'!$A$4:$L$399,7,False)+VLOOKUP($O22,'NO USAR1'!$A$4:$L$399,8,False)+VLOOKUP($O22,'NO USAR1'!$A$4:$L$399,10,False)+VLOOKUP($O22,'NO USAR1'!$A$4:$L$399,12,False)*0</f>
        <v>7.832399984</v>
      </c>
      <c r="S22" s="65">
        <f>VLOOKUP($O22,'NO USAR1'!$A$4:$L$399,2,False)*$U$19+VLOOKUP($O22,'NO USAR1'!$A$4:$L$399,3,False)*$V$19+VLOOKUP($O22,'NO USAR1'!$A$4:$L$399,4,False)*$W$19+VLOOKUP($O22,'NO USAR1'!$A$4:$L$399,5,False)*$X$19+VLOOKUP($O22,'NO USAR1'!$A$4:$L$399,6,False)*$Y$19+VLOOKUP($O22,'NO USAR1'!$A$4:$L$399,7,False)*$Z$19+VLOOKUP($O22,'NO USAR1'!$A$4:$L$399,8,False)*$AA$19+VLOOKUP($O22,'NO USAR1'!$A$4:$L$399,10,False)*$AB$19+VLOOKUP($O22,'NO USAR1'!$A$4:$L$399,12,False)*$AC$19+IF(Projections!$K$3,-AN22, IF(Projections!$J$3,-AM22,0))</f>
        <v>6.627025861</v>
      </c>
      <c r="T22" s="65">
        <f t="shared" si="1"/>
        <v>-1.205374123</v>
      </c>
      <c r="U22" s="65">
        <f>VLOOKUP($O22,'NO USAR2'!$B$2:$R$397,11,False)</f>
        <v>29.2</v>
      </c>
      <c r="V22" s="69">
        <f>VLOOKUP($O22,'NO USAR2'!$B$2:$R$397,10,False)</f>
        <v>2.1</v>
      </c>
      <c r="W22" s="65">
        <f>VLOOKUP($O22,'NO USAR2'!$B$2:$R$397,12,False)</f>
        <v>7.2</v>
      </c>
      <c r="X22" s="65">
        <f>VLOOKUP($O22,'NO USAR2'!$B$2:$R$397,13,False)</f>
        <v>6.3</v>
      </c>
      <c r="Y22" s="65">
        <f>VLOOKUP($O22,'NO USAR2'!$B$2:$R$397,14,False)</f>
        <v>0.9</v>
      </c>
      <c r="Z22" s="70">
        <f>VLOOKUP($O22,'NO USAR2'!$B$2:$R$397,15,False)</f>
        <v>0.9</v>
      </c>
      <c r="AA22" s="65">
        <f>100*VLOOKUP($O22,'NO USAR2'!$B$2:$R$397,7,False)</f>
        <v>52.02020202</v>
      </c>
      <c r="AB22" s="65">
        <f>100*VLOOKUP($O22,'NO USAR2'!$B$2:$R$397,9,False)</f>
        <v>90.4109589</v>
      </c>
      <c r="AC22" s="65">
        <f>VLOOKUP($O22,'NO USAR2'!$B$2:$Q$397,16,False)</f>
        <v>3.4</v>
      </c>
      <c r="AD22" s="65">
        <f>VLOOKUP($O22,'NO USAR1'!$A$4:$L$399,2,False)*$U$19</f>
        <v>3.261185208</v>
      </c>
      <c r="AE22" s="65">
        <f>VLOOKUP($O22,'NO USAR1'!$A$4:$L$399,3,False)*$V$19</f>
        <v>0.486555559</v>
      </c>
      <c r="AF22" s="65">
        <f>VLOOKUP($O22,'NO USAR1'!$A$4:$L$399,4,False)*$W$19</f>
        <v>0.459447806</v>
      </c>
      <c r="AG22" s="65">
        <f>VLOOKUP($O22,'NO USAR1'!$A$4:$L$399,5,False)*$X$19</f>
        <v>1.482653301</v>
      </c>
      <c r="AH22" s="65">
        <f>VLOOKUP($O22,'NO USAR1'!$A$4:$L$399,6,False)*$Y$19</f>
        <v>-0.4252615982</v>
      </c>
      <c r="AI22" s="65">
        <f>VLOOKUP($O22,'NO USAR1'!$A$4:$L$399,7,False)*$Z$19</f>
        <v>0</v>
      </c>
      <c r="AJ22" s="65">
        <f>VLOOKUP($O22,'NO USAR1'!$A$4:$L$399,8,False)*$AA$19</f>
        <v>0</v>
      </c>
      <c r="AK22" s="70">
        <f>VLOOKUP($O22,'NO USAR1'!$A$4:$L$399,10,False)*$AB$19</f>
        <v>1.362445585</v>
      </c>
      <c r="AL22" s="65">
        <f>VLOOKUP($O22,'NO USAR1'!$A$4:$L$399,12,False)*$AC$19</f>
        <v>0</v>
      </c>
      <c r="AM22" s="71">
        <f t="shared" si="2"/>
        <v>-0.4252615982</v>
      </c>
      <c r="AN22" s="71">
        <f t="shared" si="3"/>
        <v>-0.4252615982</v>
      </c>
    </row>
    <row r="23">
      <c r="A23" t="str">
        <f>IF('NO USAR2'!B21="",ROW('NO USAR2'!B21),'NO USAR2'!B21)</f>
        <v>Jimmy Butler</v>
      </c>
      <c r="B23" s="58">
        <f>IF(TYPE($A23)=1,"",('NO USAR2'!$L21-B$1)/B$2)</f>
        <v>0.7716899238</v>
      </c>
      <c r="C23" s="58">
        <f>IF(TYPE($A23)=1,"",('NO USAR2'!$K21-C$1)/C$2)</f>
        <v>-1.113373341</v>
      </c>
      <c r="D23" s="58">
        <f>IF(TYPE($A23)=1,"",('NO USAR2'!$M21-D$1)/D$2)</f>
        <v>-0.03041067768</v>
      </c>
      <c r="E23" s="58">
        <f>IF(TYPE($A23)=1,"",('NO USAR2'!$N21-E$1)/E$2)</f>
        <v>0.7295680724</v>
      </c>
      <c r="F23" s="58">
        <f>IF(TYPE($A23)=1,"",('NO USAR2'!$O21-F$1)/F$2)</f>
        <v>1.949069931</v>
      </c>
      <c r="G23" s="58">
        <f>IF(TYPE($A23)=1,"",('NO USAR2'!$P21-G$1)/G$2)</f>
        <v>-0.4064530313</v>
      </c>
      <c r="H23" s="58">
        <f>IF(TYPE($A23)=1,"",('NO USAR2'!$H21-H$1)/H$2*I23/$I$1)</f>
        <v>-0.213353298</v>
      </c>
      <c r="I23" s="58">
        <f>IF(TYPE($A23)=1,"",IF('NO USAR2'!H21=0,0,'NO USAR2'!G21/'NO USAR2'!H21))</f>
        <v>14.7</v>
      </c>
      <c r="J23" s="59">
        <f>IF(TYPE($A23)=1,"",('NO USAR2'!$J21-J$1)/J$2*K23/$K$1)</f>
        <v>1.754364614</v>
      </c>
      <c r="K23" s="60">
        <f>IF(TYPE($A23)=1,"",IF('NO USAR2'!J21=0,0,'NO USAR2'!I21/'NO USAR2'!J21))</f>
        <v>7.8</v>
      </c>
      <c r="L23" s="58">
        <f>IF(TYPE($A23)=1,"",-('NO USAR2'!$Q21-L$1)/L$2)</f>
        <v>-0.08740345939</v>
      </c>
      <c r="M23" t="s">
        <v>13</v>
      </c>
      <c r="N23" s="63">
        <v>3.0</v>
      </c>
      <c r="O23" s="68" t="str">
        <f>IF('NO USAR2'!B4="",ROW('NO USAR2'!B4),'NO USAR2'!B4)</f>
        <v>Joel Embiid</v>
      </c>
      <c r="P23" s="68">
        <f>'NO USAR2'!E4</f>
        <v>68</v>
      </c>
      <c r="Q23" s="68" t="str">
        <f>IF('NO USAR2'!C4="",ROW('NO USAR2'!N19),'NO USAR2'!C4)</f>
        <v>C</v>
      </c>
      <c r="R23" s="65">
        <f>VLOOKUP($O23,'NO USAR1'!$A$4:$L$399,2,False)+VLOOKUP($O23,'NO USAR1'!$A$4:$L$399,3,False)+VLOOKUP($O23,'NO USAR1'!$A$4:$L$399,4,False)+VLOOKUP($O23,'NO USAR1'!$A$4:$L$399,5,False)+VLOOKUP($O23,'NO USAR1'!$A$4:$L$399,6,False)+VLOOKUP($O23,'NO USAR1'!$A$4:$L$399,7,False)+VLOOKUP($O23,'NO USAR1'!$A$4:$L$399,8,False)+VLOOKUP($O23,'NO USAR1'!$A$4:$L$399,10,False)+VLOOKUP($O23,'NO USAR1'!$A$4:$L$399,12,False)*0</f>
        <v>7.782471128</v>
      </c>
      <c r="S23" s="65">
        <f>VLOOKUP($O23,'NO USAR1'!$A$4:$L$399,2,False)*$U$19+VLOOKUP($O23,'NO USAR1'!$A$4:$L$399,3,False)*$V$19+VLOOKUP($O23,'NO USAR1'!$A$4:$L$399,4,False)*$W$19+VLOOKUP($O23,'NO USAR1'!$A$4:$L$399,5,False)*$X$19+VLOOKUP($O23,'NO USAR1'!$A$4:$L$399,6,False)*$Y$19+VLOOKUP($O23,'NO USAR1'!$A$4:$L$399,7,False)*$Z$19+VLOOKUP($O23,'NO USAR1'!$A$4:$L$399,8,False)*$AA$19+VLOOKUP($O23,'NO USAR1'!$A$4:$L$399,10,False)*$AB$19+VLOOKUP($O23,'NO USAR1'!$A$4:$L$399,12,False)*$AC$19+IF(Projections!$K$3,-AN23, IF(Projections!$J$3,-AM23,0))</f>
        <v>6.749577482</v>
      </c>
      <c r="T23" s="65">
        <f t="shared" si="1"/>
        <v>-1.032893646</v>
      </c>
      <c r="U23" s="65">
        <f>VLOOKUP($O23,'NO USAR2'!$B$2:$R$397,11,False)</f>
        <v>30.4</v>
      </c>
      <c r="V23" s="69">
        <f>VLOOKUP($O23,'NO USAR2'!$B$2:$R$397,10,False)</f>
        <v>1.3</v>
      </c>
      <c r="W23" s="65">
        <f>VLOOKUP($O23,'NO USAR2'!$B$2:$R$397,12,False)</f>
        <v>11.9</v>
      </c>
      <c r="X23" s="65">
        <f>VLOOKUP($O23,'NO USAR2'!$B$2:$R$397,13,False)</f>
        <v>4</v>
      </c>
      <c r="Y23" s="65">
        <f>VLOOKUP($O23,'NO USAR2'!$B$2:$R$397,14,False)</f>
        <v>1.1</v>
      </c>
      <c r="Z23" s="70">
        <f>VLOOKUP($O23,'NO USAR2'!$B$2:$R$397,15,False)</f>
        <v>1.5</v>
      </c>
      <c r="AA23" s="65">
        <f>100*VLOOKUP($O23,'NO USAR2'!$B$2:$R$397,7,False)</f>
        <v>49.49494949</v>
      </c>
      <c r="AB23" s="65">
        <f>100*VLOOKUP($O23,'NO USAR2'!$B$2:$R$397,9,False)</f>
        <v>81.89655172</v>
      </c>
      <c r="AC23" s="65">
        <f>VLOOKUP($O23,'NO USAR2'!$B$2:$Q$397,16,False)</f>
        <v>3.2</v>
      </c>
      <c r="AD23" s="65">
        <f>VLOOKUP($O23,'NO USAR1'!$A$4:$L$399,2,False)*$U$19</f>
        <v>3.580727029</v>
      </c>
      <c r="AE23" s="65">
        <f>VLOOKUP($O23,'NO USAR1'!$A$4:$L$399,3,False)*$V$19</f>
        <v>-0.3134088911</v>
      </c>
      <c r="AF23" s="65">
        <f>VLOOKUP($O23,'NO USAR1'!$A$4:$L$399,4,False)*$W$19</f>
        <v>2.3780602</v>
      </c>
      <c r="AG23" s="65">
        <f>VLOOKUP($O23,'NO USAR1'!$A$4:$L$399,5,False)*$X$19</f>
        <v>0.1700589165</v>
      </c>
      <c r="AH23" s="65">
        <f>VLOOKUP($O23,'NO USAR1'!$A$4:$L$399,6,False)*$Y$19</f>
        <v>0.3923381197</v>
      </c>
      <c r="AI23" s="65">
        <f>VLOOKUP($O23,'NO USAR1'!$A$4:$L$399,7,False)*$Z$19</f>
        <v>0</v>
      </c>
      <c r="AJ23" s="65">
        <f>VLOOKUP($O23,'NO USAR1'!$A$4:$L$399,8,False)*$AA$19</f>
        <v>0</v>
      </c>
      <c r="AK23" s="70">
        <f>VLOOKUP($O23,'NO USAR1'!$A$4:$L$399,10,False)*$AB$19</f>
        <v>0.5418021072</v>
      </c>
      <c r="AL23" s="65">
        <f>VLOOKUP($O23,'NO USAR1'!$A$4:$L$399,12,False)*$AC$19</f>
        <v>0</v>
      </c>
      <c r="AM23" s="71">
        <f t="shared" si="2"/>
        <v>-0.3134088911</v>
      </c>
      <c r="AN23" s="71">
        <f t="shared" si="3"/>
        <v>-0.3134088911</v>
      </c>
    </row>
    <row r="24">
      <c r="A24" t="str">
        <f>IF('NO USAR2'!B22="",ROW('NO USAR2'!B22),'NO USAR2'!B22)</f>
        <v>Khris Middleton</v>
      </c>
      <c r="B24" s="58">
        <f>IF(TYPE($A24)=1,"",('NO USAR2'!$L22-B$1)/B$2)</f>
        <v>0.6651759834</v>
      </c>
      <c r="C24" s="58">
        <f>IF(TYPE($A24)=1,"",('NO USAR2'!$K22-C$1)/C$2)</f>
        <v>0.886537784</v>
      </c>
      <c r="D24" s="58">
        <f>IF(TYPE($A24)=1,"",('NO USAR2'!$M22-D$1)/D$2)</f>
        <v>-0.2345183792</v>
      </c>
      <c r="E24" s="58">
        <f>IF(TYPE($A24)=1,"",('NO USAR2'!$N22-E$1)/E$2)</f>
        <v>0.8208789862</v>
      </c>
      <c r="F24" s="58">
        <f>IF(TYPE($A24)=1,"",('NO USAR2'!$O22-F$1)/F$2)</f>
        <v>0.6409103829</v>
      </c>
      <c r="G24" s="58">
        <f>IF(TYPE($A24)=1,"",('NO USAR2'!$P22-G$1)/G$2)</f>
        <v>-0.8184360358</v>
      </c>
      <c r="H24" s="58">
        <f>IF(TYPE($A24)=1,"",('NO USAR2'!$H22-H$1)/H$2*I24/$I$1)</f>
        <v>-0.2674449617</v>
      </c>
      <c r="I24" s="58">
        <f>IF(TYPE($A24)=1,"",IF('NO USAR2'!H22=0,0,'NO USAR2'!G22/'NO USAR2'!H22))</f>
        <v>15</v>
      </c>
      <c r="J24" s="59">
        <f>IF(TYPE($A24)=1,"",('NO USAR2'!$J22-J$1)/J$2*K24/$K$1)</f>
        <v>1.454598457</v>
      </c>
      <c r="K24" s="60">
        <f>IF(TYPE($A24)=1,"",IF('NO USAR2'!J22=0,0,'NO USAR2'!I22/'NO USAR2'!J22))</f>
        <v>4.5</v>
      </c>
      <c r="L24" s="58">
        <f>IF(TYPE($A24)=1,"",-('NO USAR2'!$Q22-L$1)/L$2)</f>
        <v>-1.080691926</v>
      </c>
      <c r="M24" t="s">
        <v>15</v>
      </c>
      <c r="N24" s="63">
        <v>4.0</v>
      </c>
      <c r="O24" s="68" t="str">
        <f>IF('NO USAR2'!B5="",ROW('NO USAR2'!B5),'NO USAR2'!B5)</f>
        <v>James Harden</v>
      </c>
      <c r="P24" s="68">
        <f>'NO USAR2'!E5</f>
        <v>70</v>
      </c>
      <c r="Q24" s="68" t="str">
        <f>IF('NO USAR2'!C5="",ROW('NO USAR2'!N20),'NO USAR2'!C5)</f>
        <v>PG/SF</v>
      </c>
      <c r="R24" s="65">
        <f>VLOOKUP($O24,'NO USAR1'!$A$4:$L$399,2,False)+VLOOKUP($O24,'NO USAR1'!$A$4:$L$399,3,False)+VLOOKUP($O24,'NO USAR1'!$A$4:$L$399,4,False)+VLOOKUP($O24,'NO USAR1'!$A$4:$L$399,5,False)+VLOOKUP($O24,'NO USAR1'!$A$4:$L$399,6,False)+VLOOKUP($O24,'NO USAR1'!$A$4:$L$399,7,False)+VLOOKUP($O24,'NO USAR1'!$A$4:$L$399,8,False)+VLOOKUP($O24,'NO USAR1'!$A$4:$L$399,10,False)+VLOOKUP($O24,'NO USAR1'!$A$4:$L$399,12,False)*0</f>
        <v>7.532619796</v>
      </c>
      <c r="S24" s="65">
        <f>VLOOKUP($O24,'NO USAR1'!$A$4:$L$399,2,False)*$U$19+VLOOKUP($O24,'NO USAR1'!$A$4:$L$399,3,False)*$V$19+VLOOKUP($O24,'NO USAR1'!$A$4:$L$399,4,False)*$W$19+VLOOKUP($O24,'NO USAR1'!$A$4:$L$399,5,False)*$X$19+VLOOKUP($O24,'NO USAR1'!$A$4:$L$399,6,False)*$Y$19+VLOOKUP($O24,'NO USAR1'!$A$4:$L$399,7,False)*$Z$19+VLOOKUP($O24,'NO USAR1'!$A$4:$L$399,8,False)*$AA$19+VLOOKUP($O24,'NO USAR1'!$A$4:$L$399,10,False)*$AB$19+VLOOKUP($O24,'NO USAR1'!$A$4:$L$399,12,False)*$AC$19+IF(Projections!$K$3,-AN24, IF(Projections!$J$3,-AM24,0))</f>
        <v>8.736533651</v>
      </c>
      <c r="T24" s="65">
        <f t="shared" si="1"/>
        <v>1.203913856</v>
      </c>
      <c r="U24" s="65">
        <f>VLOOKUP($O24,'NO USAR2'!$B$2:$R$397,11,False)</f>
        <v>22.1</v>
      </c>
      <c r="V24" s="69">
        <f>VLOOKUP($O24,'NO USAR2'!$B$2:$R$397,10,False)</f>
        <v>2.3</v>
      </c>
      <c r="W24" s="65">
        <f>VLOOKUP($O24,'NO USAR2'!$B$2:$R$397,12,False)</f>
        <v>7.5</v>
      </c>
      <c r="X24" s="65">
        <f>VLOOKUP($O24,'NO USAR2'!$B$2:$R$397,13,False)</f>
        <v>10.2</v>
      </c>
      <c r="Y24" s="65">
        <f>VLOOKUP($O24,'NO USAR2'!$B$2:$R$397,14,False)</f>
        <v>1.3</v>
      </c>
      <c r="Z24" s="70">
        <f>VLOOKUP($O24,'NO USAR2'!$B$2:$R$397,15,False)</f>
        <v>0.6</v>
      </c>
      <c r="AA24" s="65">
        <f>100*VLOOKUP($O24,'NO USAR2'!$B$2:$R$397,7,False)</f>
        <v>44.36619718</v>
      </c>
      <c r="AB24" s="65">
        <f>100*VLOOKUP($O24,'NO USAR2'!$B$2:$R$397,9,False)</f>
        <v>87.80487805</v>
      </c>
      <c r="AC24" s="65">
        <f>VLOOKUP($O24,'NO USAR2'!$B$2:$Q$397,16,False)</f>
        <v>4.4</v>
      </c>
      <c r="AD24" s="65">
        <f>VLOOKUP($O24,'NO USAR1'!$A$4:$L$399,2,False)*$U$19</f>
        <v>1.370562766</v>
      </c>
      <c r="AE24" s="65">
        <f>VLOOKUP($O24,'NO USAR1'!$A$4:$L$399,3,False)*$V$19</f>
        <v>0.6865466715</v>
      </c>
      <c r="AF24" s="65">
        <f>VLOOKUP($O24,'NO USAR1'!$A$4:$L$399,4,False)*$W$19</f>
        <v>0.5819124269</v>
      </c>
      <c r="AG24" s="65">
        <f>VLOOKUP($O24,'NO USAR1'!$A$4:$L$399,5,False)*$X$19</f>
        <v>3.708356823</v>
      </c>
      <c r="AH24" s="65">
        <f>VLOOKUP($O24,'NO USAR1'!$A$4:$L$399,6,False)*$Y$19</f>
        <v>1.209937838</v>
      </c>
      <c r="AI24" s="65">
        <f>VLOOKUP($O24,'NO USAR1'!$A$4:$L$399,7,False)*$Z$19</f>
        <v>0</v>
      </c>
      <c r="AJ24" s="65">
        <f>VLOOKUP($O24,'NO USAR1'!$A$4:$L$399,8,False)*$AA$19</f>
        <v>0</v>
      </c>
      <c r="AK24" s="70">
        <f>VLOOKUP($O24,'NO USAR1'!$A$4:$L$399,10,False)*$AB$19</f>
        <v>1.179217126</v>
      </c>
      <c r="AL24" s="65">
        <f>VLOOKUP($O24,'NO USAR1'!$A$4:$L$399,12,False)*$AC$19</f>
        <v>0</v>
      </c>
      <c r="AM24" s="71">
        <f t="shared" si="2"/>
        <v>0</v>
      </c>
      <c r="AN24" s="71">
        <f t="shared" si="3"/>
        <v>0</v>
      </c>
    </row>
    <row r="25">
      <c r="A25" t="str">
        <f>IF('NO USAR2'!B23="",ROW('NO USAR2'!B23),'NO USAR2'!B23)</f>
        <v>Kristaps Porzingis</v>
      </c>
      <c r="B25" s="58">
        <f>IF(TYPE($A25)=1,"",('NO USAR2'!$L23-B$1)/B$2)</f>
        <v>0.64742366</v>
      </c>
      <c r="C25" s="58">
        <f>IF(TYPE($A25)=1,"",('NO USAR2'!$K23-C$1)/C$2)</f>
        <v>-0.01342222232</v>
      </c>
      <c r="D25" s="58">
        <f>IF(TYPE($A25)=1,"",('NO USAR2'!$M23-D$1)/D$2)</f>
        <v>0.8268416687</v>
      </c>
      <c r="E25" s="58">
        <f>IF(TYPE($A25)=1,"",('NO USAR2'!$N23-E$1)/E$2)</f>
        <v>-0.8683729178</v>
      </c>
      <c r="F25" s="58">
        <f>IF(TYPE($A25)=1,"",('NO USAR2'!$O23-F$1)/F$2)</f>
        <v>-0.9942890529</v>
      </c>
      <c r="G25" s="58">
        <f>IF(TYPE($A25)=1,"",('NO USAR2'!$P23-G$1)/G$2)</f>
        <v>1.653461991</v>
      </c>
      <c r="H25" s="58">
        <f>IF(TYPE($A25)=1,"",('NO USAR2'!$H23-H$1)/H$2*I25/$I$1)</f>
        <v>-0.4969297394</v>
      </c>
      <c r="I25" s="58">
        <f>IF(TYPE($A25)=1,"",IF('NO USAR2'!H23=0,0,'NO USAR2'!G23/'NO USAR2'!H23))</f>
        <v>15.2</v>
      </c>
      <c r="J25" s="59">
        <f>IF(TYPE($A25)=1,"",('NO USAR2'!$J23-J$1)/J$2*K25/$K$1)</f>
        <v>1.36352287</v>
      </c>
      <c r="K25" s="60">
        <f>IF(TYPE($A25)=1,"",IF('NO USAR2'!J23=0,0,'NO USAR2'!I23/'NO USAR2'!J23))</f>
        <v>5.8</v>
      </c>
      <c r="L25" s="58">
        <f>IF(TYPE($A25)=1,"",-('NO USAR2'!$Q23-L$1)/L$2)</f>
        <v>0.3540580812</v>
      </c>
      <c r="M25" t="s">
        <v>90</v>
      </c>
      <c r="N25" s="2">
        <v>5.0</v>
      </c>
      <c r="O25" s="68" t="str">
        <f>IF('NO USAR2'!B8="",ROW('NO USAR2'!B8),'NO USAR2'!B8)</f>
        <v>Stephen Curry</v>
      </c>
      <c r="P25" s="68">
        <f>'NO USAR2'!E6</f>
        <v>68</v>
      </c>
      <c r="Q25" s="68" t="str">
        <f>IF('NO USAR2'!C8="",ROW('NO USAR2'!N23),'NO USAR2'!C8)</f>
        <v>PG</v>
      </c>
      <c r="R25" s="65">
        <f>VLOOKUP($O25,'NO USAR1'!$A$4:$L$399,2,False)+VLOOKUP($O25,'NO USAR1'!$A$4:$L$399,3,False)+VLOOKUP($O25,'NO USAR1'!$A$4:$L$399,4,False)+VLOOKUP($O25,'NO USAR1'!$A$4:$L$399,5,False)+VLOOKUP($O25,'NO USAR1'!$A$4:$L$399,6,False)+VLOOKUP($O25,'NO USAR1'!$A$4:$L$399,7,False)+VLOOKUP($O25,'NO USAR1'!$A$4:$L$399,8,False)+VLOOKUP($O25,'NO USAR1'!$A$4:$L$399,10,False)+VLOOKUP($O25,'NO USAR1'!$A$4:$L$399,12,False)*0</f>
        <v>6.331405175</v>
      </c>
      <c r="S25" s="65">
        <f>VLOOKUP($O25,'NO USAR1'!$A$4:$L$399,2,False)*$U$19+VLOOKUP($O25,'NO USAR1'!$A$4:$L$399,3,False)*$V$19+VLOOKUP($O25,'NO USAR1'!$A$4:$L$399,4,False)*$W$19+VLOOKUP($O25,'NO USAR1'!$A$4:$L$399,5,False)*$X$19+VLOOKUP($O25,'NO USAR1'!$A$4:$L$399,6,False)*$Y$19+VLOOKUP($O25,'NO USAR1'!$A$4:$L$399,7,False)*$Z$19+VLOOKUP($O25,'NO USAR1'!$A$4:$L$399,8,False)*$AA$19+VLOOKUP($O25,'NO USAR1'!$A$4:$L$399,10,False)*$AB$19+VLOOKUP($O25,'NO USAR1'!$A$4:$L$399,12,False)*$AC$19+IF(Projections!$K$3,-AN25, IF(Projections!$J$3,-AM25,0))</f>
        <v>8.175472307</v>
      </c>
      <c r="T25" s="65">
        <f t="shared" si="1"/>
        <v>1.844067131</v>
      </c>
      <c r="U25" s="65">
        <f>VLOOKUP($O25,'NO USAR2'!$B$2:$R$397,11,False)</f>
        <v>25.1</v>
      </c>
      <c r="V25" s="69">
        <f>VLOOKUP($O25,'NO USAR2'!$B$2:$R$397,10,False)</f>
        <v>4.6</v>
      </c>
      <c r="W25" s="65">
        <f>VLOOKUP($O25,'NO USAR2'!$B$2:$R$397,12,False)</f>
        <v>5.3</v>
      </c>
      <c r="X25" s="65">
        <f>VLOOKUP($O25,'NO USAR2'!$B$2:$R$397,13,False)</f>
        <v>6.4</v>
      </c>
      <c r="Y25" s="65">
        <f>VLOOKUP($O25,'NO USAR2'!$B$2:$R$397,14,False)</f>
        <v>1.2</v>
      </c>
      <c r="Z25" s="70">
        <f>VLOOKUP($O25,'NO USAR2'!$B$2:$R$397,15,False)</f>
        <v>0.4</v>
      </c>
      <c r="AA25" s="65">
        <f>100*VLOOKUP($O25,'NO USAR2'!$B$2:$R$397,7,False)</f>
        <v>44.02173913</v>
      </c>
      <c r="AB25" s="65">
        <f>100*VLOOKUP($O25,'NO USAR2'!$B$2:$R$397,9,False)</f>
        <v>91.66666667</v>
      </c>
      <c r="AC25" s="65">
        <f>VLOOKUP($O25,'NO USAR2'!$B$2:$Q$397,16,False)</f>
        <v>3.3</v>
      </c>
      <c r="AD25" s="65">
        <f>VLOOKUP($O25,'NO USAR1'!$A$4:$L$399,2,False)*$U$19</f>
        <v>2.169417319</v>
      </c>
      <c r="AE25" s="65">
        <f>VLOOKUP($O25,'NO USAR1'!$A$4:$L$399,3,False)*$V$19</f>
        <v>2.986444465</v>
      </c>
      <c r="AF25" s="65">
        <f>VLOOKUP($O25,'NO USAR1'!$A$4:$L$399,4,False)*$W$19</f>
        <v>-0.3161614598</v>
      </c>
      <c r="AG25" s="65">
        <f>VLOOKUP($O25,'NO USAR1'!$A$4:$L$399,5,False)*$X$19</f>
        <v>1.539722622</v>
      </c>
      <c r="AH25" s="65">
        <f>VLOOKUP($O25,'NO USAR1'!$A$4:$L$399,6,False)*$Y$19</f>
        <v>0.8011379786</v>
      </c>
      <c r="AI25" s="65">
        <f>VLOOKUP($O25,'NO USAR1'!$A$4:$L$399,7,False)*$Z$19</f>
        <v>0</v>
      </c>
      <c r="AJ25" s="65">
        <f>VLOOKUP($O25,'NO USAR1'!$A$4:$L$399,8,False)*$AA$19</f>
        <v>0</v>
      </c>
      <c r="AK25" s="70">
        <f>VLOOKUP($O25,'NO USAR1'!$A$4:$L$399,10,False)*$AB$19</f>
        <v>0.9949113808</v>
      </c>
      <c r="AL25" s="65">
        <f>VLOOKUP($O25,'NO USAR1'!$A$4:$L$399,12,False)*$AC$19</f>
        <v>0</v>
      </c>
      <c r="AM25" s="71">
        <f t="shared" si="2"/>
        <v>-0.3161614598</v>
      </c>
      <c r="AN25" s="71">
        <f t="shared" si="3"/>
        <v>-0.3161614598</v>
      </c>
    </row>
    <row r="26">
      <c r="A26" t="str">
        <f>IF('NO USAR2'!B24="",ROW('NO USAR2'!B24),'NO USAR2'!B24)</f>
        <v>Bam Adebayo</v>
      </c>
      <c r="B26" s="58">
        <f>IF(TYPE($A26)=1,"",('NO USAR2'!$L24-B$1)/B$2)</f>
        <v>0.5231573962</v>
      </c>
      <c r="C26" s="58">
        <f>IF(TYPE($A26)=1,"",('NO USAR2'!$K24-C$1)/C$2)</f>
        <v>-1.613351122</v>
      </c>
      <c r="D26" s="58">
        <f>IF(TYPE($A26)=1,"",('NO USAR2'!$M24-D$1)/D$2)</f>
        <v>1.806558636</v>
      </c>
      <c r="E26" s="58">
        <f>IF(TYPE($A26)=1,"",('NO USAR2'!$N24-E$1)/E$2)</f>
        <v>-0.0009192373865</v>
      </c>
      <c r="F26" s="58">
        <f>IF(TYPE($A26)=1,"",('NO USAR2'!$O24-F$1)/F$2)</f>
        <v>0.96795027</v>
      </c>
      <c r="G26" s="58">
        <f>IF(TYPE($A26)=1,"",('NO USAR2'!$P24-G$1)/G$2)</f>
        <v>0.62350448</v>
      </c>
      <c r="H26" s="58">
        <f>IF(TYPE($A26)=1,"",('NO USAR2'!$H24-H$1)/H$2*I26/$I$1)</f>
        <v>1.050124791</v>
      </c>
      <c r="I26" s="58">
        <f>IF(TYPE($A26)=1,"",IF('NO USAR2'!H24=0,0,'NO USAR2'!G24/'NO USAR2'!H24))</f>
        <v>13.7</v>
      </c>
      <c r="J26" s="59">
        <f>IF(TYPE($A26)=1,"",('NO USAR2'!$J24-J$1)/J$2*K26/$K$1)</f>
        <v>-0.6619139345</v>
      </c>
      <c r="K26" s="60">
        <f>IF(TYPE($A26)=1,"",IF('NO USAR2'!J24=0,0,'NO USAR2'!I24/'NO USAR2'!J24))</f>
        <v>6.2</v>
      </c>
      <c r="L26" s="58">
        <f>IF(TYPE($A26)=1,"",-('NO USAR2'!$Q24-L$1)/L$2)</f>
        <v>-0.7495957703</v>
      </c>
      <c r="M26" t="s">
        <v>92</v>
      </c>
      <c r="N26" s="63">
        <v>6.0</v>
      </c>
      <c r="O26" s="68" t="str">
        <f>IF('NO USAR2'!B11="",ROW('NO USAR2'!B11),'NO USAR2'!B11)</f>
        <v>Luka Doncic</v>
      </c>
      <c r="P26" s="68">
        <f>'NO USAR2'!E7</f>
        <v>68</v>
      </c>
      <c r="Q26" s="68" t="str">
        <f>IF('NO USAR2'!C11="",ROW('NO USAR2'!N26),'NO USAR2'!C11)</f>
        <v>PG/SG</v>
      </c>
      <c r="R26" s="65">
        <f>VLOOKUP($O26,'NO USAR1'!$A$4:$L$399,2,False)+VLOOKUP($O26,'NO USAR1'!$A$4:$L$399,3,False)+VLOOKUP($O26,'NO USAR1'!$A$4:$L$399,4,False)+VLOOKUP($O26,'NO USAR1'!$A$4:$L$399,5,False)+VLOOKUP($O26,'NO USAR1'!$A$4:$L$399,6,False)+VLOOKUP($O26,'NO USAR1'!$A$4:$L$399,7,False)+VLOOKUP($O26,'NO USAR1'!$A$4:$L$399,8,False)+VLOOKUP($O26,'NO USAR1'!$A$4:$L$399,10,False)+VLOOKUP($O26,'NO USAR1'!$A$4:$L$399,12,False)*0</f>
        <v>6.096465624</v>
      </c>
      <c r="S26" s="65">
        <f>VLOOKUP($O26,'NO USAR1'!$A$4:$L$399,2,False)*$U$19+VLOOKUP($O26,'NO USAR1'!$A$4:$L$399,3,False)*$V$19+VLOOKUP($O26,'NO USAR1'!$A$4:$L$399,4,False)*$W$19+VLOOKUP($O26,'NO USAR1'!$A$4:$L$399,5,False)*$X$19+VLOOKUP($O26,'NO USAR1'!$A$4:$L$399,6,False)*$Y$19+VLOOKUP($O26,'NO USAR1'!$A$4:$L$399,7,False)*$Z$19+VLOOKUP($O26,'NO USAR1'!$A$4:$L$399,8,False)*$AA$19+VLOOKUP($O26,'NO USAR1'!$A$4:$L$399,10,False)*$AB$19+VLOOKUP($O26,'NO USAR1'!$A$4:$L$399,12,False)*$AC$19+IF(Projections!$K$3,-AN26, IF(Projections!$J$3,-AM26,0))</f>
        <v>9.602754324</v>
      </c>
      <c r="T26" s="65">
        <f t="shared" si="1"/>
        <v>3.506288701</v>
      </c>
      <c r="U26" s="65">
        <f>VLOOKUP($O26,'NO USAR2'!$B$2:$R$397,11,False)</f>
        <v>30.2</v>
      </c>
      <c r="V26" s="69">
        <f>VLOOKUP($O26,'NO USAR2'!$B$2:$R$397,10,False)</f>
        <v>3.2</v>
      </c>
      <c r="W26" s="65">
        <f>VLOOKUP($O26,'NO USAR2'!$B$2:$R$397,12,False)</f>
        <v>9.4</v>
      </c>
      <c r="X26" s="65">
        <f>VLOOKUP($O26,'NO USAR2'!$B$2:$R$397,13,False)</f>
        <v>8.9</v>
      </c>
      <c r="Y26" s="65">
        <f>VLOOKUP($O26,'NO USAR2'!$B$2:$R$397,14,False)</f>
        <v>1.2</v>
      </c>
      <c r="Z26" s="70">
        <f>VLOOKUP($O26,'NO USAR2'!$B$2:$R$397,15,False)</f>
        <v>0.6</v>
      </c>
      <c r="AA26" s="65">
        <f>100*VLOOKUP($O26,'NO USAR2'!$B$2:$R$397,7,False)</f>
        <v>46.12068966</v>
      </c>
      <c r="AB26" s="65">
        <f>100*VLOOKUP($O26,'NO USAR2'!$B$2:$R$397,9,False)</f>
        <v>74.02597403</v>
      </c>
      <c r="AC26" s="65">
        <f>VLOOKUP($O26,'NO USAR2'!$B$2:$Q$397,16,False)</f>
        <v>4.6</v>
      </c>
      <c r="AD26" s="65">
        <f>VLOOKUP($O26,'NO USAR1'!$A$4:$L$399,2,False)*$U$19</f>
        <v>3.527470059</v>
      </c>
      <c r="AE26" s="65">
        <f>VLOOKUP($O26,'NO USAR1'!$A$4:$L$399,3,False)*$V$19</f>
        <v>1.586506678</v>
      </c>
      <c r="AF26" s="65">
        <f>VLOOKUP($O26,'NO USAR1'!$A$4:$L$399,4,False)*$W$19</f>
        <v>1.357521693</v>
      </c>
      <c r="AG26" s="65">
        <f>VLOOKUP($O26,'NO USAR1'!$A$4:$L$399,5,False)*$X$19</f>
        <v>2.966455649</v>
      </c>
      <c r="AH26" s="65">
        <f>VLOOKUP($O26,'NO USAR1'!$A$4:$L$399,6,False)*$Y$19</f>
        <v>0.8011379786</v>
      </c>
      <c r="AI26" s="65">
        <f>VLOOKUP($O26,'NO USAR1'!$A$4:$L$399,7,False)*$Z$19</f>
        <v>0</v>
      </c>
      <c r="AJ26" s="65">
        <f>VLOOKUP($O26,'NO USAR1'!$A$4:$L$399,8,False)*$AA$19</f>
        <v>0</v>
      </c>
      <c r="AK26" s="70">
        <f>VLOOKUP($O26,'NO USAR1'!$A$4:$L$399,10,False)*$AB$19</f>
        <v>-0.6363377331</v>
      </c>
      <c r="AL26" s="65">
        <f>VLOOKUP($O26,'NO USAR1'!$A$4:$L$399,12,False)*$AC$19</f>
        <v>0</v>
      </c>
      <c r="AM26" s="71">
        <f t="shared" si="2"/>
        <v>-0.6363377331</v>
      </c>
      <c r="AN26" s="71">
        <f t="shared" si="3"/>
        <v>-0.6363377331</v>
      </c>
    </row>
    <row r="27">
      <c r="A27" t="str">
        <f>IF('NO USAR2'!B25="",ROW('NO USAR2'!B25),'NO USAR2'!B25)</f>
        <v>DeMar DeRozan</v>
      </c>
      <c r="B27" s="58">
        <f>IF(TYPE($A27)=1,"",('NO USAR2'!$L25-B$1)/B$2)</f>
        <v>1.623801447</v>
      </c>
      <c r="C27" s="58">
        <f>IF(TYPE($A27)=1,"",('NO USAR2'!$K25-C$1)/C$2)</f>
        <v>-0.9133822286</v>
      </c>
      <c r="D27" s="58">
        <f>IF(TYPE($A27)=1,"",('NO USAR2'!$M25-D$1)/D$2)</f>
        <v>-0.3978045404</v>
      </c>
      <c r="E27" s="58">
        <f>IF(TYPE($A27)=1,"",('NO USAR2'!$N25-E$1)/E$2)</f>
        <v>0.546946245</v>
      </c>
      <c r="F27" s="58">
        <f>IF(TYPE($A27)=1,"",('NO USAR2'!$O25-F$1)/F$2)</f>
        <v>-0.3402092786</v>
      </c>
      <c r="G27" s="58">
        <f>IF(TYPE($A27)=1,"",('NO USAR2'!$P25-G$1)/G$2)</f>
        <v>-0.8184360358</v>
      </c>
      <c r="H27" s="58">
        <f>IF(TYPE($A27)=1,"",('NO USAR2'!$H25-H$1)/H$2*I27/$I$1)</f>
        <v>0.1872817967</v>
      </c>
      <c r="I27" s="58">
        <f>IF(TYPE($A27)=1,"",IF('NO USAR2'!H25=0,0,'NO USAR2'!G25/'NO USAR2'!H25))</f>
        <v>18.7</v>
      </c>
      <c r="J27" s="59">
        <f>IF(TYPE($A27)=1,"",('NO USAR2'!$J25-J$1)/J$2*K27/$K$1)</f>
        <v>1.823209947</v>
      </c>
      <c r="K27" s="60">
        <f>IF(TYPE($A27)=1,"",IF('NO USAR2'!J25=0,0,'NO USAR2'!I25/'NO USAR2'!J25))</f>
        <v>7.9</v>
      </c>
      <c r="L27" s="58">
        <f>IF(TYPE($A27)=1,"",-('NO USAR2'!$Q25-L$1)/L$2)</f>
        <v>-0.4184996149</v>
      </c>
      <c r="M27" t="s">
        <v>93</v>
      </c>
      <c r="N27" s="63">
        <v>7.0</v>
      </c>
      <c r="O27" s="68" t="str">
        <f>IF('NO USAR2'!B7="",ROW('NO USAR2'!B7),'NO USAR2'!B7)</f>
        <v>LeBron James</v>
      </c>
      <c r="P27" s="68">
        <f>'NO USAR2'!E8</f>
        <v>64</v>
      </c>
      <c r="Q27" s="68" t="str">
        <f>IF('NO USAR2'!C7="",ROW('NO USAR2'!N22),'NO USAR2'!C7)</f>
        <v>PG/SF/PF</v>
      </c>
      <c r="R27" s="65">
        <f>VLOOKUP($O27,'NO USAR1'!$A$4:$L$399,2,False)+VLOOKUP($O27,'NO USAR1'!$A$4:$L$399,3,False)+VLOOKUP($O27,'NO USAR1'!$A$4:$L$399,4,False)+VLOOKUP($O27,'NO USAR1'!$A$4:$L$399,5,False)+VLOOKUP($O27,'NO USAR1'!$A$4:$L$399,6,False)+VLOOKUP($O27,'NO USAR1'!$A$4:$L$399,7,False)+VLOOKUP($O27,'NO USAR1'!$A$4:$L$399,8,False)+VLOOKUP($O27,'NO USAR1'!$A$4:$L$399,10,False)+VLOOKUP($O27,'NO USAR1'!$A$4:$L$399,12,False)*0</f>
        <v>5.885905801</v>
      </c>
      <c r="S27" s="65">
        <f>VLOOKUP($O27,'NO USAR1'!$A$4:$L$399,2,False)*$U$19+VLOOKUP($O27,'NO USAR1'!$A$4:$L$399,3,False)*$V$19+VLOOKUP($O27,'NO USAR1'!$A$4:$L$399,4,False)*$W$19+VLOOKUP($O27,'NO USAR1'!$A$4:$L$399,5,False)*$X$19+VLOOKUP($O27,'NO USAR1'!$A$4:$L$399,6,False)*$Y$19+VLOOKUP($O27,'NO USAR1'!$A$4:$L$399,7,False)*$Z$19+VLOOKUP($O27,'NO USAR1'!$A$4:$L$399,8,False)*$AA$19+VLOOKUP($O27,'NO USAR1'!$A$4:$L$399,10,False)*$AB$19+VLOOKUP($O27,'NO USAR1'!$A$4:$L$399,12,False)*$AC$19+IF(Projections!$K$3,-AN27, IF(Projections!$J$3,-AM27,0))</f>
        <v>6.265651928</v>
      </c>
      <c r="T27" s="65">
        <f t="shared" si="1"/>
        <v>0.3797461269</v>
      </c>
      <c r="U27" s="65">
        <f>VLOOKUP($O27,'NO USAR2'!$B$2:$R$397,11,False)</f>
        <v>27.6</v>
      </c>
      <c r="V27" s="69">
        <f>VLOOKUP($O27,'NO USAR2'!$B$2:$R$397,10,False)</f>
        <v>2.7</v>
      </c>
      <c r="W27" s="65">
        <f>VLOOKUP($O27,'NO USAR2'!$B$2:$R$397,12,False)</f>
        <v>7.5</v>
      </c>
      <c r="X27" s="65">
        <f>VLOOKUP($O27,'NO USAR2'!$B$2:$R$397,13,False)</f>
        <v>6.1</v>
      </c>
      <c r="Y27" s="65">
        <f>VLOOKUP($O27,'NO USAR2'!$B$2:$R$397,14,False)</f>
        <v>1.2</v>
      </c>
      <c r="Z27" s="70">
        <f>VLOOKUP($O27,'NO USAR2'!$B$2:$R$397,15,False)</f>
        <v>1</v>
      </c>
      <c r="AA27" s="65">
        <f>100*VLOOKUP($O27,'NO USAR2'!$B$2:$R$397,7,False)</f>
        <v>52.26130653</v>
      </c>
      <c r="AB27" s="65">
        <f>100*VLOOKUP($O27,'NO USAR2'!$B$2:$R$397,9,False)</f>
        <v>74.54545455</v>
      </c>
      <c r="AC27" s="65">
        <f>VLOOKUP($O27,'NO USAR2'!$B$2:$Q$397,16,False)</f>
        <v>3.2</v>
      </c>
      <c r="AD27" s="65">
        <f>VLOOKUP($O27,'NO USAR1'!$A$4:$L$399,2,False)*$U$19</f>
        <v>2.835129447</v>
      </c>
      <c r="AE27" s="65">
        <f>VLOOKUP($O27,'NO USAR1'!$A$4:$L$399,3,False)*$V$19</f>
        <v>1.086528896</v>
      </c>
      <c r="AF27" s="65">
        <f>VLOOKUP($O27,'NO USAR1'!$A$4:$L$399,4,False)*$W$19</f>
        <v>0.5819124269</v>
      </c>
      <c r="AG27" s="65">
        <f>VLOOKUP($O27,'NO USAR1'!$A$4:$L$399,5,False)*$X$19</f>
        <v>1.368514659</v>
      </c>
      <c r="AH27" s="65">
        <f>VLOOKUP($O27,'NO USAR1'!$A$4:$L$399,6,False)*$Y$19</f>
        <v>0.8011379786</v>
      </c>
      <c r="AI27" s="65">
        <f>VLOOKUP($O27,'NO USAR1'!$A$4:$L$399,7,False)*$Z$19</f>
        <v>0</v>
      </c>
      <c r="AJ27" s="65">
        <f>VLOOKUP($O27,'NO USAR1'!$A$4:$L$399,8,False)*$AA$19</f>
        <v>0</v>
      </c>
      <c r="AK27" s="70">
        <f>VLOOKUP($O27,'NO USAR1'!$A$4:$L$399,10,False)*$AB$19</f>
        <v>-0.40757148</v>
      </c>
      <c r="AL27" s="65">
        <f>VLOOKUP($O27,'NO USAR1'!$A$4:$L$399,12,False)*$AC$19</f>
        <v>0</v>
      </c>
      <c r="AM27" s="71">
        <f t="shared" si="2"/>
        <v>-0.40757148</v>
      </c>
      <c r="AN27" s="71">
        <f t="shared" si="3"/>
        <v>-0.40757148</v>
      </c>
    </row>
    <row r="28">
      <c r="A28" t="str">
        <f>IF('NO USAR2'!B26="",ROW('NO USAR2'!B26),'NO USAR2'!B26)</f>
        <v>Chris Paul</v>
      </c>
      <c r="B28" s="58">
        <f>IF(TYPE($A28)=1,"",('NO USAR2'!$L26-B$1)/B$2)</f>
        <v>-0.4532203906</v>
      </c>
      <c r="C28" s="58">
        <f>IF(TYPE($A28)=1,"",('NO USAR2'!$K26-C$1)/C$2)</f>
        <v>-0.6133955598</v>
      </c>
      <c r="D28" s="58">
        <f>IF(TYPE($A28)=1,"",('NO USAR2'!$M26-D$1)/D$2)</f>
        <v>-0.7651984031</v>
      </c>
      <c r="E28" s="58">
        <f>IF(TYPE($A28)=1,"",('NO USAR2'!$N26-E$1)/E$2)</f>
        <v>3.103651829</v>
      </c>
      <c r="F28" s="58">
        <f>IF(TYPE($A28)=1,"",('NO USAR2'!$O26-F$1)/F$2)</f>
        <v>1.949069931</v>
      </c>
      <c r="G28" s="58">
        <f>IF(TYPE($A28)=1,"",('NO USAR2'!$P26-G$1)/G$2)</f>
        <v>-0.8184360358</v>
      </c>
      <c r="H28" s="58">
        <f>IF(TYPE($A28)=1,"",('NO USAR2'!$H26-H$1)/H$2*I28/$I$1)</f>
        <v>0.0282451502</v>
      </c>
      <c r="I28" s="58">
        <f>IF(TYPE($A28)=1,"",IF('NO USAR2'!H26=0,0,'NO USAR2'!G26/'NO USAR2'!H26))</f>
        <v>11</v>
      </c>
      <c r="J28" s="59">
        <f>IF(TYPE($A28)=1,"",('NO USAR2'!$J26-J$1)/J$2*K28/$K$1)</f>
        <v>0.4219184629</v>
      </c>
      <c r="K28" s="60">
        <f>IF(TYPE($A28)=1,"",IF('NO USAR2'!J26=0,0,'NO USAR2'!I26/'NO USAR2'!J26))</f>
        <v>3</v>
      </c>
      <c r="L28" s="58">
        <f>IF(TYPE($A28)=1,"",-('NO USAR2'!$Q26-L$1)/L$2)</f>
        <v>-0.3081342297</v>
      </c>
      <c r="M28" t="s">
        <v>95</v>
      </c>
      <c r="N28" s="2">
        <v>8.0</v>
      </c>
      <c r="O28" s="68" t="str">
        <f>IF('NO USAR2'!B6="",ROW('NO USAR2'!B6),'NO USAR2'!B6)</f>
        <v>Giannis Antetokounmpo</v>
      </c>
      <c r="P28" s="68">
        <f>'NO USAR2'!E9</f>
        <v>74</v>
      </c>
      <c r="Q28" s="68" t="str">
        <f>IF('NO USAR2'!C6="",ROW('NO USAR2'!N21),'NO USAR2'!C6)</f>
        <v>PF/C</v>
      </c>
      <c r="R28" s="65">
        <f>VLOOKUP($O28,'NO USAR1'!$A$4:$L$399,2,False)+VLOOKUP($O28,'NO USAR1'!$A$4:$L$399,3,False)+VLOOKUP($O28,'NO USAR1'!$A$4:$L$399,4,False)+VLOOKUP($O28,'NO USAR1'!$A$4:$L$399,5,False)+VLOOKUP($O28,'NO USAR1'!$A$4:$L$399,6,False)+VLOOKUP($O28,'NO USAR1'!$A$4:$L$399,7,False)+VLOOKUP($O28,'NO USAR1'!$A$4:$L$399,8,False)+VLOOKUP($O28,'NO USAR1'!$A$4:$L$399,10,False)+VLOOKUP($O28,'NO USAR1'!$A$4:$L$399,12,False)*0</f>
        <v>5.833275061</v>
      </c>
      <c r="S28" s="65">
        <f>VLOOKUP($O28,'NO USAR1'!$A$4:$L$399,2,False)*$U$19+VLOOKUP($O28,'NO USAR1'!$A$4:$L$399,3,False)*$V$19+VLOOKUP($O28,'NO USAR1'!$A$4:$L$399,4,False)*$W$19+VLOOKUP($O28,'NO USAR1'!$A$4:$L$399,5,False)*$X$19+VLOOKUP($O28,'NO USAR1'!$A$4:$L$399,6,False)*$Y$19+VLOOKUP($O28,'NO USAR1'!$A$4:$L$399,7,False)*$Z$19+VLOOKUP($O28,'NO USAR1'!$A$4:$L$399,8,False)*$AA$19+VLOOKUP($O28,'NO USAR1'!$A$4:$L$399,10,False)*$AB$19+VLOOKUP($O28,'NO USAR1'!$A$4:$L$399,12,False)*$AC$19+IF(Projections!$K$3,-AN28, IF(Projections!$J$3,-AM28,0))</f>
        <v>5.758667766</v>
      </c>
      <c r="T28" s="65">
        <f t="shared" si="1"/>
        <v>-0.07460729577</v>
      </c>
      <c r="U28" s="65">
        <f>VLOOKUP($O28,'NO USAR2'!$B$2:$R$397,11,False)</f>
        <v>30.3</v>
      </c>
      <c r="V28" s="69">
        <f>VLOOKUP($O28,'NO USAR2'!$B$2:$R$397,10,False)</f>
        <v>1.1</v>
      </c>
      <c r="W28" s="65">
        <f>VLOOKUP($O28,'NO USAR2'!$B$2:$R$397,12,False)</f>
        <v>11.8</v>
      </c>
      <c r="X28" s="65">
        <f>VLOOKUP($O28,'NO USAR2'!$B$2:$R$397,13,False)</f>
        <v>5.9</v>
      </c>
      <c r="Y28" s="65">
        <f>VLOOKUP($O28,'NO USAR2'!$B$2:$R$397,14,False)</f>
        <v>1.1</v>
      </c>
      <c r="Z28" s="70">
        <f>VLOOKUP($O28,'NO USAR2'!$B$2:$R$397,15,False)</f>
        <v>1.4</v>
      </c>
      <c r="AA28" s="65">
        <f>100*VLOOKUP($O28,'NO USAR2'!$B$2:$R$397,7,False)</f>
        <v>55.31914894</v>
      </c>
      <c r="AB28" s="65">
        <f>100*VLOOKUP($O28,'NO USAR2'!$B$2:$R$397,9,False)</f>
        <v>72.4137931</v>
      </c>
      <c r="AC28" s="65">
        <f>VLOOKUP($O28,'NO USAR2'!$B$2:$Q$397,16,False)</f>
        <v>3.4</v>
      </c>
      <c r="AD28" s="65">
        <f>VLOOKUP($O28,'NO USAR1'!$A$4:$L$399,2,False)*$U$19</f>
        <v>3.554098544</v>
      </c>
      <c r="AE28" s="65">
        <f>VLOOKUP($O28,'NO USAR1'!$A$4:$L$399,3,False)*$V$19</f>
        <v>-0.5134000036</v>
      </c>
      <c r="AF28" s="65">
        <f>VLOOKUP($O28,'NO USAR1'!$A$4:$L$399,4,False)*$W$19</f>
        <v>2.33723866</v>
      </c>
      <c r="AG28" s="65">
        <f>VLOOKUP($O28,'NO USAR1'!$A$4:$L$399,5,False)*$X$19</f>
        <v>1.254376017</v>
      </c>
      <c r="AH28" s="65">
        <f>VLOOKUP($O28,'NO USAR1'!$A$4:$L$399,6,False)*$Y$19</f>
        <v>0.3923381197</v>
      </c>
      <c r="AI28" s="65">
        <f>VLOOKUP($O28,'NO USAR1'!$A$4:$L$399,7,False)*$Z$19</f>
        <v>0</v>
      </c>
      <c r="AJ28" s="65">
        <f>VLOOKUP($O28,'NO USAR1'!$A$4:$L$399,8,False)*$AA$19</f>
        <v>0</v>
      </c>
      <c r="AK28" s="70">
        <f>VLOOKUP($O28,'NO USAR1'!$A$4:$L$399,10,False)*$AB$19</f>
        <v>-1.265983572</v>
      </c>
      <c r="AL28" s="65">
        <f>VLOOKUP($O28,'NO USAR1'!$A$4:$L$399,12,False)*$AC$19</f>
        <v>0</v>
      </c>
      <c r="AM28" s="71">
        <f t="shared" si="2"/>
        <v>-1.265983572</v>
      </c>
      <c r="AN28" s="71">
        <f t="shared" si="3"/>
        <v>-1.779383575</v>
      </c>
    </row>
    <row r="29">
      <c r="A29" t="str">
        <f>IF('NO USAR2'!B27="",ROW('NO USAR2'!B27),'NO USAR2'!B27)</f>
        <v>Domantas Sabonis</v>
      </c>
      <c r="B29" s="58">
        <f>IF(TYPE($A29)=1,"",('NO USAR2'!$L27-B$1)/B$2)</f>
        <v>0.381138809</v>
      </c>
      <c r="C29" s="58">
        <f>IF(TYPE($A29)=1,"",('NO USAR2'!$K27-C$1)/C$2)</f>
        <v>-1.013377785</v>
      </c>
      <c r="D29" s="58">
        <f>IF(TYPE($A29)=1,"",('NO USAR2'!$M27-D$1)/D$2)</f>
        <v>2.33723866</v>
      </c>
      <c r="E29" s="58">
        <f>IF(TYPE($A29)=1,"",('NO USAR2'!$N27-E$1)/E$2)</f>
        <v>0.8208789862</v>
      </c>
      <c r="F29" s="58">
        <f>IF(TYPE($A29)=1,"",('NO USAR2'!$O27-F$1)/F$2)</f>
        <v>-0.01316939143</v>
      </c>
      <c r="G29" s="58">
        <f>IF(TYPE($A29)=1,"",('NO USAR2'!$P27-G$1)/G$2)</f>
        <v>-0.4064530313</v>
      </c>
      <c r="H29" s="58">
        <f>IF(TYPE($A29)=1,"",('NO USAR2'!$H27-H$1)/H$2*I29/$I$1)</f>
        <v>1.042253918</v>
      </c>
      <c r="I29" s="58">
        <f>IF(TYPE($A29)=1,"",IF('NO USAR2'!H27=0,0,'NO USAR2'!G27/'NO USAR2'!H27))</f>
        <v>13.1</v>
      </c>
      <c r="J29" s="59">
        <f>IF(TYPE($A29)=1,"",('NO USAR2'!$J27-J$1)/J$2*K29/$K$1)</f>
        <v>-0.7618359867</v>
      </c>
      <c r="K29" s="60">
        <f>IF(TYPE($A29)=1,"",IF('NO USAR2'!J27=0,0,'NO USAR2'!I27/'NO USAR2'!J27))</f>
        <v>5.1</v>
      </c>
      <c r="L29" s="58">
        <f>IF(TYPE($A29)=1,"",-('NO USAR2'!$Q27-L$1)/L$2)</f>
        <v>-1.301422696</v>
      </c>
      <c r="M29" t="s">
        <v>96</v>
      </c>
      <c r="N29" s="63">
        <v>9.0</v>
      </c>
      <c r="O29" s="68" t="str">
        <f>IF('NO USAR2'!B13="",ROW('NO USAR2'!B13),'NO USAR2'!B13)</f>
        <v>LaMelo Ball</v>
      </c>
      <c r="P29" s="68">
        <f>'NO USAR2'!E10</f>
        <v>59</v>
      </c>
      <c r="Q29" s="68" t="str">
        <f>IF('NO USAR2'!C13="",ROW('NO USAR2'!N28),'NO USAR2'!C13)</f>
        <v>PG</v>
      </c>
      <c r="R29" s="65">
        <f>VLOOKUP($O29,'NO USAR1'!$A$4:$L$399,2,False)+VLOOKUP($O29,'NO USAR1'!$A$4:$L$399,3,False)+VLOOKUP($O29,'NO USAR1'!$A$4:$L$399,4,False)+VLOOKUP($O29,'NO USAR1'!$A$4:$L$399,5,False)+VLOOKUP($O29,'NO USAR1'!$A$4:$L$399,6,False)+VLOOKUP($O29,'NO USAR1'!$A$4:$L$399,7,False)+VLOOKUP($O29,'NO USAR1'!$A$4:$L$399,8,False)+VLOOKUP($O29,'NO USAR1'!$A$4:$L$399,10,False)+VLOOKUP($O29,'NO USAR1'!$A$4:$L$399,12,False)*0</f>
        <v>5.523537918</v>
      </c>
      <c r="S29" s="65">
        <f>VLOOKUP($O29,'NO USAR1'!$A$4:$L$399,2,False)*$U$19+VLOOKUP($O29,'NO USAR1'!$A$4:$L$399,3,False)*$V$19+VLOOKUP($O29,'NO USAR1'!$A$4:$L$399,4,False)*$W$19+VLOOKUP($O29,'NO USAR1'!$A$4:$L$399,5,False)*$X$19+VLOOKUP($O29,'NO USAR1'!$A$4:$L$399,6,False)*$Y$19+VLOOKUP($O29,'NO USAR1'!$A$4:$L$399,7,False)*$Z$19+VLOOKUP($O29,'NO USAR1'!$A$4:$L$399,8,False)*$AA$19+VLOOKUP($O29,'NO USAR1'!$A$4:$L$399,10,False)*$AB$19+VLOOKUP($O29,'NO USAR1'!$A$4:$L$399,12,False)*$AC$19+IF(Projections!$K$3,-AN29, IF(Projections!$J$3,-AM29,0))</f>
        <v>8.332986906</v>
      </c>
      <c r="T29" s="65">
        <f t="shared" si="1"/>
        <v>2.809448988</v>
      </c>
      <c r="U29" s="65">
        <f>VLOOKUP($O29,'NO USAR2'!$B$2:$R$397,11,False)</f>
        <v>21.3</v>
      </c>
      <c r="V29" s="69">
        <f>VLOOKUP($O29,'NO USAR2'!$B$2:$R$397,10,False)</f>
        <v>3.1</v>
      </c>
      <c r="W29" s="65">
        <f>VLOOKUP($O29,'NO USAR2'!$B$2:$R$397,12,False)</f>
        <v>6.9</v>
      </c>
      <c r="X29" s="65">
        <f>VLOOKUP($O29,'NO USAR2'!$B$2:$R$397,13,False)</f>
        <v>8.2</v>
      </c>
      <c r="Y29" s="65">
        <f>VLOOKUP($O29,'NO USAR2'!$B$2:$R$397,14,False)</f>
        <v>1.6</v>
      </c>
      <c r="Z29" s="70">
        <f>VLOOKUP($O29,'NO USAR2'!$B$2:$R$397,15,False)</f>
        <v>0.4</v>
      </c>
      <c r="AA29" s="65">
        <f>100*VLOOKUP($O29,'NO USAR2'!$B$2:$R$397,7,False)</f>
        <v>43.25842697</v>
      </c>
      <c r="AB29" s="65">
        <f>100*VLOOKUP($O29,'NO USAR2'!$B$2:$R$397,9,False)</f>
        <v>85.29411765</v>
      </c>
      <c r="AC29" s="65">
        <f>VLOOKUP($O29,'NO USAR2'!$B$2:$Q$397,16,False)</f>
        <v>3.5</v>
      </c>
      <c r="AD29" s="65">
        <f>VLOOKUP($O29,'NO USAR1'!$A$4:$L$399,2,False)*$U$19</f>
        <v>1.157534886</v>
      </c>
      <c r="AE29" s="65">
        <f>VLOOKUP($O29,'NO USAR1'!$A$4:$L$399,3,False)*$V$19</f>
        <v>1.486511122</v>
      </c>
      <c r="AF29" s="65">
        <f>VLOOKUP($O29,'NO USAR1'!$A$4:$L$399,4,False)*$W$19</f>
        <v>0.3369831851</v>
      </c>
      <c r="AG29" s="65">
        <f>VLOOKUP($O29,'NO USAR1'!$A$4:$L$399,5,False)*$X$19</f>
        <v>2.566970402</v>
      </c>
      <c r="AH29" s="65">
        <f>VLOOKUP($O29,'NO USAR1'!$A$4:$L$399,6,False)*$Y$19</f>
        <v>2.436337414</v>
      </c>
      <c r="AI29" s="65">
        <f>VLOOKUP($O29,'NO USAR1'!$A$4:$L$399,7,False)*$Z$19</f>
        <v>0</v>
      </c>
      <c r="AJ29" s="65">
        <f>VLOOKUP($O29,'NO USAR1'!$A$4:$L$399,8,False)*$AA$19</f>
        <v>0</v>
      </c>
      <c r="AK29" s="70">
        <f>VLOOKUP($O29,'NO USAR1'!$A$4:$L$399,10,False)*$AB$19</f>
        <v>0.3486498974</v>
      </c>
      <c r="AL29" s="65">
        <f>VLOOKUP($O29,'NO USAR1'!$A$4:$L$399,12,False)*$AC$19</f>
        <v>0</v>
      </c>
      <c r="AM29" s="71">
        <f t="shared" si="2"/>
        <v>0</v>
      </c>
      <c r="AN29" s="71">
        <f t="shared" si="3"/>
        <v>0</v>
      </c>
    </row>
    <row r="30">
      <c r="A30" t="str">
        <f>IF('NO USAR2'!B28="",ROW('NO USAR2'!B28),'NO USAR2'!B28)</f>
        <v>Shai Gilgeous-Alexander</v>
      </c>
      <c r="B30" s="58">
        <f>IF(TYPE($A30)=1,"",('NO USAR2'!$L28-B$1)/B$2)</f>
        <v>1.410773566</v>
      </c>
      <c r="C30" s="58">
        <f>IF(TYPE($A30)=1,"",('NO USAR2'!$K28-C$1)/C$2)</f>
        <v>-0.01342222232</v>
      </c>
      <c r="D30" s="58">
        <f>IF(TYPE($A30)=1,"",('NO USAR2'!$M28-D$1)/D$2)</f>
        <v>-0.3978045404</v>
      </c>
      <c r="E30" s="58">
        <f>IF(TYPE($A30)=1,"",('NO USAR2'!$N28-E$1)/E$2)</f>
        <v>0.9121898999</v>
      </c>
      <c r="F30" s="58">
        <f>IF(TYPE($A30)=1,"",('NO USAR2'!$O28-F$1)/F$2)</f>
        <v>0.6409103829</v>
      </c>
      <c r="G30" s="58">
        <f>IF(TYPE($A30)=1,"",('NO USAR2'!$P28-G$1)/G$2)</f>
        <v>0.2115214755</v>
      </c>
      <c r="H30" s="58">
        <f>IF(TYPE($A30)=1,"",('NO USAR2'!$H28-H$1)/H$2*I30/$I$1)</f>
        <v>-0.4549517463</v>
      </c>
      <c r="I30" s="58">
        <f>IF(TYPE($A30)=1,"",IF('NO USAR2'!H28=0,0,'NO USAR2'!G28/'NO USAR2'!H28))</f>
        <v>18.4</v>
      </c>
      <c r="J30" s="59">
        <f>IF(TYPE($A30)=1,"",('NO USAR2'!$J28-J$1)/J$2*K30/$K$1)</f>
        <v>0.4929183664</v>
      </c>
      <c r="K30" s="60">
        <f>IF(TYPE($A30)=1,"",IF('NO USAR2'!J28=0,0,'NO USAR2'!I28/'NO USAR2'!J28))</f>
        <v>7.4</v>
      </c>
      <c r="L30" s="58">
        <f>IF(TYPE($A30)=1,"",-('NO USAR2'!$Q28-L$1)/L$2)</f>
        <v>-0.9703265406</v>
      </c>
      <c r="M30" t="s">
        <v>98</v>
      </c>
      <c r="N30" s="63">
        <v>10.0</v>
      </c>
      <c r="O30" s="68" t="str">
        <f>IF('NO USAR2'!B10="",ROW('NO USAR2'!B10),'NO USAR2'!B10)</f>
        <v>Kyrie Irving</v>
      </c>
      <c r="P30" s="68">
        <f>'NO USAR2'!E11</f>
        <v>69</v>
      </c>
      <c r="Q30" s="68" t="str">
        <f>IF('NO USAR2'!C10="",ROW('NO USAR2'!N25),'NO USAR2'!C10)</f>
        <v>PG/SG</v>
      </c>
      <c r="R30" s="65">
        <f>VLOOKUP($O30,'NO USAR1'!$A$4:$L$399,2,False)+VLOOKUP($O30,'NO USAR1'!$A$4:$L$399,3,False)+VLOOKUP($O30,'NO USAR1'!$A$4:$L$399,4,False)+VLOOKUP($O30,'NO USAR1'!$A$4:$L$399,5,False)+VLOOKUP($O30,'NO USAR1'!$A$4:$L$399,6,False)+VLOOKUP($O30,'NO USAR1'!$A$4:$L$399,7,False)+VLOOKUP($O30,'NO USAR1'!$A$4:$L$399,8,False)+VLOOKUP($O30,'NO USAR1'!$A$4:$L$399,10,False)+VLOOKUP($O30,'NO USAR1'!$A$4:$L$399,12,False)*0</f>
        <v>5.036916742</v>
      </c>
      <c r="S30" s="65">
        <f>VLOOKUP($O30,'NO USAR1'!$A$4:$L$399,2,False)*$U$19+VLOOKUP($O30,'NO USAR1'!$A$4:$L$399,3,False)*$V$19+VLOOKUP($O30,'NO USAR1'!$A$4:$L$399,4,False)*$W$19+VLOOKUP($O30,'NO USAR1'!$A$4:$L$399,5,False)*$X$19+VLOOKUP($O30,'NO USAR1'!$A$4:$L$399,6,False)*$Y$19+VLOOKUP($O30,'NO USAR1'!$A$4:$L$399,7,False)*$Z$19+VLOOKUP($O30,'NO USAR1'!$A$4:$L$399,8,False)*$AA$19+VLOOKUP($O30,'NO USAR1'!$A$4:$L$399,10,False)*$AB$19+VLOOKUP($O30,'NO USAR1'!$A$4:$L$399,12,False)*$AC$19+IF(Projections!$K$3,-AN30, IF(Projections!$J$3,-AM30,0))</f>
        <v>5.886107849</v>
      </c>
      <c r="T30" s="65">
        <f t="shared" si="1"/>
        <v>0.8491911073</v>
      </c>
      <c r="U30" s="65">
        <f>VLOOKUP($O30,'NO USAR2'!$B$2:$R$397,11,False)</f>
        <v>26.6</v>
      </c>
      <c r="V30" s="69">
        <f>VLOOKUP($O30,'NO USAR2'!$B$2:$R$397,10,False)</f>
        <v>3.1</v>
      </c>
      <c r="W30" s="65">
        <f>VLOOKUP($O30,'NO USAR2'!$B$2:$R$397,12,False)</f>
        <v>4</v>
      </c>
      <c r="X30" s="65">
        <f>VLOOKUP($O30,'NO USAR2'!$B$2:$R$397,13,False)</f>
        <v>5.2</v>
      </c>
      <c r="Y30" s="65">
        <f>VLOOKUP($O30,'NO USAR2'!$B$2:$R$397,14,False)</f>
        <v>1.2</v>
      </c>
      <c r="Z30" s="70">
        <f>VLOOKUP($O30,'NO USAR2'!$B$2:$R$397,15,False)</f>
        <v>0.6</v>
      </c>
      <c r="AA30" s="65">
        <f>100*VLOOKUP($O30,'NO USAR2'!$B$2:$R$397,7,False)</f>
        <v>46.85990338</v>
      </c>
      <c r="AB30" s="65">
        <f>100*VLOOKUP($O30,'NO USAR2'!$B$2:$R$397,9,False)</f>
        <v>93.18181818</v>
      </c>
      <c r="AC30" s="65">
        <f>VLOOKUP($O30,'NO USAR2'!$B$2:$Q$397,16,False)</f>
        <v>2.5</v>
      </c>
      <c r="AD30" s="65">
        <f>VLOOKUP($O30,'NO USAR1'!$A$4:$L$399,2,False)*$U$19</f>
        <v>2.568844596</v>
      </c>
      <c r="AE30" s="65">
        <f>VLOOKUP($O30,'NO USAR1'!$A$4:$L$399,3,False)*$V$19</f>
        <v>1.486511122</v>
      </c>
      <c r="AF30" s="65">
        <f>VLOOKUP($O30,'NO USAR1'!$A$4:$L$399,4,False)*$W$19</f>
        <v>-0.8468414838</v>
      </c>
      <c r="AG30" s="65">
        <f>VLOOKUP($O30,'NO USAR1'!$A$4:$L$399,5,False)*$X$19</f>
        <v>0.8548907695</v>
      </c>
      <c r="AH30" s="65">
        <f>VLOOKUP($O30,'NO USAR1'!$A$4:$L$399,6,False)*$Y$19</f>
        <v>0.8011379786</v>
      </c>
      <c r="AI30" s="65">
        <f>VLOOKUP($O30,'NO USAR1'!$A$4:$L$399,7,False)*$Z$19</f>
        <v>0</v>
      </c>
      <c r="AJ30" s="65">
        <f>VLOOKUP($O30,'NO USAR1'!$A$4:$L$399,8,False)*$AA$19</f>
        <v>0</v>
      </c>
      <c r="AK30" s="70">
        <f>VLOOKUP($O30,'NO USAR1'!$A$4:$L$399,10,False)*$AB$19</f>
        <v>1.021564868</v>
      </c>
      <c r="AL30" s="65">
        <f>VLOOKUP($O30,'NO USAR1'!$A$4:$L$399,12,False)*$AC$19</f>
        <v>0</v>
      </c>
      <c r="AM30" s="71">
        <f t="shared" si="2"/>
        <v>-0.8468414838</v>
      </c>
      <c r="AN30" s="71">
        <f t="shared" si="3"/>
        <v>-0.8468414838</v>
      </c>
    </row>
    <row r="31">
      <c r="A31" t="str">
        <f>IF('NO USAR2'!B29="",ROW('NO USAR2'!B29),'NO USAR2'!B29)</f>
        <v>Fred VanVleet</v>
      </c>
      <c r="B31" s="58">
        <f>IF(TYPE($A31)=1,"",('NO USAR2'!$L29-B$1)/B$2)</f>
        <v>0.5409097196</v>
      </c>
      <c r="C31" s="58">
        <f>IF(TYPE($A31)=1,"",('NO USAR2'!$K29-C$1)/C$2)</f>
        <v>1.986488903</v>
      </c>
      <c r="D31" s="58">
        <f>IF(TYPE($A31)=1,"",('NO USAR2'!$M29-D$1)/D$2)</f>
        <v>-0.6835553225</v>
      </c>
      <c r="E31" s="58">
        <f>IF(TYPE($A31)=1,"",('NO USAR2'!$N29-E$1)/E$2)</f>
        <v>1.323089012</v>
      </c>
      <c r="F31" s="58">
        <f>IF(TYPE($A31)=1,"",('NO USAR2'!$O29-F$1)/F$2)</f>
        <v>1.622030044</v>
      </c>
      <c r="G31" s="58">
        <f>IF(TYPE($A31)=1,"",('NO USAR2'!$P29-G$1)/G$2)</f>
        <v>-0.4064530313</v>
      </c>
      <c r="H31" s="58">
        <f>IF(TYPE($A31)=1,"",('NO USAR2'!$H29-H$1)/H$2*I31/$I$1)</f>
        <v>-1.639106378</v>
      </c>
      <c r="I31" s="58">
        <f>IF(TYPE($A31)=1,"",IF('NO USAR2'!H29=0,0,'NO USAR2'!G29/'NO USAR2'!H29))</f>
        <v>16.6</v>
      </c>
      <c r="J31" s="59">
        <f>IF(TYPE($A31)=1,"",('NO USAR2'!$J29-J$1)/J$2*K31/$K$1)</f>
        <v>1.0259881</v>
      </c>
      <c r="K31" s="60">
        <f>IF(TYPE($A31)=1,"",IF('NO USAR2'!J29=0,0,'NO USAR2'!I29/'NO USAR2'!J29))</f>
        <v>3.4</v>
      </c>
      <c r="L31" s="58">
        <f>IF(TYPE($A31)=1,"",-('NO USAR2'!$Q29-L$1)/L$2)</f>
        <v>-0.6392303852</v>
      </c>
      <c r="M31" t="s">
        <v>100</v>
      </c>
      <c r="N31" s="2">
        <v>11.0</v>
      </c>
      <c r="O31" s="68" t="str">
        <f>IF('NO USAR2'!B20="",ROW('NO USAR2'!B20),'NO USAR2'!B20)</f>
        <v>Paul George</v>
      </c>
      <c r="P31" s="68">
        <f>'NO USAR2'!E12</f>
        <v>76</v>
      </c>
      <c r="Q31" s="68" t="str">
        <f>IF('NO USAR2'!C20="",ROW('NO USAR2'!N35),'NO USAR2'!C20)</f>
        <v>PG/SG</v>
      </c>
      <c r="R31" s="65">
        <f>VLOOKUP($O31,'NO USAR1'!$A$4:$L$399,2,False)+VLOOKUP($O31,'NO USAR1'!$A$4:$L$399,3,False)+VLOOKUP($O31,'NO USAR1'!$A$4:$L$399,4,False)+VLOOKUP($O31,'NO USAR1'!$A$4:$L$399,5,False)+VLOOKUP($O31,'NO USAR1'!$A$4:$L$399,6,False)+VLOOKUP($O31,'NO USAR1'!$A$4:$L$399,7,False)+VLOOKUP($O31,'NO USAR1'!$A$4:$L$399,8,False)+VLOOKUP($O31,'NO USAR1'!$A$4:$L$399,10,False)+VLOOKUP($O31,'NO USAR1'!$A$4:$L$399,12,False)*0</f>
        <v>4.948794323</v>
      </c>
      <c r="S31" s="65">
        <f>VLOOKUP($O31,'NO USAR1'!$A$4:$L$399,2,False)*$U$19+VLOOKUP($O31,'NO USAR1'!$A$4:$L$399,3,False)*$V$19+VLOOKUP($O31,'NO USAR1'!$A$4:$L$399,4,False)*$W$19+VLOOKUP($O31,'NO USAR1'!$A$4:$L$399,5,False)*$X$19+VLOOKUP($O31,'NO USAR1'!$A$4:$L$399,6,False)*$Y$19+VLOOKUP($O31,'NO USAR1'!$A$4:$L$399,7,False)*$Z$19+VLOOKUP($O31,'NO USAR1'!$A$4:$L$399,8,False)*$AA$19+VLOOKUP($O31,'NO USAR1'!$A$4:$L$399,10,False)*$AB$19+VLOOKUP($O31,'NO USAR1'!$A$4:$L$399,12,False)*$AC$19+IF(Projections!$K$3,-AN31, IF(Projections!$J$3,-AM31,0))</f>
        <v>6.874625253</v>
      </c>
      <c r="T31" s="65">
        <f t="shared" si="1"/>
        <v>1.92583093</v>
      </c>
      <c r="U31" s="65">
        <f>VLOOKUP($O31,'NO USAR2'!$B$2:$R$397,11,False)</f>
        <v>23.5</v>
      </c>
      <c r="V31" s="69">
        <f>VLOOKUP($O31,'NO USAR2'!$B$2:$R$397,10,False)</f>
        <v>2.9</v>
      </c>
      <c r="W31" s="65">
        <f>VLOOKUP($O31,'NO USAR2'!$B$2:$R$397,12,False)</f>
        <v>6.9</v>
      </c>
      <c r="X31" s="65">
        <f>VLOOKUP($O31,'NO USAR2'!$B$2:$R$397,13,False)</f>
        <v>4.7</v>
      </c>
      <c r="Y31" s="65">
        <f>VLOOKUP($O31,'NO USAR2'!$B$2:$R$397,14,False)</f>
        <v>1.6</v>
      </c>
      <c r="Z31" s="70">
        <f>VLOOKUP($O31,'NO USAR2'!$B$2:$R$397,15,False)</f>
        <v>0.4</v>
      </c>
      <c r="AA31" s="65">
        <f>100*VLOOKUP($O31,'NO USAR2'!$B$2:$R$397,7,False)</f>
        <v>45.85635359</v>
      </c>
      <c r="AB31" s="65">
        <f>100*VLOOKUP($O31,'NO USAR2'!$B$2:$R$397,9,False)</f>
        <v>85.41666667</v>
      </c>
      <c r="AC31" s="65">
        <f>VLOOKUP($O31,'NO USAR2'!$B$2:$Q$397,16,False)</f>
        <v>4.1</v>
      </c>
      <c r="AD31" s="65">
        <f>VLOOKUP($O31,'NO USAR1'!$A$4:$L$399,2,False)*$U$19</f>
        <v>1.743361558</v>
      </c>
      <c r="AE31" s="65">
        <f>VLOOKUP($O31,'NO USAR1'!$A$4:$L$399,3,False)*$V$19</f>
        <v>1.286520009</v>
      </c>
      <c r="AF31" s="65">
        <f>VLOOKUP($O31,'NO USAR1'!$A$4:$L$399,4,False)*$W$19</f>
        <v>0.3369831851</v>
      </c>
      <c r="AG31" s="65">
        <f>VLOOKUP($O31,'NO USAR1'!$A$4:$L$399,5,False)*$X$19</f>
        <v>0.5695441641</v>
      </c>
      <c r="AH31" s="65">
        <f>VLOOKUP($O31,'NO USAR1'!$A$4:$L$399,6,False)*$Y$19</f>
        <v>2.436337414</v>
      </c>
      <c r="AI31" s="65">
        <f>VLOOKUP($O31,'NO USAR1'!$A$4:$L$399,7,False)*$Z$19</f>
        <v>0</v>
      </c>
      <c r="AJ31" s="65">
        <f>VLOOKUP($O31,'NO USAR1'!$A$4:$L$399,8,False)*$AA$19</f>
        <v>0</v>
      </c>
      <c r="AK31" s="70">
        <f>VLOOKUP($O31,'NO USAR1'!$A$4:$L$399,10,False)*$AB$19</f>
        <v>0.5018789229</v>
      </c>
      <c r="AL31" s="65">
        <f>VLOOKUP($O31,'NO USAR1'!$A$4:$L$399,12,False)*$AC$19</f>
        <v>0</v>
      </c>
      <c r="AM31" s="71">
        <f t="shared" si="2"/>
        <v>0</v>
      </c>
      <c r="AN31" s="71">
        <f t="shared" si="3"/>
        <v>0</v>
      </c>
    </row>
    <row r="32">
      <c r="A32" t="str">
        <f>IF('NO USAR2'!B30="",ROW('NO USAR2'!B30),'NO USAR2'!B30)</f>
        <v>Robert Williams</v>
      </c>
      <c r="B32" s="58">
        <f>IF(TYPE($A32)=1,"",('NO USAR2'!$L30-B$1)/B$2)</f>
        <v>-1.269827267</v>
      </c>
      <c r="C32" s="58">
        <f>IF(TYPE($A32)=1,"",('NO USAR2'!$K30-C$1)/C$2)</f>
        <v>-1.613351122</v>
      </c>
      <c r="D32" s="58">
        <f>IF(TYPE($A32)=1,"",('NO USAR2'!$M30-D$1)/D$2)</f>
        <v>1.316700152</v>
      </c>
      <c r="E32" s="58">
        <f>IF(TYPE($A32)=1,"",('NO USAR2'!$N30-E$1)/E$2)</f>
        <v>-0.8227174609</v>
      </c>
      <c r="F32" s="58">
        <f>IF(TYPE($A32)=1,"",('NO USAR2'!$O30-F$1)/F$2)</f>
        <v>-0.6672491657</v>
      </c>
      <c r="G32" s="58">
        <f>IF(TYPE($A32)=1,"",('NO USAR2'!$P30-G$1)/G$2)</f>
        <v>2.889411005</v>
      </c>
      <c r="H32" s="58">
        <f>IF(TYPE($A32)=1,"",('NO USAR2'!$H30-H$1)/H$2*I32/$I$1)</f>
        <v>1.646752264</v>
      </c>
      <c r="I32" s="58">
        <f>IF(TYPE($A32)=1,"",IF('NO USAR2'!H30=0,0,'NO USAR2'!G30/'NO USAR2'!H30))</f>
        <v>6.1</v>
      </c>
      <c r="J32" s="59">
        <f>IF(TYPE($A32)=1,"",('NO USAR2'!$J30-J$1)/J$2*K32/$K$1)</f>
        <v>-0.2820732264</v>
      </c>
      <c r="K32" s="60">
        <f>IF(TYPE($A32)=1,"",IF('NO USAR2'!J30=0,0,'NO USAR2'!I30/'NO USAR2'!J30))</f>
        <v>1.5</v>
      </c>
      <c r="L32" s="58">
        <f>IF(TYPE($A32)=1,"",-('NO USAR2'!$Q30-L$1)/L$2)</f>
        <v>1.126615777</v>
      </c>
      <c r="M32" s="2" t="s">
        <v>103</v>
      </c>
      <c r="N32" s="63">
        <v>12.0</v>
      </c>
      <c r="O32" s="68" t="str">
        <f>IF('NO USAR2'!B12="",ROW('NO USAR2'!B12),'NO USAR2'!B12)</f>
        <v>Trae Young</v>
      </c>
      <c r="P32" s="68">
        <f>'NO USAR2'!E13</f>
        <v>76</v>
      </c>
      <c r="Q32" s="68" t="str">
        <f>IF('NO USAR2'!C12="",ROW('NO USAR2'!N27),'NO USAR2'!C12)</f>
        <v>PG</v>
      </c>
      <c r="R32" s="65">
        <f>VLOOKUP($O32,'NO USAR1'!$A$4:$L$399,2,False)+VLOOKUP($O32,'NO USAR1'!$A$4:$L$399,3,False)+VLOOKUP($O32,'NO USAR1'!$A$4:$L$399,4,False)+VLOOKUP($O32,'NO USAR1'!$A$4:$L$399,5,False)+VLOOKUP($O32,'NO USAR1'!$A$4:$L$399,6,False)+VLOOKUP($O32,'NO USAR1'!$A$4:$L$399,7,False)+VLOOKUP($O32,'NO USAR1'!$A$4:$L$399,8,False)+VLOOKUP($O32,'NO USAR1'!$A$4:$L$399,10,False)+VLOOKUP($O32,'NO USAR1'!$A$4:$L$399,12,False)*0</f>
        <v>4.931880321</v>
      </c>
      <c r="S32" s="65">
        <f>VLOOKUP($O32,'NO USAR1'!$A$4:$L$399,2,False)*$U$19+VLOOKUP($O32,'NO USAR1'!$A$4:$L$399,3,False)*$V$19+VLOOKUP($O32,'NO USAR1'!$A$4:$L$399,4,False)*$W$19+VLOOKUP($O32,'NO USAR1'!$A$4:$L$399,5,False)*$X$19+VLOOKUP($O32,'NO USAR1'!$A$4:$L$399,6,False)*$Y$19+VLOOKUP($O32,'NO USAR1'!$A$4:$L$399,7,False)*$Z$19+VLOOKUP($O32,'NO USAR1'!$A$4:$L$399,8,False)*$AA$19+VLOOKUP($O32,'NO USAR1'!$A$4:$L$399,10,False)*$AB$19+VLOOKUP($O32,'NO USAR1'!$A$4:$L$399,12,False)*$AC$19+IF(Projections!$K$3,-AN32, IF(Projections!$J$3,-AM32,0))</f>
        <v>7.049659084</v>
      </c>
      <c r="T32" s="65">
        <f t="shared" si="1"/>
        <v>2.117778763</v>
      </c>
      <c r="U32" s="65">
        <f>VLOOKUP($O32,'NO USAR2'!$B$2:$R$397,11,False)</f>
        <v>27.4</v>
      </c>
      <c r="V32" s="69">
        <f>VLOOKUP($O32,'NO USAR2'!$B$2:$R$397,10,False)</f>
        <v>3</v>
      </c>
      <c r="W32" s="65">
        <f>VLOOKUP($O32,'NO USAR2'!$B$2:$R$397,12,False)</f>
        <v>3.7</v>
      </c>
      <c r="X32" s="65">
        <f>VLOOKUP($O32,'NO USAR2'!$B$2:$R$397,13,False)</f>
        <v>8.7</v>
      </c>
      <c r="Y32" s="65">
        <f>VLOOKUP($O32,'NO USAR2'!$B$2:$R$397,14,False)</f>
        <v>0.9</v>
      </c>
      <c r="Z32" s="70">
        <f>VLOOKUP($O32,'NO USAR2'!$B$2:$R$397,15,False)</f>
        <v>0.1</v>
      </c>
      <c r="AA32" s="65">
        <f>100*VLOOKUP($O32,'NO USAR2'!$B$2:$R$397,7,False)</f>
        <v>45</v>
      </c>
      <c r="AB32" s="65">
        <f>100*VLOOKUP($O32,'NO USAR2'!$B$2:$R$397,9,False)</f>
        <v>91.42857143</v>
      </c>
      <c r="AC32" s="65">
        <f>VLOOKUP($O32,'NO USAR2'!$B$2:$Q$397,16,False)</f>
        <v>3.9</v>
      </c>
      <c r="AD32" s="65">
        <f>VLOOKUP($O32,'NO USAR1'!$A$4:$L$399,2,False)*$U$19</f>
        <v>2.781872476</v>
      </c>
      <c r="AE32" s="65">
        <f>VLOOKUP($O32,'NO USAR1'!$A$4:$L$399,3,False)*$V$19</f>
        <v>1.386515565</v>
      </c>
      <c r="AF32" s="65">
        <f>VLOOKUP($O32,'NO USAR1'!$A$4:$L$399,4,False)*$W$19</f>
        <v>-0.9693061047</v>
      </c>
      <c r="AG32" s="65">
        <f>VLOOKUP($O32,'NO USAR1'!$A$4:$L$399,5,False)*$X$19</f>
        <v>2.852317007</v>
      </c>
      <c r="AH32" s="65">
        <f>VLOOKUP($O32,'NO USAR1'!$A$4:$L$399,6,False)*$Y$19</f>
        <v>-0.4252615982</v>
      </c>
      <c r="AI32" s="65">
        <f>VLOOKUP($O32,'NO USAR1'!$A$4:$L$399,7,False)*$Z$19</f>
        <v>0</v>
      </c>
      <c r="AJ32" s="65">
        <f>VLOOKUP($O32,'NO USAR1'!$A$4:$L$399,8,False)*$AA$19</f>
        <v>0</v>
      </c>
      <c r="AK32" s="70">
        <f>VLOOKUP($O32,'NO USAR1'!$A$4:$L$399,10,False)*$AB$19</f>
        <v>1.423521738</v>
      </c>
      <c r="AL32" s="65">
        <f>VLOOKUP($O32,'NO USAR1'!$A$4:$L$399,12,False)*$AC$19</f>
        <v>0</v>
      </c>
      <c r="AM32" s="71">
        <f t="shared" si="2"/>
        <v>-0.9693061047</v>
      </c>
      <c r="AN32" s="71">
        <f t="shared" si="3"/>
        <v>-1.394567703</v>
      </c>
    </row>
    <row r="33">
      <c r="A33" t="str">
        <f>IF('NO USAR2'!B31="",ROW('NO USAR2'!B31),'NO USAR2'!B31)</f>
        <v>Darius Garland</v>
      </c>
      <c r="B33" s="58">
        <f>IF(TYPE($A33)=1,"",('NO USAR2'!$L31-B$1)/B$2)</f>
        <v>0.6651759834</v>
      </c>
      <c r="C33" s="58">
        <f>IF(TYPE($A33)=1,"",('NO USAR2'!$K31-C$1)/C$2)</f>
        <v>0.7865422277</v>
      </c>
      <c r="D33" s="58">
        <f>IF(TYPE($A33)=1,"",('NO USAR2'!$M31-D$1)/D$2)</f>
        <v>-1.214235346</v>
      </c>
      <c r="E33" s="58">
        <f>IF(TYPE($A33)=1,"",('NO USAR2'!$N31-E$1)/E$2)</f>
        <v>1.962265408</v>
      </c>
      <c r="F33" s="58">
        <f>IF(TYPE($A33)=1,"",('NO USAR2'!$O31-F$1)/F$2)</f>
        <v>0.96795027</v>
      </c>
      <c r="G33" s="58">
        <f>IF(TYPE($A33)=1,"",('NO USAR2'!$P31-G$1)/G$2)</f>
        <v>-1.23041904</v>
      </c>
      <c r="H33" s="58">
        <f>IF(TYPE($A33)=1,"",('NO USAR2'!$H31-H$1)/H$2*I33/$I$1)</f>
        <v>-0.3651337909</v>
      </c>
      <c r="I33" s="58">
        <f>IF(TYPE($A33)=1,"",IF('NO USAR2'!H31=0,0,'NO USAR2'!G31/'NO USAR2'!H31))</f>
        <v>16.4</v>
      </c>
      <c r="J33" s="59">
        <f>IF(TYPE($A33)=1,"",('NO USAR2'!$J31-J$1)/J$2*K33/$K$1)</f>
        <v>1.285831072</v>
      </c>
      <c r="K33" s="60">
        <f>IF(TYPE($A33)=1,"",IF('NO USAR2'!J31=0,0,'NO USAR2'!I31/'NO USAR2'!J31))</f>
        <v>3.3</v>
      </c>
      <c r="L33" s="58">
        <f>IF(TYPE($A33)=1,"",-('NO USAR2'!$Q31-L$1)/L$2)</f>
        <v>-1.522153466</v>
      </c>
      <c r="N33" s="63">
        <v>13.0</v>
      </c>
      <c r="O33" s="68" t="str">
        <f>IF('NO USAR2'!B15="",ROW('NO USAR2'!B15),'NO USAR2'!B15)</f>
        <v>Jayson Tatum</v>
      </c>
      <c r="P33" s="68">
        <f>'NO USAR2'!E14</f>
        <v>68</v>
      </c>
      <c r="Q33" s="68" t="str">
        <f>IF('NO USAR2'!C15="",ROW('NO USAR2'!N30),'NO USAR2'!C15)</f>
        <v>SF/PF</v>
      </c>
      <c r="R33" s="65">
        <f>VLOOKUP($O33,'NO USAR1'!$A$4:$L$399,2,False)+VLOOKUP($O33,'NO USAR1'!$A$4:$L$399,3,False)+VLOOKUP($O33,'NO USAR1'!$A$4:$L$399,4,False)+VLOOKUP($O33,'NO USAR1'!$A$4:$L$399,5,False)+VLOOKUP($O33,'NO USAR1'!$A$4:$L$399,6,False)+VLOOKUP($O33,'NO USAR1'!$A$4:$L$399,7,False)+VLOOKUP($O33,'NO USAR1'!$A$4:$L$399,8,False)+VLOOKUP($O33,'NO USAR1'!$A$4:$L$399,10,False)+VLOOKUP($O33,'NO USAR1'!$A$4:$L$399,12,False)*0</f>
        <v>4.916857057</v>
      </c>
      <c r="S33" s="65">
        <f>VLOOKUP($O33,'NO USAR1'!$A$4:$L$399,2,False)*$U$19+VLOOKUP($O33,'NO USAR1'!$A$4:$L$399,3,False)*$V$19+VLOOKUP($O33,'NO USAR1'!$A$4:$L$399,4,False)*$W$19+VLOOKUP($O33,'NO USAR1'!$A$4:$L$399,5,False)*$X$19+VLOOKUP($O33,'NO USAR1'!$A$4:$L$399,6,False)*$Y$19+VLOOKUP($O33,'NO USAR1'!$A$4:$L$399,7,False)*$Z$19+VLOOKUP($O33,'NO USAR1'!$A$4:$L$399,8,False)*$AA$19+VLOOKUP($O33,'NO USAR1'!$A$4:$L$399,10,False)*$AB$19+VLOOKUP($O33,'NO USAR1'!$A$4:$L$399,12,False)*$AC$19+IF(Projections!$K$3,-AN33, IF(Projections!$J$3,-AM33,0))</f>
        <v>6.348219011</v>
      </c>
      <c r="T33" s="65">
        <f t="shared" si="1"/>
        <v>1.431361953</v>
      </c>
      <c r="U33" s="65">
        <f>VLOOKUP($O33,'NO USAR2'!$B$2:$R$397,11,False)</f>
        <v>27.5</v>
      </c>
      <c r="V33" s="69">
        <f>VLOOKUP($O33,'NO USAR2'!$B$2:$R$397,10,False)</f>
        <v>3.1</v>
      </c>
      <c r="W33" s="65">
        <f>VLOOKUP($O33,'NO USAR2'!$B$2:$R$397,12,False)</f>
        <v>8.2</v>
      </c>
      <c r="X33" s="65">
        <f>VLOOKUP($O33,'NO USAR2'!$B$2:$R$397,13,False)</f>
        <v>4.6</v>
      </c>
      <c r="Y33" s="65">
        <f>VLOOKUP($O33,'NO USAR2'!$B$2:$R$397,14,False)</f>
        <v>1</v>
      </c>
      <c r="Z33" s="70">
        <f>VLOOKUP($O33,'NO USAR2'!$B$2:$R$397,15,False)</f>
        <v>0.6</v>
      </c>
      <c r="AA33" s="65">
        <f>100*VLOOKUP($O33,'NO USAR2'!$B$2:$R$397,7,False)</f>
        <v>45.23809524</v>
      </c>
      <c r="AB33" s="65">
        <f>100*VLOOKUP($O33,'NO USAR2'!$B$2:$R$397,9,False)</f>
        <v>85.71428571</v>
      </c>
      <c r="AC33" s="65">
        <f>VLOOKUP($O33,'NO USAR2'!$B$2:$Q$397,16,False)</f>
        <v>3</v>
      </c>
      <c r="AD33" s="65">
        <f>VLOOKUP($O33,'NO USAR1'!$A$4:$L$399,2,False)*$U$19</f>
        <v>2.808500962</v>
      </c>
      <c r="AE33" s="65">
        <f>VLOOKUP($O33,'NO USAR1'!$A$4:$L$399,3,False)*$V$19</f>
        <v>1.486511122</v>
      </c>
      <c r="AF33" s="65">
        <f>VLOOKUP($O33,'NO USAR1'!$A$4:$L$399,4,False)*$W$19</f>
        <v>0.867663209</v>
      </c>
      <c r="AG33" s="65">
        <f>VLOOKUP($O33,'NO USAR1'!$A$4:$L$399,5,False)*$X$19</f>
        <v>0.512474843</v>
      </c>
      <c r="AH33" s="65">
        <f>VLOOKUP($O33,'NO USAR1'!$A$4:$L$399,6,False)*$Y$19</f>
        <v>-0.01646173929</v>
      </c>
      <c r="AI33" s="65">
        <f>VLOOKUP($O33,'NO USAR1'!$A$4:$L$399,7,False)*$Z$19</f>
        <v>0</v>
      </c>
      <c r="AJ33" s="65">
        <f>VLOOKUP($O33,'NO USAR1'!$A$4:$L$399,8,False)*$AA$19</f>
        <v>0</v>
      </c>
      <c r="AK33" s="70">
        <f>VLOOKUP($O33,'NO USAR1'!$A$4:$L$399,10,False)*$AB$19</f>
        <v>0.689530615</v>
      </c>
      <c r="AL33" s="65">
        <f>VLOOKUP($O33,'NO USAR1'!$A$4:$L$399,12,False)*$AC$19</f>
        <v>0</v>
      </c>
      <c r="AM33" s="71">
        <f t="shared" si="2"/>
        <v>-0.01646173929</v>
      </c>
      <c r="AN33" s="71">
        <f t="shared" si="3"/>
        <v>-0.01646173929</v>
      </c>
    </row>
    <row r="34">
      <c r="A34" t="str">
        <f>IF('NO USAR2'!B32="",ROW('NO USAR2'!B32),'NO USAR2'!B32)</f>
        <v>Jrue Holiday</v>
      </c>
      <c r="B34" s="58">
        <f>IF(TYPE($A34)=1,"",('NO USAR2'!$L32-B$1)/B$2)</f>
        <v>0.2213678985</v>
      </c>
      <c r="C34" s="58">
        <f>IF(TYPE($A34)=1,"",('NO USAR2'!$K32-C$1)/C$2)</f>
        <v>0.3865600027</v>
      </c>
      <c r="D34" s="58">
        <f>IF(TYPE($A34)=1,"",('NO USAR2'!$M32-D$1)/D$2)</f>
        <v>-0.6019122419</v>
      </c>
      <c r="E34" s="58">
        <f>IF(TYPE($A34)=1,"",('NO USAR2'!$N32-E$1)/E$2)</f>
        <v>1.460055382</v>
      </c>
      <c r="F34" s="58">
        <f>IF(TYPE($A34)=1,"",('NO USAR2'!$O32-F$1)/F$2)</f>
        <v>1.949069931</v>
      </c>
      <c r="G34" s="58">
        <f>IF(TYPE($A34)=1,"",('NO USAR2'!$P32-G$1)/G$2)</f>
        <v>-0.6124445335</v>
      </c>
      <c r="H34" s="58">
        <f>IF(TYPE($A34)=1,"",('NO USAR2'!$H32-H$1)/H$2*I34/$I$1)</f>
        <v>0.1836537198</v>
      </c>
      <c r="I34" s="58">
        <f>IF(TYPE($A34)=1,"",IF('NO USAR2'!H32=0,0,'NO USAR2'!G32/'NO USAR2'!H32))</f>
        <v>14</v>
      </c>
      <c r="J34" s="59">
        <f>IF(TYPE($A34)=1,"",('NO USAR2'!$J32-J$1)/J$2*K34/$K$1)</f>
        <v>-0.3731488136</v>
      </c>
      <c r="K34" s="60">
        <f>IF(TYPE($A34)=1,"",IF('NO USAR2'!J32=0,0,'NO USAR2'!I32/'NO USAR2'!J32))</f>
        <v>2.8</v>
      </c>
      <c r="L34" s="58">
        <f>IF(TYPE($A34)=1,"",-('NO USAR2'!$Q32-L$1)/L$2)</f>
        <v>-0.8599611555</v>
      </c>
      <c r="N34" s="2">
        <v>14.0</v>
      </c>
      <c r="O34" s="68" t="str">
        <f>IF('NO USAR2'!B9="",ROW('NO USAR2'!B9),'NO USAR2'!B9)</f>
        <v>Karl-Anthony Towns</v>
      </c>
      <c r="P34" s="68">
        <f>'NO USAR2'!E15</f>
        <v>74</v>
      </c>
      <c r="Q34" s="68" t="str">
        <f>IF('NO USAR2'!C9="",ROW('NO USAR2'!N24),'NO USAR2'!C9)</f>
        <v>C</v>
      </c>
      <c r="R34" s="65">
        <f>VLOOKUP($O34,'NO USAR1'!$A$4:$L$399,2,False)+VLOOKUP($O34,'NO USAR1'!$A$4:$L$399,3,False)+VLOOKUP($O34,'NO USAR1'!$A$4:$L$399,4,False)+VLOOKUP($O34,'NO USAR1'!$A$4:$L$399,5,False)+VLOOKUP($O34,'NO USAR1'!$A$4:$L$399,6,False)+VLOOKUP($O34,'NO USAR1'!$A$4:$L$399,7,False)+VLOOKUP($O34,'NO USAR1'!$A$4:$L$399,8,False)+VLOOKUP($O34,'NO USAR1'!$A$4:$L$399,10,False)+VLOOKUP($O34,'NO USAR1'!$A$4:$L$399,12,False)*0</f>
        <v>4.752153549</v>
      </c>
      <c r="S34" s="65">
        <f>VLOOKUP($O34,'NO USAR1'!$A$4:$L$399,2,False)*$U$19+VLOOKUP($O34,'NO USAR1'!$A$4:$L$399,3,False)*$V$19+VLOOKUP($O34,'NO USAR1'!$A$4:$L$399,4,False)*$W$19+VLOOKUP($O34,'NO USAR1'!$A$4:$L$399,5,False)*$X$19+VLOOKUP($O34,'NO USAR1'!$A$4:$L$399,6,False)*$Y$19+VLOOKUP($O34,'NO USAR1'!$A$4:$L$399,7,False)*$Z$19+VLOOKUP($O34,'NO USAR1'!$A$4:$L$399,8,False)*$AA$19+VLOOKUP($O34,'NO USAR1'!$A$4:$L$399,10,False)*$AB$19+VLOOKUP($O34,'NO USAR1'!$A$4:$L$399,12,False)*$AC$19+IF(Projections!$K$3,-AN34, IF(Projections!$J$3,-AM34,0))</f>
        <v>3.779362775</v>
      </c>
      <c r="T34" s="65">
        <f t="shared" si="1"/>
        <v>-0.972790774</v>
      </c>
      <c r="U34" s="65">
        <f>VLOOKUP($O34,'NO USAR2'!$B$2:$R$397,11,False)</f>
        <v>23.4</v>
      </c>
      <c r="V34" s="69">
        <f>VLOOKUP($O34,'NO USAR2'!$B$2:$R$397,10,False)</f>
        <v>2.2</v>
      </c>
      <c r="W34" s="65">
        <f>VLOOKUP($O34,'NO USAR2'!$B$2:$R$397,12,False)</f>
        <v>8.7</v>
      </c>
      <c r="X34" s="65">
        <f>VLOOKUP($O34,'NO USAR2'!$B$2:$R$397,13,False)</f>
        <v>3.7</v>
      </c>
      <c r="Y34" s="65">
        <f>VLOOKUP($O34,'NO USAR2'!$B$2:$R$397,14,False)</f>
        <v>1</v>
      </c>
      <c r="Z34" s="70">
        <f>VLOOKUP($O34,'NO USAR2'!$B$2:$R$397,15,False)</f>
        <v>1</v>
      </c>
      <c r="AA34" s="65">
        <f>100*VLOOKUP($O34,'NO USAR2'!$B$2:$R$397,7,False)</f>
        <v>51.59235669</v>
      </c>
      <c r="AB34" s="65">
        <f>100*VLOOKUP($O34,'NO USAR2'!$B$2:$R$397,9,False)</f>
        <v>83.33333333</v>
      </c>
      <c r="AC34" s="65">
        <f>VLOOKUP($O34,'NO USAR2'!$B$2:$Q$397,16,False)</f>
        <v>3.2</v>
      </c>
      <c r="AD34" s="65">
        <f>VLOOKUP($O34,'NO USAR1'!$A$4:$L$399,2,False)*$U$19</f>
        <v>1.716733073</v>
      </c>
      <c r="AE34" s="65">
        <f>VLOOKUP($O34,'NO USAR1'!$A$4:$L$399,3,False)*$V$19</f>
        <v>0.5865511152</v>
      </c>
      <c r="AF34" s="65">
        <f>VLOOKUP($O34,'NO USAR1'!$A$4:$L$399,4,False)*$W$19</f>
        <v>1.071770911</v>
      </c>
      <c r="AG34" s="65">
        <f>VLOOKUP($O34,'NO USAR1'!$A$4:$L$399,5,False)*$X$19</f>
        <v>-0.001149046733</v>
      </c>
      <c r="AH34" s="65">
        <f>VLOOKUP($O34,'NO USAR1'!$A$4:$L$399,6,False)*$Y$19</f>
        <v>-0.01646173929</v>
      </c>
      <c r="AI34" s="65">
        <f>VLOOKUP($O34,'NO USAR1'!$A$4:$L$399,7,False)*$Z$19</f>
        <v>0</v>
      </c>
      <c r="AJ34" s="65">
        <f>VLOOKUP($O34,'NO USAR1'!$A$4:$L$399,8,False)*$AA$19</f>
        <v>0</v>
      </c>
      <c r="AK34" s="70">
        <f>VLOOKUP($O34,'NO USAR1'!$A$4:$L$399,10,False)*$AB$19</f>
        <v>0.4219184629</v>
      </c>
      <c r="AL34" s="65">
        <f>VLOOKUP($O34,'NO USAR1'!$A$4:$L$399,12,False)*$AC$19</f>
        <v>0</v>
      </c>
      <c r="AM34" s="71">
        <f t="shared" si="2"/>
        <v>-0.01646173929</v>
      </c>
      <c r="AN34" s="71">
        <f t="shared" si="3"/>
        <v>-0.01761078602</v>
      </c>
    </row>
    <row r="35">
      <c r="A35" t="str">
        <f>IF('NO USAR2'!B33="",ROW('NO USAR2'!B33),'NO USAR2'!B33)</f>
        <v>Myles Turner</v>
      </c>
      <c r="B35" s="58">
        <f>IF(TYPE($A35)=1,"",('NO USAR2'!$L33-B$1)/B$2)</f>
        <v>-0.6129913012</v>
      </c>
      <c r="C35" s="58">
        <f>IF(TYPE($A35)=1,"",('NO USAR2'!$K33-C$1)/C$2)</f>
        <v>-0.01342222232</v>
      </c>
      <c r="D35" s="58">
        <f>IF(TYPE($A35)=1,"",('NO USAR2'!$M33-D$1)/D$2)</f>
        <v>0.6635555075</v>
      </c>
      <c r="E35" s="58">
        <f>IF(TYPE($A35)=1,"",('NO USAR2'!$N33-E$1)/E$2)</f>
        <v>-1.233616573</v>
      </c>
      <c r="F35" s="58">
        <f>IF(TYPE($A35)=1,"",('NO USAR2'!$O33-F$1)/F$2)</f>
        <v>-0.9942890529</v>
      </c>
      <c r="G35" s="58">
        <f>IF(TYPE($A35)=1,"",('NO USAR2'!$P33-G$1)/G$2)</f>
        <v>4.125360018</v>
      </c>
      <c r="H35" s="58">
        <f>IF(TYPE($A35)=1,"",('NO USAR2'!$H33-H$1)/H$2*I35/$I$1)</f>
        <v>-0.03896463635</v>
      </c>
      <c r="I35" s="58">
        <f>IF(TYPE($A35)=1,"",IF('NO USAR2'!H33=0,0,'NO USAR2'!G33/'NO USAR2'!H33))</f>
        <v>10.3</v>
      </c>
      <c r="J35" s="59">
        <f>IF(TYPE($A35)=1,"",('NO USAR2'!$J33-J$1)/J$2*K35/$K$1)</f>
        <v>-0.1821511743</v>
      </c>
      <c r="K35" s="60">
        <f>IF(TYPE($A35)=1,"",IF('NO USAR2'!J33=0,0,'NO USAR2'!I33/'NO USAR2'!J33))</f>
        <v>2.6</v>
      </c>
      <c r="L35" s="58">
        <f>IF(TYPE($A35)=1,"",-('NO USAR2'!$Q33-L$1)/L$2)</f>
        <v>0.6851542367</v>
      </c>
      <c r="N35" s="63">
        <v>15.0</v>
      </c>
      <c r="O35" s="68" t="str">
        <f>IF('NO USAR2'!B17="",ROW('NO USAR2'!B17),'NO USAR2'!B17)</f>
        <v>Tyrese Haliburton</v>
      </c>
      <c r="P35" s="68">
        <f>'NO USAR2'!E16</f>
        <v>64</v>
      </c>
      <c r="Q35" s="68" t="str">
        <f>IF('NO USAR2'!C17="",ROW('NO USAR2'!N32),'NO USAR2'!C17)</f>
        <v>PG/SG</v>
      </c>
      <c r="R35" s="65">
        <f>VLOOKUP($O35,'NO USAR1'!$A$4:$L$399,2,False)+VLOOKUP($O35,'NO USAR1'!$A$4:$L$399,3,False)+VLOOKUP($O35,'NO USAR1'!$A$4:$L$399,4,False)+VLOOKUP($O35,'NO USAR1'!$A$4:$L$399,5,False)+VLOOKUP($O35,'NO USAR1'!$A$4:$L$399,6,False)+VLOOKUP($O35,'NO USAR1'!$A$4:$L$399,7,False)+VLOOKUP($O35,'NO USAR1'!$A$4:$L$399,8,False)+VLOOKUP($O35,'NO USAR1'!$A$4:$L$399,10,False)+VLOOKUP($O35,'NO USAR1'!$A$4:$L$399,12,False)*0</f>
        <v>4.746294734</v>
      </c>
      <c r="S35" s="65">
        <f>VLOOKUP($O35,'NO USAR1'!$A$4:$L$399,2,False)*$U$19+VLOOKUP($O35,'NO USAR1'!$A$4:$L$399,3,False)*$V$19+VLOOKUP($O35,'NO USAR1'!$A$4:$L$399,4,False)*$W$19+VLOOKUP($O35,'NO USAR1'!$A$4:$L$399,5,False)*$X$19+VLOOKUP($O35,'NO USAR1'!$A$4:$L$399,6,False)*$Y$19+VLOOKUP($O35,'NO USAR1'!$A$4:$L$399,7,False)*$Z$19+VLOOKUP($O35,'NO USAR1'!$A$4:$L$399,8,False)*$AA$19+VLOOKUP($O35,'NO USAR1'!$A$4:$L$399,10,False)*$AB$19+VLOOKUP($O35,'NO USAR1'!$A$4:$L$399,12,False)*$AC$19+IF(Projections!$K$3,-AN35, IF(Projections!$J$3,-AM35,0))</f>
        <v>6.088660394</v>
      </c>
      <c r="T35" s="65">
        <f t="shared" si="1"/>
        <v>1.34236566</v>
      </c>
      <c r="U35" s="65">
        <f>VLOOKUP($O35,'NO USAR2'!$B$2:$R$397,11,False)</f>
        <v>18.7</v>
      </c>
      <c r="V35" s="69">
        <f>VLOOKUP($O35,'NO USAR2'!$B$2:$R$397,10,False)</f>
        <v>2.2</v>
      </c>
      <c r="W35" s="65">
        <f>VLOOKUP($O35,'NO USAR2'!$B$2:$R$397,12,False)</f>
        <v>4.1</v>
      </c>
      <c r="X35" s="65">
        <f>VLOOKUP($O35,'NO USAR2'!$B$2:$R$397,13,False)</f>
        <v>9</v>
      </c>
      <c r="Y35" s="65">
        <f>VLOOKUP($O35,'NO USAR2'!$B$2:$R$397,14,False)</f>
        <v>1.6</v>
      </c>
      <c r="Z35" s="70">
        <f>VLOOKUP($O35,'NO USAR2'!$B$2:$R$397,15,False)</f>
        <v>0.6</v>
      </c>
      <c r="AA35" s="65">
        <f>100*VLOOKUP($O35,'NO USAR2'!$B$2:$R$397,7,False)</f>
        <v>47.18309859</v>
      </c>
      <c r="AB35" s="65">
        <f>100*VLOOKUP($O35,'NO USAR2'!$B$2:$R$397,9,False)</f>
        <v>85.71428571</v>
      </c>
      <c r="AC35" s="65">
        <f>VLOOKUP($O35,'NO USAR2'!$B$2:$Q$397,16,False)</f>
        <v>2.6</v>
      </c>
      <c r="AD35" s="65">
        <f>VLOOKUP($O35,'NO USAR1'!$A$4:$L$399,2,False)*$U$19</f>
        <v>0.4651942732</v>
      </c>
      <c r="AE35" s="65">
        <f>VLOOKUP($O35,'NO USAR1'!$A$4:$L$399,3,False)*$V$19</f>
        <v>0.5865511152</v>
      </c>
      <c r="AF35" s="65">
        <f>VLOOKUP($O35,'NO USAR1'!$A$4:$L$399,4,False)*$W$19</f>
        <v>-0.8060199435</v>
      </c>
      <c r="AG35" s="65">
        <f>VLOOKUP($O35,'NO USAR1'!$A$4:$L$399,5,False)*$X$19</f>
        <v>3.02352497</v>
      </c>
      <c r="AH35" s="65">
        <f>VLOOKUP($O35,'NO USAR1'!$A$4:$L$399,6,False)*$Y$19</f>
        <v>2.436337414</v>
      </c>
      <c r="AI35" s="65">
        <f>VLOOKUP($O35,'NO USAR1'!$A$4:$L$399,7,False)*$Z$19</f>
        <v>0</v>
      </c>
      <c r="AJ35" s="65">
        <f>VLOOKUP($O35,'NO USAR1'!$A$4:$L$399,8,False)*$AA$19</f>
        <v>0</v>
      </c>
      <c r="AK35" s="70">
        <f>VLOOKUP($O35,'NO USAR1'!$A$4:$L$399,10,False)*$AB$19</f>
        <v>0.3830725639</v>
      </c>
      <c r="AL35" s="65">
        <f>VLOOKUP($O35,'NO USAR1'!$A$4:$L$399,12,False)*$AC$19</f>
        <v>0</v>
      </c>
      <c r="AM35" s="71">
        <f t="shared" si="2"/>
        <v>-0.8060199435</v>
      </c>
      <c r="AN35" s="71">
        <f t="shared" si="3"/>
        <v>-0.8060199435</v>
      </c>
    </row>
    <row r="36">
      <c r="A36" t="str">
        <f>IF('NO USAR2'!B34="",ROW('NO USAR2'!B34),'NO USAR2'!B34)</f>
        <v>Donovan Mitchell</v>
      </c>
      <c r="B36" s="58">
        <f>IF(TYPE($A36)=1,"",('NO USAR2'!$L34-B$1)/B$2)</f>
        <v>1.286507302</v>
      </c>
      <c r="C36" s="58">
        <f>IF(TYPE($A36)=1,"",('NO USAR2'!$K34-C$1)/C$2)</f>
        <v>1.686502234</v>
      </c>
      <c r="D36" s="58">
        <f>IF(TYPE($A36)=1,"",('NO USAR2'!$M34-D$1)/D$2)</f>
        <v>-0.8876630241</v>
      </c>
      <c r="E36" s="58">
        <f>IF(TYPE($A36)=1,"",('NO USAR2'!$N34-E$1)/E$2)</f>
        <v>0.5926017018</v>
      </c>
      <c r="F36" s="58">
        <f>IF(TYPE($A36)=1,"",('NO USAR2'!$O34-F$1)/F$2)</f>
        <v>1.294990157</v>
      </c>
      <c r="G36" s="58">
        <f>IF(TYPE($A36)=1,"",('NO USAR2'!$P34-G$1)/G$2)</f>
        <v>-1.024427538</v>
      </c>
      <c r="H36" s="58">
        <f>IF(TYPE($A36)=1,"",('NO USAR2'!$H34-H$1)/H$2*I36/$I$1)</f>
        <v>-0.7952434759</v>
      </c>
      <c r="I36" s="58">
        <f>IF(TYPE($A36)=1,"",IF('NO USAR2'!H34=0,0,'NO USAR2'!G34/'NO USAR2'!H34))</f>
        <v>19</v>
      </c>
      <c r="J36" s="59">
        <f>IF(TYPE($A36)=1,"",('NO USAR2'!$J34-J$1)/J$2*K36/$K$1)</f>
        <v>0.728376514</v>
      </c>
      <c r="K36" s="60">
        <f>IF(TYPE($A36)=1,"",IF('NO USAR2'!J34=0,0,'NO USAR2'!I34/'NO USAR2'!J34))</f>
        <v>4.4</v>
      </c>
      <c r="L36" s="58">
        <f>IF(TYPE($A36)=1,"",-('NO USAR2'!$Q34-L$1)/L$2)</f>
        <v>-0.8599611555</v>
      </c>
      <c r="N36" s="63">
        <v>16.0</v>
      </c>
      <c r="O36" s="68" t="str">
        <f>IF('NO USAR2'!B14="",ROW('NO USAR2'!B14),'NO USAR2'!B14)</f>
        <v>Damian Lillard</v>
      </c>
      <c r="P36" s="68">
        <f>'NO USAR2'!E17</f>
        <v>75</v>
      </c>
      <c r="Q36" s="68" t="str">
        <f>IF('NO USAR2'!C14="",ROW('NO USAR2'!N29),'NO USAR2'!C14)</f>
        <v>PG</v>
      </c>
      <c r="R36" s="65">
        <f>VLOOKUP($O36,'NO USAR1'!$A$4:$L$399,2,False)+VLOOKUP($O36,'NO USAR1'!$A$4:$L$399,3,False)+VLOOKUP($O36,'NO USAR1'!$A$4:$L$399,4,False)+VLOOKUP($O36,'NO USAR1'!$A$4:$L$399,5,False)+VLOOKUP($O36,'NO USAR1'!$A$4:$L$399,6,False)+VLOOKUP($O36,'NO USAR1'!$A$4:$L$399,7,False)+VLOOKUP($O36,'NO USAR1'!$A$4:$L$399,8,False)+VLOOKUP($O36,'NO USAR1'!$A$4:$L$399,10,False)+VLOOKUP($O36,'NO USAR1'!$A$4:$L$399,12,False)*0</f>
        <v>4.487898055</v>
      </c>
      <c r="S36" s="65">
        <f>VLOOKUP($O36,'NO USAR1'!$A$4:$L$399,2,False)*$U$19+VLOOKUP($O36,'NO USAR1'!$A$4:$L$399,3,False)*$V$19+VLOOKUP($O36,'NO USAR1'!$A$4:$L$399,4,False)*$W$19+VLOOKUP($O36,'NO USAR1'!$A$4:$L$399,5,False)*$X$19+VLOOKUP($O36,'NO USAR1'!$A$4:$L$399,6,False)*$Y$19+VLOOKUP($O36,'NO USAR1'!$A$4:$L$399,7,False)*$Z$19+VLOOKUP($O36,'NO USAR1'!$A$4:$L$399,8,False)*$AA$19+VLOOKUP($O36,'NO USAR1'!$A$4:$L$399,10,False)*$AB$19+VLOOKUP($O36,'NO USAR1'!$A$4:$L$399,12,False)*$AC$19+IF(Projections!$K$3,-AN36, IF(Projections!$J$3,-AM36,0))</f>
        <v>6.295359345</v>
      </c>
      <c r="T36" s="65">
        <f t="shared" si="1"/>
        <v>1.80746129</v>
      </c>
      <c r="U36" s="65">
        <f>VLOOKUP($O36,'NO USAR2'!$B$2:$R$397,11,False)</f>
        <v>25.5</v>
      </c>
      <c r="V36" s="69">
        <f>VLOOKUP($O36,'NO USAR2'!$B$2:$R$397,10,False)</f>
        <v>3.5</v>
      </c>
      <c r="W36" s="65">
        <f>VLOOKUP($O36,'NO USAR2'!$B$2:$R$397,12,False)</f>
        <v>4.2</v>
      </c>
      <c r="X36" s="65">
        <f>VLOOKUP($O36,'NO USAR2'!$B$2:$R$397,13,False)</f>
        <v>7.5</v>
      </c>
      <c r="Y36" s="65">
        <f>VLOOKUP($O36,'NO USAR2'!$B$2:$R$397,14,False)</f>
        <v>0.9</v>
      </c>
      <c r="Z36" s="70">
        <f>VLOOKUP($O36,'NO USAR2'!$B$2:$R$397,15,False)</f>
        <v>0.3</v>
      </c>
      <c r="AA36" s="65">
        <f>100*VLOOKUP($O36,'NO USAR2'!$B$2:$R$397,7,False)</f>
        <v>43.95604396</v>
      </c>
      <c r="AB36" s="65">
        <f>100*VLOOKUP($O36,'NO USAR2'!$B$2:$R$397,9,False)</f>
        <v>89.55223881</v>
      </c>
      <c r="AC36" s="65">
        <f>VLOOKUP($O36,'NO USAR2'!$B$2:$Q$397,16,False)</f>
        <v>3</v>
      </c>
      <c r="AD36" s="65">
        <f>VLOOKUP($O36,'NO USAR1'!$A$4:$L$399,2,False)*$U$19</f>
        <v>2.27593126</v>
      </c>
      <c r="AE36" s="65">
        <f>VLOOKUP($O36,'NO USAR1'!$A$4:$L$399,3,False)*$V$19</f>
        <v>1.886493347</v>
      </c>
      <c r="AF36" s="65">
        <f>VLOOKUP($O36,'NO USAR1'!$A$4:$L$399,4,False)*$W$19</f>
        <v>-0.7651984031</v>
      </c>
      <c r="AG36" s="65">
        <f>VLOOKUP($O36,'NO USAR1'!$A$4:$L$399,5,False)*$X$19</f>
        <v>2.167485154</v>
      </c>
      <c r="AH36" s="65">
        <f>VLOOKUP($O36,'NO USAR1'!$A$4:$L$399,6,False)*$Y$19</f>
        <v>-0.4252615982</v>
      </c>
      <c r="AI36" s="65">
        <f>VLOOKUP($O36,'NO USAR1'!$A$4:$L$399,7,False)*$Z$19</f>
        <v>0</v>
      </c>
      <c r="AJ36" s="65">
        <f>VLOOKUP($O36,'NO USAR1'!$A$4:$L$399,8,False)*$AA$19</f>
        <v>0</v>
      </c>
      <c r="AK36" s="70">
        <f>VLOOKUP($O36,'NO USAR1'!$A$4:$L$399,10,False)*$AB$19</f>
        <v>1.155909586</v>
      </c>
      <c r="AL36" s="65">
        <f>VLOOKUP($O36,'NO USAR1'!$A$4:$L$399,12,False)*$AC$19</f>
        <v>0</v>
      </c>
      <c r="AM36" s="71">
        <f t="shared" si="2"/>
        <v>-0.7651984031</v>
      </c>
      <c r="AN36" s="71">
        <f t="shared" si="3"/>
        <v>-1.190460001</v>
      </c>
    </row>
    <row r="37">
      <c r="A37" t="str">
        <f>IF('NO USAR2'!B35="",ROW('NO USAR2'!B35),'NO USAR2'!B35)</f>
        <v>Rudy Gobert</v>
      </c>
      <c r="B37" s="58">
        <f>IF(TYPE($A37)=1,"",('NO USAR2'!$L35-B$1)/B$2)</f>
        <v>-0.382211097</v>
      </c>
      <c r="C37" s="58">
        <f>IF(TYPE($A37)=1,"",('NO USAR2'!$K35-C$1)/C$2)</f>
        <v>-1.613351122</v>
      </c>
      <c r="D37" s="58">
        <f>IF(TYPE($A37)=1,"",('NO USAR2'!$M35-D$1)/D$2)</f>
        <v>2.827097144</v>
      </c>
      <c r="E37" s="58">
        <f>IF(TYPE($A37)=1,"",('NO USAR2'!$N35-E$1)/E$2)</f>
        <v>-1.187961116</v>
      </c>
      <c r="F37" s="58">
        <f>IF(TYPE($A37)=1,"",('NO USAR2'!$O35-F$1)/F$2)</f>
        <v>-1.32132894</v>
      </c>
      <c r="G37" s="58">
        <f>IF(TYPE($A37)=1,"",('NO USAR2'!$P35-G$1)/G$2)</f>
        <v>2.683419502</v>
      </c>
      <c r="H37" s="58">
        <f>IF(TYPE($A37)=1,"",('NO USAR2'!$H35-H$1)/H$2*I37/$I$1)</f>
        <v>2.01328024</v>
      </c>
      <c r="I37" s="58">
        <f>IF(TYPE($A37)=1,"",IF('NO USAR2'!H35=0,0,'NO USAR2'!G35/'NO USAR2'!H35))</f>
        <v>7.5</v>
      </c>
      <c r="J37" s="59">
        <f>IF(TYPE($A37)=1,"",('NO USAR2'!$J35-J$1)/J$2*K37/$K$1)</f>
        <v>-2.114357822</v>
      </c>
      <c r="K37" s="60">
        <f>IF(TYPE($A37)=1,"",IF('NO USAR2'!J35=0,0,'NO USAR2'!I35/'NO USAR2'!J35))</f>
        <v>6</v>
      </c>
      <c r="L37" s="58">
        <f>IF(TYPE($A37)=1,"",-('NO USAR2'!$Q35-L$1)/L$2)</f>
        <v>0.2436926961</v>
      </c>
      <c r="N37" s="2">
        <v>17.0</v>
      </c>
      <c r="O37" s="68" t="str">
        <f>IF('NO USAR2'!B16="",ROW('NO USAR2'!B16),'NO USAR2'!B16)</f>
        <v>Anthony Davis</v>
      </c>
      <c r="P37" s="68">
        <f>'NO USAR2'!E18</f>
        <v>60</v>
      </c>
      <c r="Q37" s="68" t="str">
        <f>IF('NO USAR2'!C16="",ROW('NO USAR2'!N31),'NO USAR2'!C16)</f>
        <v>PF/C</v>
      </c>
      <c r="R37" s="65">
        <f>VLOOKUP($O37,'NO USAR1'!$A$4:$L$399,2,False)+VLOOKUP($O37,'NO USAR1'!$A$4:$L$399,3,False)+VLOOKUP($O37,'NO USAR1'!$A$4:$L$399,4,False)+VLOOKUP($O37,'NO USAR1'!$A$4:$L$399,5,False)+VLOOKUP($O37,'NO USAR1'!$A$4:$L$399,6,False)+VLOOKUP($O37,'NO USAR1'!$A$4:$L$399,7,False)+VLOOKUP($O37,'NO USAR1'!$A$4:$L$399,8,False)+VLOOKUP($O37,'NO USAR1'!$A$4:$L$399,10,False)+VLOOKUP($O37,'NO USAR1'!$A$4:$L$399,12,False)*0</f>
        <v>4.251076642</v>
      </c>
      <c r="S37" s="65">
        <f>VLOOKUP($O37,'NO USAR1'!$A$4:$L$399,2,False)*$U$19+VLOOKUP($O37,'NO USAR1'!$A$4:$L$399,3,False)*$V$19+VLOOKUP($O37,'NO USAR1'!$A$4:$L$399,4,False)*$W$19+VLOOKUP($O37,'NO USAR1'!$A$4:$L$399,5,False)*$X$19+VLOOKUP($O37,'NO USAR1'!$A$4:$L$399,6,False)*$Y$19+VLOOKUP($O37,'NO USAR1'!$A$4:$L$399,7,False)*$Z$19+VLOOKUP($O37,'NO USAR1'!$A$4:$L$399,8,False)*$AA$19+VLOOKUP($O37,'NO USAR1'!$A$4:$L$399,10,False)*$AB$19+VLOOKUP($O37,'NO USAR1'!$A$4:$L$399,12,False)*$AC$19+IF(Projections!$K$3,-AN37, IF(Projections!$J$3,-AM37,0))</f>
        <v>2.008152088</v>
      </c>
      <c r="T37" s="65">
        <f t="shared" si="1"/>
        <v>-2.242924554</v>
      </c>
      <c r="U37" s="65">
        <f>VLOOKUP($O37,'NO USAR2'!$B$2:$R$397,11,False)</f>
        <v>23.8</v>
      </c>
      <c r="V37" s="69">
        <f>VLOOKUP($O37,'NO USAR2'!$B$2:$R$397,10,False)</f>
        <v>0.3</v>
      </c>
      <c r="W37" s="65">
        <f>VLOOKUP($O37,'NO USAR2'!$B$2:$R$397,12,False)</f>
        <v>10.1</v>
      </c>
      <c r="X37" s="65">
        <f>VLOOKUP($O37,'NO USAR2'!$B$2:$R$397,13,False)</f>
        <v>3.2</v>
      </c>
      <c r="Y37" s="65">
        <f>VLOOKUP($O37,'NO USAR2'!$B$2:$R$397,14,False)</f>
        <v>1.2</v>
      </c>
      <c r="Z37" s="70">
        <f>VLOOKUP($O37,'NO USAR2'!$B$2:$R$397,15,False)</f>
        <v>2</v>
      </c>
      <c r="AA37" s="65">
        <f>100*VLOOKUP($O37,'NO USAR2'!$B$2:$R$397,7,False)</f>
        <v>53.37078652</v>
      </c>
      <c r="AB37" s="65">
        <f>100*VLOOKUP($O37,'NO USAR2'!$B$2:$R$397,9,False)</f>
        <v>72.58064516</v>
      </c>
      <c r="AC37" s="65">
        <f>VLOOKUP($O37,'NO USAR2'!$B$2:$Q$397,16,False)</f>
        <v>2.1</v>
      </c>
      <c r="AD37" s="65">
        <f>VLOOKUP($O37,'NO USAR1'!$A$4:$L$399,2,False)*$U$19</f>
        <v>1.823247013</v>
      </c>
      <c r="AE37" s="65">
        <f>VLOOKUP($O37,'NO USAR1'!$A$4:$L$399,3,False)*$V$19</f>
        <v>-1.313364454</v>
      </c>
      <c r="AF37" s="65">
        <f>VLOOKUP($O37,'NO USAR1'!$A$4:$L$399,4,False)*$W$19</f>
        <v>1.643272475</v>
      </c>
      <c r="AG37" s="65">
        <f>VLOOKUP($O37,'NO USAR1'!$A$4:$L$399,5,False)*$X$19</f>
        <v>-0.2864956521</v>
      </c>
      <c r="AH37" s="65">
        <f>VLOOKUP($O37,'NO USAR1'!$A$4:$L$399,6,False)*$Y$19</f>
        <v>0.8011379786</v>
      </c>
      <c r="AI37" s="65">
        <f>VLOOKUP($O37,'NO USAR1'!$A$4:$L$399,7,False)*$Z$19</f>
        <v>0</v>
      </c>
      <c r="AJ37" s="65">
        <f>VLOOKUP($O37,'NO USAR1'!$A$4:$L$399,8,False)*$AA$19</f>
        <v>0</v>
      </c>
      <c r="AK37" s="70">
        <f>VLOOKUP($O37,'NO USAR1'!$A$4:$L$399,10,False)*$AB$19</f>
        <v>-0.6596452725</v>
      </c>
      <c r="AL37" s="65">
        <f>VLOOKUP($O37,'NO USAR1'!$A$4:$L$399,12,False)*$AC$19</f>
        <v>0</v>
      </c>
      <c r="AM37" s="71">
        <f t="shared" si="2"/>
        <v>-1.313364454</v>
      </c>
      <c r="AN37" s="71">
        <f t="shared" si="3"/>
        <v>-1.973009726</v>
      </c>
    </row>
    <row r="38">
      <c r="A38" t="str">
        <f>IF('NO USAR2'!B36="",ROW('NO USAR2'!B36),'NO USAR2'!B36)</f>
        <v>Ja Morant</v>
      </c>
      <c r="B38" s="58">
        <f>IF(TYPE($A38)=1,"",('NO USAR2'!$L36-B$1)/B$2)</f>
        <v>1.961095591</v>
      </c>
      <c r="C38" s="58">
        <f>IF(TYPE($A38)=1,"",('NO USAR2'!$K36-C$1)/C$2)</f>
        <v>-0.01342222232</v>
      </c>
      <c r="D38" s="58">
        <f>IF(TYPE($A38)=1,"",('NO USAR2'!$M36-D$1)/D$2)</f>
        <v>-0.07123221798</v>
      </c>
      <c r="E38" s="58">
        <f>IF(TYPE($A38)=1,"",('NO USAR2'!$N36-E$1)/E$2)</f>
        <v>1.551366296</v>
      </c>
      <c r="F38" s="58">
        <f>IF(TYPE($A38)=1,"",('NO USAR2'!$O36-F$1)/F$2)</f>
        <v>0.3138704957</v>
      </c>
      <c r="G38" s="58">
        <f>IF(TYPE($A38)=1,"",('NO USAR2'!$P36-G$1)/G$2)</f>
        <v>-0.6124445335</v>
      </c>
      <c r="H38" s="58">
        <f>IF(TYPE($A38)=1,"",('NO USAR2'!$H36-H$1)/H$2*I38/$I$1)</f>
        <v>-0.1241500627</v>
      </c>
      <c r="I38" s="58">
        <f>IF(TYPE($A38)=1,"",IF('NO USAR2'!H36=0,0,'NO USAR2'!G36/'NO USAR2'!H36))</f>
        <v>21.5</v>
      </c>
      <c r="J38" s="59">
        <f>IF(TYPE($A38)=1,"",('NO USAR2'!$J36-J$1)/J$2*K38/$K$1)</f>
        <v>-0.8218348546</v>
      </c>
      <c r="K38" s="60">
        <f>IF(TYPE($A38)=1,"",IF('NO USAR2'!J36=0,0,'NO USAR2'!I36/'NO USAR2'!J36))</f>
        <v>7.4</v>
      </c>
      <c r="L38" s="58">
        <f>IF(TYPE($A38)=1,"",-('NO USAR2'!$Q36-L$1)/L$2)</f>
        <v>-1.632518852</v>
      </c>
      <c r="N38" s="63">
        <v>18.0</v>
      </c>
      <c r="O38" s="68" t="str">
        <f>IF('NO USAR2'!B19="",ROW('NO USAR2'!B19),'NO USAR2'!B19)</f>
        <v>Devin Booker</v>
      </c>
      <c r="P38" s="68">
        <f>'NO USAR2'!E19</f>
        <v>70</v>
      </c>
      <c r="Q38" s="68" t="str">
        <f>IF('NO USAR2'!C19="",ROW('NO USAR2'!N34),'NO USAR2'!C19)</f>
        <v>PG/SF</v>
      </c>
      <c r="R38" s="65">
        <f>VLOOKUP($O38,'NO USAR1'!$A$4:$L$399,2,False)+VLOOKUP($O38,'NO USAR1'!$A$4:$L$399,3,False)+VLOOKUP($O38,'NO USAR1'!$A$4:$L$399,4,False)+VLOOKUP($O38,'NO USAR1'!$A$4:$L$399,5,False)+VLOOKUP($O38,'NO USAR1'!$A$4:$L$399,6,False)+VLOOKUP($O38,'NO USAR1'!$A$4:$L$399,7,False)+VLOOKUP($O38,'NO USAR1'!$A$4:$L$399,8,False)+VLOOKUP($O38,'NO USAR1'!$A$4:$L$399,10,False)+VLOOKUP($O38,'NO USAR1'!$A$4:$L$399,12,False)*0</f>
        <v>3.892975881</v>
      </c>
      <c r="S38" s="65">
        <f>VLOOKUP($O38,'NO USAR1'!$A$4:$L$399,2,False)*$U$19+VLOOKUP($O38,'NO USAR1'!$A$4:$L$399,3,False)*$V$19+VLOOKUP($O38,'NO USAR1'!$A$4:$L$399,4,False)*$W$19+VLOOKUP($O38,'NO USAR1'!$A$4:$L$399,5,False)*$X$19+VLOOKUP($O38,'NO USAR1'!$A$4:$L$399,6,False)*$Y$19+VLOOKUP($O38,'NO USAR1'!$A$4:$L$399,7,False)*$Z$19+VLOOKUP($O38,'NO USAR1'!$A$4:$L$399,8,False)*$AA$19+VLOOKUP($O38,'NO USAR1'!$A$4:$L$399,10,False)*$AB$19+VLOOKUP($O38,'NO USAR1'!$A$4:$L$399,12,False)*$AC$19+IF(Projections!$K$3,-AN38, IF(Projections!$J$3,-AM38,0))</f>
        <v>5.342592807</v>
      </c>
      <c r="T38" s="65">
        <f t="shared" si="1"/>
        <v>1.449616926</v>
      </c>
      <c r="U38" s="65">
        <f>VLOOKUP($O38,'NO USAR2'!$B$2:$R$397,11,False)</f>
        <v>27.2</v>
      </c>
      <c r="V38" s="69">
        <f>VLOOKUP($O38,'NO USAR2'!$B$2:$R$397,10,False)</f>
        <v>2.8</v>
      </c>
      <c r="W38" s="65">
        <f>VLOOKUP($O38,'NO USAR2'!$B$2:$R$397,12,False)</f>
        <v>5.2</v>
      </c>
      <c r="X38" s="65">
        <f>VLOOKUP($O38,'NO USAR2'!$B$2:$R$397,13,False)</f>
        <v>4.9</v>
      </c>
      <c r="Y38" s="65">
        <f>VLOOKUP($O38,'NO USAR2'!$B$2:$R$397,14,False)</f>
        <v>1.1</v>
      </c>
      <c r="Z38" s="70">
        <f>VLOOKUP($O38,'NO USAR2'!$B$2:$R$397,15,False)</f>
        <v>0.4</v>
      </c>
      <c r="AA38" s="65">
        <f>100*VLOOKUP($O38,'NO USAR2'!$B$2:$R$397,7,False)</f>
        <v>47.14285714</v>
      </c>
      <c r="AB38" s="65">
        <f>100*VLOOKUP($O38,'NO USAR2'!$B$2:$R$397,9,False)</f>
        <v>87.03703704</v>
      </c>
      <c r="AC38" s="65">
        <f>VLOOKUP($O38,'NO USAR2'!$B$2:$Q$397,16,False)</f>
        <v>2.5</v>
      </c>
      <c r="AD38" s="65">
        <f>VLOOKUP($O38,'NO USAR1'!$A$4:$L$399,2,False)*$U$19</f>
        <v>2.728615506</v>
      </c>
      <c r="AE38" s="65">
        <f>VLOOKUP($O38,'NO USAR1'!$A$4:$L$399,3,False)*$V$19</f>
        <v>1.186524453</v>
      </c>
      <c r="AF38" s="65">
        <f>VLOOKUP($O38,'NO USAR1'!$A$4:$L$399,4,False)*$W$19</f>
        <v>-0.3569830001</v>
      </c>
      <c r="AG38" s="65">
        <f>VLOOKUP($O38,'NO USAR1'!$A$4:$L$399,5,False)*$X$19</f>
        <v>0.6836828062</v>
      </c>
      <c r="AH38" s="65">
        <f>VLOOKUP($O38,'NO USAR1'!$A$4:$L$399,6,False)*$Y$19</f>
        <v>0.3923381197</v>
      </c>
      <c r="AI38" s="65">
        <f>VLOOKUP($O38,'NO USAR1'!$A$4:$L$399,7,False)*$Z$19</f>
        <v>0</v>
      </c>
      <c r="AJ38" s="65">
        <f>VLOOKUP($O38,'NO USAR1'!$A$4:$L$399,8,False)*$AA$19</f>
        <v>0</v>
      </c>
      <c r="AK38" s="70">
        <f>VLOOKUP($O38,'NO USAR1'!$A$4:$L$399,10,False)*$AB$19</f>
        <v>0.7084149219</v>
      </c>
      <c r="AL38" s="65">
        <f>VLOOKUP($O38,'NO USAR1'!$A$4:$L$399,12,False)*$AC$19</f>
        <v>0</v>
      </c>
      <c r="AM38" s="71">
        <f t="shared" si="2"/>
        <v>-0.3569830001</v>
      </c>
      <c r="AN38" s="71">
        <f t="shared" si="3"/>
        <v>-0.3569830001</v>
      </c>
    </row>
    <row r="39">
      <c r="A39" t="str">
        <f>IF('NO USAR2'!B37="",ROW('NO USAR2'!B37),'NO USAR2'!B37)</f>
        <v>Jarrett Allen</v>
      </c>
      <c r="B39" s="58">
        <f>IF(TYPE($A39)=1,"",('NO USAR2'!$L37-B$1)/B$2)</f>
        <v>-0.1869355397</v>
      </c>
      <c r="C39" s="58">
        <f>IF(TYPE($A39)=1,"",('NO USAR2'!$K37-C$1)/C$2)</f>
        <v>-1.613351122</v>
      </c>
      <c r="D39" s="58">
        <f>IF(TYPE($A39)=1,"",('NO USAR2'!$M37-D$1)/D$2)</f>
        <v>1.765737096</v>
      </c>
      <c r="E39" s="58">
        <f>IF(TYPE($A39)=1,"",('NO USAR2'!$N37-E$1)/E$2)</f>
        <v>-0.9596838315</v>
      </c>
      <c r="F39" s="58">
        <f>IF(TYPE($A39)=1,"",('NO USAR2'!$O37-F$1)/F$2)</f>
        <v>-0.6672491657</v>
      </c>
      <c r="G39" s="58">
        <f>IF(TYPE($A39)=1,"",('NO USAR2'!$P37-G$1)/G$2)</f>
        <v>1.241478987</v>
      </c>
      <c r="H39" s="58">
        <f>IF(TYPE($A39)=1,"",('NO USAR2'!$H37-H$1)/H$2*I39/$I$1)</f>
        <v>1.985424822</v>
      </c>
      <c r="I39" s="58">
        <f>IF(TYPE($A39)=1,"",IF('NO USAR2'!H37=0,0,'NO USAR2'!G37/'NO USAR2'!H37))</f>
        <v>9.8</v>
      </c>
      <c r="J39" s="59">
        <f>IF(TYPE($A39)=1,"",('NO USAR2'!$J37-J$1)/J$2*K39/$K$1)</f>
        <v>-1.052755678</v>
      </c>
      <c r="K39" s="60">
        <f>IF(TYPE($A39)=1,"",IF('NO USAR2'!J37=0,0,'NO USAR2'!I37/'NO USAR2'!J37))</f>
        <v>4.2</v>
      </c>
      <c r="L39" s="58">
        <f>IF(TYPE($A39)=1,"",-('NO USAR2'!$Q37-L$1)/L$2)</f>
        <v>0.3540580812</v>
      </c>
      <c r="N39" s="63">
        <v>19.0</v>
      </c>
      <c r="O39" s="68" t="str">
        <f>IF('NO USAR2'!B18="",ROW('NO USAR2'!B18),'NO USAR2'!B18)</f>
        <v>Kawhi Leonard</v>
      </c>
      <c r="P39" s="68">
        <f>'NO USAR2'!E20</f>
        <v>68</v>
      </c>
      <c r="Q39" s="68" t="str">
        <f>IF('NO USAR2'!C18="",ROW('NO USAR2'!N33),'NO USAR2'!C18)</f>
        <v>SF/PF</v>
      </c>
      <c r="R39" s="65">
        <f>VLOOKUP($O39,'NO USAR1'!$A$4:$L$399,2,False)+VLOOKUP($O39,'NO USAR1'!$A$4:$L$399,3,False)+VLOOKUP($O39,'NO USAR1'!$A$4:$L$399,4,False)+VLOOKUP($O39,'NO USAR1'!$A$4:$L$399,5,False)+VLOOKUP($O39,'NO USAR1'!$A$4:$L$399,6,False)+VLOOKUP($O39,'NO USAR1'!$A$4:$L$399,7,False)+VLOOKUP($O39,'NO USAR1'!$A$4:$L$399,8,False)+VLOOKUP($O39,'NO USAR1'!$A$4:$L$399,10,False)+VLOOKUP($O39,'NO USAR1'!$A$4:$L$399,12,False)*0</f>
        <v>3.814870968</v>
      </c>
      <c r="S39" s="65">
        <f>VLOOKUP($O39,'NO USAR1'!$A$4:$L$399,2,False)*$U$19+VLOOKUP($O39,'NO USAR1'!$A$4:$L$399,3,False)*$V$19+VLOOKUP($O39,'NO USAR1'!$A$4:$L$399,4,False)*$W$19+VLOOKUP($O39,'NO USAR1'!$A$4:$L$399,5,False)*$X$19+VLOOKUP($O39,'NO USAR1'!$A$4:$L$399,6,False)*$Y$19+VLOOKUP($O39,'NO USAR1'!$A$4:$L$399,7,False)*$Z$19+VLOOKUP($O39,'NO USAR1'!$A$4:$L$399,8,False)*$AA$19+VLOOKUP($O39,'NO USAR1'!$A$4:$L$399,10,False)*$AB$19+VLOOKUP($O39,'NO USAR1'!$A$4:$L$399,12,False)*$AC$19+IF(Projections!$K$3,-AN39, IF(Projections!$J$3,-AM39,0))</f>
        <v>4.5594357</v>
      </c>
      <c r="T39" s="65">
        <f t="shared" si="1"/>
        <v>0.7445647321</v>
      </c>
      <c r="U39" s="65">
        <f>VLOOKUP($O39,'NO USAR2'!$B$2:$R$397,11,False)</f>
        <v>23.5</v>
      </c>
      <c r="V39" s="69">
        <f>VLOOKUP($O39,'NO USAR2'!$B$2:$R$397,10,False)</f>
        <v>1.7</v>
      </c>
      <c r="W39" s="65">
        <f>VLOOKUP($O39,'NO USAR2'!$B$2:$R$397,12,False)</f>
        <v>6</v>
      </c>
      <c r="X39" s="65">
        <f>VLOOKUP($O39,'NO USAR2'!$B$2:$R$397,13,False)</f>
        <v>4.4</v>
      </c>
      <c r="Y39" s="65">
        <f>VLOOKUP($O39,'NO USAR2'!$B$2:$R$397,14,False)</f>
        <v>1.4</v>
      </c>
      <c r="Z39" s="70">
        <f>VLOOKUP($O39,'NO USAR2'!$B$2:$R$397,15,False)</f>
        <v>0.4</v>
      </c>
      <c r="AA39" s="65">
        <f>100*VLOOKUP($O39,'NO USAR2'!$B$2:$R$397,7,False)</f>
        <v>49.41860465</v>
      </c>
      <c r="AB39" s="65">
        <f>100*VLOOKUP($O39,'NO USAR2'!$B$2:$R$397,9,False)</f>
        <v>87.27272727</v>
      </c>
      <c r="AC39" s="65">
        <f>VLOOKUP($O39,'NO USAR2'!$B$2:$Q$397,16,False)</f>
        <v>1.9</v>
      </c>
      <c r="AD39" s="65">
        <f>VLOOKUP($O39,'NO USAR1'!$A$4:$L$399,2,False)*$U$19</f>
        <v>1.743361558</v>
      </c>
      <c r="AE39" s="65">
        <f>VLOOKUP($O39,'NO USAR1'!$A$4:$L$399,3,False)*$V$19</f>
        <v>0.08657333394</v>
      </c>
      <c r="AF39" s="65">
        <f>VLOOKUP($O39,'NO USAR1'!$A$4:$L$399,4,False)*$W$19</f>
        <v>-0.03041067768</v>
      </c>
      <c r="AG39" s="65">
        <f>VLOOKUP($O39,'NO USAR1'!$A$4:$L$399,5,False)*$X$19</f>
        <v>0.3983362008</v>
      </c>
      <c r="AH39" s="65">
        <f>VLOOKUP($O39,'NO USAR1'!$A$4:$L$399,6,False)*$Y$19</f>
        <v>1.618737696</v>
      </c>
      <c r="AI39" s="65">
        <f>VLOOKUP($O39,'NO USAR1'!$A$4:$L$399,7,False)*$Z$19</f>
        <v>0</v>
      </c>
      <c r="AJ39" s="65">
        <f>VLOOKUP($O39,'NO USAR1'!$A$4:$L$399,8,False)*$AA$19</f>
        <v>0</v>
      </c>
      <c r="AK39" s="70">
        <f>VLOOKUP($O39,'NO USAR1'!$A$4:$L$399,10,False)*$AB$19</f>
        <v>0.7428375883</v>
      </c>
      <c r="AL39" s="65">
        <f>VLOOKUP($O39,'NO USAR1'!$A$4:$L$399,12,False)*$AC$19</f>
        <v>0</v>
      </c>
      <c r="AM39" s="71">
        <f t="shared" si="2"/>
        <v>-0.03041067768</v>
      </c>
      <c r="AN39" s="71">
        <f t="shared" si="3"/>
        <v>-0.03041067768</v>
      </c>
    </row>
    <row r="40">
      <c r="A40" t="str">
        <f>IF('NO USAR2'!B38="",ROW('NO USAR2'!B38),'NO USAR2'!B38)</f>
        <v>Bradley Beal</v>
      </c>
      <c r="B40" s="58">
        <f>IF(TYPE($A40)=1,"",('NO USAR2'!$L38-B$1)/B$2)</f>
        <v>1.304259626</v>
      </c>
      <c r="C40" s="58">
        <f>IF(TYPE($A40)=1,"",('NO USAR2'!$K38-C$1)/C$2)</f>
        <v>0.486555559</v>
      </c>
      <c r="D40" s="58">
        <f>IF(TYPE($A40)=1,"",('NO USAR2'!$M38-D$1)/D$2)</f>
        <v>-0.5202691613</v>
      </c>
      <c r="E40" s="58">
        <f>IF(TYPE($A40)=1,"",('NO USAR2'!$N38-E$1)/E$2)</f>
        <v>0.7752235293</v>
      </c>
      <c r="F40" s="58">
        <f>IF(TYPE($A40)=1,"",('NO USAR2'!$O38-F$1)/F$2)</f>
        <v>0.6409103829</v>
      </c>
      <c r="G40" s="58">
        <f>IF(TYPE($A40)=1,"",('NO USAR2'!$P38-G$1)/G$2)</f>
        <v>-0.6124445335</v>
      </c>
      <c r="H40" s="58">
        <f>IF(TYPE($A40)=1,"",('NO USAR2'!$H38-H$1)/H$2*I40/$I$1)</f>
        <v>-0.5011725363</v>
      </c>
      <c r="I40" s="58">
        <f>IF(TYPE($A40)=1,"",IF('NO USAR2'!H38=0,0,'NO USAR2'!G38/'NO USAR2'!H38))</f>
        <v>19.3</v>
      </c>
      <c r="J40" s="59">
        <f>IF(TYPE($A40)=1,"",('NO USAR2'!$J38-J$1)/J$2*K40/$K$1)</f>
        <v>0.5529172343</v>
      </c>
      <c r="K40" s="60">
        <f>IF(TYPE($A40)=1,"",IF('NO USAR2'!J38=0,0,'NO USAR2'!I38/'NO USAR2'!J38))</f>
        <v>5.1</v>
      </c>
      <c r="L40" s="58">
        <f>IF(TYPE($A40)=1,"",-('NO USAR2'!$Q38-L$1)/L$2)</f>
        <v>-1.522153466</v>
      </c>
      <c r="N40" s="2">
        <v>20.0</v>
      </c>
      <c r="O40" s="68" t="str">
        <f>IF('NO USAR2'!B29="",ROW('NO USAR2'!B29),'NO USAR2'!B29)</f>
        <v>Fred VanVleet</v>
      </c>
      <c r="P40" s="68">
        <f>'NO USAR2'!E21</f>
        <v>58</v>
      </c>
      <c r="Q40" s="68" t="str">
        <f>IF('NO USAR2'!C29="",ROW('NO USAR2'!N44),'NO USAR2'!C29)</f>
        <v>PG/SF</v>
      </c>
      <c r="R40" s="65">
        <f>VLOOKUP($O40,'NO USAR1'!$A$4:$L$399,2,False)+VLOOKUP($O40,'NO USAR1'!$A$4:$L$399,3,False)+VLOOKUP($O40,'NO USAR1'!$A$4:$L$399,4,False)+VLOOKUP($O40,'NO USAR1'!$A$4:$L$399,5,False)+VLOOKUP($O40,'NO USAR1'!$A$4:$L$399,6,False)+VLOOKUP($O40,'NO USAR1'!$A$4:$L$399,7,False)+VLOOKUP($O40,'NO USAR1'!$A$4:$L$399,8,False)+VLOOKUP($O40,'NO USAR1'!$A$4:$L$399,10,False)+VLOOKUP($O40,'NO USAR1'!$A$4:$L$399,12,False)*0</f>
        <v>3.769391046</v>
      </c>
      <c r="S40" s="65">
        <f>VLOOKUP($O40,'NO USAR1'!$A$4:$L$399,2,False)*$U$19+VLOOKUP($O40,'NO USAR1'!$A$4:$L$399,3,False)*$V$19+VLOOKUP($O40,'NO USAR1'!$A$4:$L$399,4,False)*$W$19+VLOOKUP($O40,'NO USAR1'!$A$4:$L$399,5,False)*$X$19+VLOOKUP($O40,'NO USAR1'!$A$4:$L$399,6,False)*$Y$19+VLOOKUP($O40,'NO USAR1'!$A$4:$L$399,7,False)*$Z$19+VLOOKUP($O40,'NO USAR1'!$A$4:$L$399,8,False)*$AA$19+VLOOKUP($O40,'NO USAR1'!$A$4:$L$399,10,False)*$AB$19+VLOOKUP($O40,'NO USAR1'!$A$4:$L$399,12,False)*$AC$19+IF(Projections!$K$3,-AN40, IF(Projections!$J$3,-AM40,0))</f>
        <v>6.30869103</v>
      </c>
      <c r="T40" s="65">
        <f t="shared" si="1"/>
        <v>2.539299984</v>
      </c>
      <c r="U40" s="65">
        <f>VLOOKUP($O40,'NO USAR2'!$B$2:$R$397,11,False)</f>
        <v>20</v>
      </c>
      <c r="V40" s="69">
        <f>VLOOKUP($O40,'NO USAR2'!$B$2:$R$397,10,False)</f>
        <v>3.6</v>
      </c>
      <c r="W40" s="65">
        <f>VLOOKUP($O40,'NO USAR2'!$B$2:$R$397,12,False)</f>
        <v>4.4</v>
      </c>
      <c r="X40" s="65">
        <f>VLOOKUP($O40,'NO USAR2'!$B$2:$R$397,13,False)</f>
        <v>6.6</v>
      </c>
      <c r="Y40" s="65">
        <f>VLOOKUP($O40,'NO USAR2'!$B$2:$R$397,14,False)</f>
        <v>1.5</v>
      </c>
      <c r="Z40" s="70">
        <f>VLOOKUP($O40,'NO USAR2'!$B$2:$R$397,15,False)</f>
        <v>0.5</v>
      </c>
      <c r="AA40" s="65">
        <f>100*VLOOKUP($O40,'NO USAR2'!$B$2:$R$397,7,False)</f>
        <v>40.36144578</v>
      </c>
      <c r="AB40" s="65">
        <f>100*VLOOKUP($O40,'NO USAR2'!$B$2:$R$397,9,False)</f>
        <v>88.23529412</v>
      </c>
      <c r="AC40" s="65">
        <f>VLOOKUP($O40,'NO USAR2'!$B$2:$Q$397,16,False)</f>
        <v>2.6</v>
      </c>
      <c r="AD40" s="65">
        <f>VLOOKUP($O40,'NO USAR1'!$A$4:$L$399,2,False)*$U$19</f>
        <v>0.8113645794</v>
      </c>
      <c r="AE40" s="65">
        <f>VLOOKUP($O40,'NO USAR1'!$A$4:$L$399,3,False)*$V$19</f>
        <v>1.986488903</v>
      </c>
      <c r="AF40" s="65">
        <f>VLOOKUP($O40,'NO USAR1'!$A$4:$L$399,4,False)*$W$19</f>
        <v>-0.6835553225</v>
      </c>
      <c r="AG40" s="65">
        <f>VLOOKUP($O40,'NO USAR1'!$A$4:$L$399,5,False)*$X$19</f>
        <v>1.653861265</v>
      </c>
      <c r="AH40" s="65">
        <f>VLOOKUP($O40,'NO USAR1'!$A$4:$L$399,6,False)*$Y$19</f>
        <v>2.027537555</v>
      </c>
      <c r="AI40" s="65">
        <f>VLOOKUP($O40,'NO USAR1'!$A$4:$L$399,7,False)*$Z$19</f>
        <v>0</v>
      </c>
      <c r="AJ40" s="65">
        <f>VLOOKUP($O40,'NO USAR1'!$A$4:$L$399,8,False)*$AA$19</f>
        <v>0</v>
      </c>
      <c r="AK40" s="70">
        <f>VLOOKUP($O40,'NO USAR1'!$A$4:$L$399,10,False)*$AB$19</f>
        <v>0.51299405</v>
      </c>
      <c r="AL40" s="65">
        <f>VLOOKUP($O40,'NO USAR1'!$A$4:$L$399,12,False)*$AC$19</f>
        <v>0</v>
      </c>
      <c r="AM40" s="71">
        <f t="shared" si="2"/>
        <v>-0.6835553225</v>
      </c>
      <c r="AN40" s="71">
        <f t="shared" si="3"/>
        <v>-0.6835553225</v>
      </c>
    </row>
    <row r="41">
      <c r="A41" t="str">
        <f>IF('NO USAR2'!B39="",ROW('NO USAR2'!B39),'NO USAR2'!B39)</f>
        <v>Deandre Ayton</v>
      </c>
      <c r="B41" s="58">
        <f>IF(TYPE($A41)=1,"",('NO USAR2'!$L39-B$1)/B$2)</f>
        <v>0.2036155751</v>
      </c>
      <c r="C41" s="58">
        <f>IF(TYPE($A41)=1,"",('NO USAR2'!$K39-C$1)/C$2)</f>
        <v>-1.513355566</v>
      </c>
      <c r="D41" s="58">
        <f>IF(TYPE($A41)=1,"",('NO USAR2'!$M39-D$1)/D$2)</f>
        <v>1.888201717</v>
      </c>
      <c r="E41" s="58">
        <f>IF(TYPE($A41)=1,"",('NO USAR2'!$N39-E$1)/E$2)</f>
        <v>-1.005339288</v>
      </c>
      <c r="F41" s="58">
        <f>IF(TYPE($A41)=1,"",('NO USAR2'!$O39-F$1)/F$2)</f>
        <v>-0.9942890529</v>
      </c>
      <c r="G41" s="58">
        <f>IF(TYPE($A41)=1,"",('NO USAR2'!$P39-G$1)/G$2)</f>
        <v>0.005529973215</v>
      </c>
      <c r="H41" s="58">
        <f>IF(TYPE($A41)=1,"",('NO USAR2'!$H39-H$1)/H$2*I41/$I$1)</f>
        <v>2.081494478</v>
      </c>
      <c r="I41" s="58">
        <f>IF(TYPE($A41)=1,"",IF('NO USAR2'!H39=0,0,'NO USAR2'!G39/'NO USAR2'!H39))</f>
        <v>12.7</v>
      </c>
      <c r="J41" s="59">
        <f>IF(TYPE($A41)=1,"",('NO USAR2'!$J39-J$1)/J$2*K41/$K$1)</f>
        <v>-0.5108394795</v>
      </c>
      <c r="K41" s="60">
        <f>IF(TYPE($A41)=1,"",IF('NO USAR2'!J39=0,0,'NO USAR2'!I39/'NO USAR2'!J39))</f>
        <v>2.6</v>
      </c>
      <c r="L41" s="58">
        <f>IF(TYPE($A41)=1,"",-('NO USAR2'!$Q39-L$1)/L$2)</f>
        <v>0.3540580812</v>
      </c>
      <c r="N41" s="63">
        <v>21.0</v>
      </c>
      <c r="O41" s="68" t="str">
        <f>IF('NO USAR2'!B21="",ROW('NO USAR2'!B21),'NO USAR2'!B21)</f>
        <v>Jimmy Butler</v>
      </c>
      <c r="P41" s="68">
        <f>'NO USAR2'!E22</f>
        <v>68</v>
      </c>
      <c r="Q41" s="68" t="str">
        <f>IF('NO USAR2'!C21="",ROW('NO USAR2'!N36),'NO USAR2'!C21)</f>
        <v>PG/SG</v>
      </c>
      <c r="R41" s="65">
        <f>VLOOKUP($O41,'NO USAR1'!$A$4:$L$399,2,False)+VLOOKUP($O41,'NO USAR1'!$A$4:$L$399,3,False)+VLOOKUP($O41,'NO USAR1'!$A$4:$L$399,4,False)+VLOOKUP($O41,'NO USAR1'!$A$4:$L$399,5,False)+VLOOKUP($O41,'NO USAR1'!$A$4:$L$399,6,False)+VLOOKUP($O41,'NO USAR1'!$A$4:$L$399,7,False)+VLOOKUP($O41,'NO USAR1'!$A$4:$L$399,8,False)+VLOOKUP($O41,'NO USAR1'!$A$4:$L$399,10,False)+VLOOKUP($O41,'NO USAR1'!$A$4:$L$399,12,False)*0</f>
        <v>3.441102194</v>
      </c>
      <c r="S41" s="65">
        <f>VLOOKUP($O41,'NO USAR1'!$A$4:$L$399,2,False)*$U$19+VLOOKUP($O41,'NO USAR1'!$A$4:$L$399,3,False)*$V$19+VLOOKUP($O41,'NO USAR1'!$A$4:$L$399,4,False)*$W$19+VLOOKUP($O41,'NO USAR1'!$A$4:$L$399,5,False)*$X$19+VLOOKUP($O41,'NO USAR1'!$A$4:$L$399,6,False)*$Y$19+VLOOKUP($O41,'NO USAR1'!$A$4:$L$399,7,False)*$Z$19+VLOOKUP($O41,'NO USAR1'!$A$4:$L$399,8,False)*$AA$19+VLOOKUP($O41,'NO USAR1'!$A$4:$L$399,10,False)*$AB$19+VLOOKUP($O41,'NO USAR1'!$A$4:$L$399,12,False)*$AC$19+IF(Projections!$K$3,-AN41, IF(Projections!$J$3,-AM41,0))</f>
        <v>4.239230679</v>
      </c>
      <c r="T41" s="65">
        <f t="shared" si="1"/>
        <v>0.7981284852</v>
      </c>
      <c r="U41" s="65">
        <f>VLOOKUP($O41,'NO USAR2'!$B$2:$R$397,11,False)</f>
        <v>21.3</v>
      </c>
      <c r="V41" s="69">
        <f>VLOOKUP($O41,'NO USAR2'!$B$2:$R$397,10,False)</f>
        <v>0.5</v>
      </c>
      <c r="W41" s="65">
        <f>VLOOKUP($O41,'NO USAR2'!$B$2:$R$397,12,False)</f>
        <v>6</v>
      </c>
      <c r="X41" s="65">
        <f>VLOOKUP($O41,'NO USAR2'!$B$2:$R$397,13,False)</f>
        <v>5.3</v>
      </c>
      <c r="Y41" s="65">
        <f>VLOOKUP($O41,'NO USAR2'!$B$2:$R$397,14,False)</f>
        <v>1.6</v>
      </c>
      <c r="Z41" s="70">
        <f>VLOOKUP($O41,'NO USAR2'!$B$2:$R$397,15,False)</f>
        <v>0.5</v>
      </c>
      <c r="AA41" s="65">
        <f>100*VLOOKUP($O41,'NO USAR2'!$B$2:$R$397,7,False)</f>
        <v>47.61904762</v>
      </c>
      <c r="AB41" s="65">
        <f>100*VLOOKUP($O41,'NO USAR2'!$B$2:$R$397,9,False)</f>
        <v>85.8974359</v>
      </c>
      <c r="AC41" s="65">
        <f>VLOOKUP($O41,'NO USAR2'!$B$2:$Q$397,16,False)</f>
        <v>2.1</v>
      </c>
      <c r="AD41" s="65">
        <f>VLOOKUP($O41,'NO USAR1'!$A$4:$L$399,2,False)*$U$19</f>
        <v>1.157534886</v>
      </c>
      <c r="AE41" s="65">
        <f>VLOOKUP($O41,'NO USAR1'!$A$4:$L$399,3,False)*$V$19</f>
        <v>-1.113373341</v>
      </c>
      <c r="AF41" s="65">
        <f>VLOOKUP($O41,'NO USAR1'!$A$4:$L$399,4,False)*$W$19</f>
        <v>-0.03041067768</v>
      </c>
      <c r="AG41" s="65">
        <f>VLOOKUP($O41,'NO USAR1'!$A$4:$L$399,5,False)*$X$19</f>
        <v>0.9119600905</v>
      </c>
      <c r="AH41" s="65">
        <f>VLOOKUP($O41,'NO USAR1'!$A$4:$L$399,6,False)*$Y$19</f>
        <v>2.436337414</v>
      </c>
      <c r="AI41" s="65">
        <f>VLOOKUP($O41,'NO USAR1'!$A$4:$L$399,7,False)*$Z$19</f>
        <v>0</v>
      </c>
      <c r="AJ41" s="65">
        <f>VLOOKUP($O41,'NO USAR1'!$A$4:$L$399,8,False)*$AA$19</f>
        <v>0</v>
      </c>
      <c r="AK41" s="70">
        <f>VLOOKUP($O41,'NO USAR1'!$A$4:$L$399,10,False)*$AB$19</f>
        <v>0.877182307</v>
      </c>
      <c r="AL41" s="65">
        <f>VLOOKUP($O41,'NO USAR1'!$A$4:$L$399,12,False)*$AC$19</f>
        <v>0</v>
      </c>
      <c r="AM41" s="71">
        <f t="shared" si="2"/>
        <v>-1.113373341</v>
      </c>
      <c r="AN41" s="71">
        <f t="shared" si="3"/>
        <v>-1.143784019</v>
      </c>
    </row>
    <row r="42">
      <c r="A42" t="str">
        <f>IF('NO USAR2'!B40="",ROW('NO USAR2'!B40),'NO USAR2'!B40)</f>
        <v>Zach LaVine</v>
      </c>
      <c r="B42" s="58">
        <f>IF(TYPE($A42)=1,"",('NO USAR2'!$L40-B$1)/B$2)</f>
        <v>1.357516596</v>
      </c>
      <c r="C42" s="58">
        <f>IF(TYPE($A42)=1,"",('NO USAR2'!$K40-C$1)/C$2)</f>
        <v>1.186524453</v>
      </c>
      <c r="D42" s="58">
        <f>IF(TYPE($A42)=1,"",('NO USAR2'!$M40-D$1)/D$2)</f>
        <v>-0.6019122419</v>
      </c>
      <c r="E42" s="58">
        <f>IF(TYPE($A42)=1,"",('NO USAR2'!$N40-E$1)/E$2)</f>
        <v>0.3643244175</v>
      </c>
      <c r="F42" s="58">
        <f>IF(TYPE($A42)=1,"",('NO USAR2'!$O40-F$1)/F$2)</f>
        <v>-1.32132894</v>
      </c>
      <c r="G42" s="58">
        <f>IF(TYPE($A42)=1,"",('NO USAR2'!$P40-G$1)/G$2)</f>
        <v>-0.8184360358</v>
      </c>
      <c r="H42" s="58">
        <f>IF(TYPE($A42)=1,"",('NO USAR2'!$H40-H$1)/H$2*I42/$I$1)</f>
        <v>-0.06056835297</v>
      </c>
      <c r="I42" s="58">
        <f>IF(TYPE($A42)=1,"",IF('NO USAR2'!H40=0,0,'NO USAR2'!G40/'NO USAR2'!H40))</f>
        <v>17.5</v>
      </c>
      <c r="J42" s="59">
        <f>IF(TYPE($A42)=1,"",('NO USAR2'!$J40-J$1)/J$2*K42/$K$1)</f>
        <v>0.8971438992</v>
      </c>
      <c r="K42" s="60">
        <f>IF(TYPE($A42)=1,"",IF('NO USAR2'!J40=0,0,'NO USAR2'!I40/'NO USAR2'!J40))</f>
        <v>5.6</v>
      </c>
      <c r="L42" s="58">
        <f>IF(TYPE($A42)=1,"",-('NO USAR2'!$Q40-L$1)/L$2)</f>
        <v>-0.6392303852</v>
      </c>
      <c r="N42" s="63">
        <v>22.0</v>
      </c>
      <c r="O42" s="68" t="str">
        <f>IF('NO USAR2'!B22="",ROW('NO USAR2'!B22),'NO USAR2'!B22)</f>
        <v>Khris Middleton</v>
      </c>
      <c r="P42" s="68">
        <f>'NO USAR2'!E23</f>
        <v>60</v>
      </c>
      <c r="Q42" s="68" t="str">
        <f>IF('NO USAR2'!C22="",ROW('NO USAR2'!N37),'NO USAR2'!C22)</f>
        <v>SF</v>
      </c>
      <c r="R42" s="65">
        <f>VLOOKUP($O42,'NO USAR1'!$A$4:$L$399,2,False)+VLOOKUP($O42,'NO USAR1'!$A$4:$L$399,3,False)+VLOOKUP($O42,'NO USAR1'!$A$4:$L$399,4,False)+VLOOKUP($O42,'NO USAR1'!$A$4:$L$399,5,False)+VLOOKUP($O42,'NO USAR1'!$A$4:$L$399,6,False)+VLOOKUP($O42,'NO USAR1'!$A$4:$L$399,7,False)+VLOOKUP($O42,'NO USAR1'!$A$4:$L$399,8,False)+VLOOKUP($O42,'NO USAR1'!$A$4:$L$399,10,False)+VLOOKUP($O42,'NO USAR1'!$A$4:$L$399,12,False)*0</f>
        <v>3.147702217</v>
      </c>
      <c r="S42" s="65">
        <f>VLOOKUP($O42,'NO USAR1'!$A$4:$L$399,2,False)*$U$19+VLOOKUP($O42,'NO USAR1'!$A$4:$L$399,3,False)*$V$19+VLOOKUP($O42,'NO USAR1'!$A$4:$L$399,4,False)*$W$19+VLOOKUP($O42,'NO USAR1'!$A$4:$L$399,5,False)*$X$19+VLOOKUP($O42,'NO USAR1'!$A$4:$L$399,6,False)*$Y$19+VLOOKUP($O42,'NO USAR1'!$A$4:$L$399,7,False)*$Z$19+VLOOKUP($O42,'NO USAR1'!$A$4:$L$399,8,False)*$AA$19+VLOOKUP($O42,'NO USAR1'!$A$4:$L$399,10,False)*$AB$19+VLOOKUP($O42,'NO USAR1'!$A$4:$L$399,12,False)*$AC$19+IF(Projections!$K$3,-AN42, IF(Projections!$J$3,-AM42,0))</f>
        <v>4.20431932</v>
      </c>
      <c r="T42" s="65">
        <f t="shared" si="1"/>
        <v>1.056617103</v>
      </c>
      <c r="U42" s="65">
        <f>VLOOKUP($O42,'NO USAR2'!$B$2:$R$397,11,False)</f>
        <v>20.7</v>
      </c>
      <c r="V42" s="69">
        <f>VLOOKUP($O42,'NO USAR2'!$B$2:$R$397,10,False)</f>
        <v>2.5</v>
      </c>
      <c r="W42" s="65">
        <f>VLOOKUP($O42,'NO USAR2'!$B$2:$R$397,12,False)</f>
        <v>5.5</v>
      </c>
      <c r="X42" s="65">
        <f>VLOOKUP($O42,'NO USAR2'!$B$2:$R$397,13,False)</f>
        <v>5.5</v>
      </c>
      <c r="Y42" s="65">
        <f>VLOOKUP($O42,'NO USAR2'!$B$2:$R$397,14,False)</f>
        <v>1.2</v>
      </c>
      <c r="Z42" s="70">
        <f>VLOOKUP($O42,'NO USAR2'!$B$2:$R$397,15,False)</f>
        <v>0.3</v>
      </c>
      <c r="AA42" s="65">
        <f>100*VLOOKUP($O42,'NO USAR2'!$B$2:$R$397,7,False)</f>
        <v>47.33333333</v>
      </c>
      <c r="AB42" s="65">
        <f>100*VLOOKUP($O42,'NO USAR2'!$B$2:$R$397,9,False)</f>
        <v>88.88888889</v>
      </c>
      <c r="AC42" s="65">
        <f>VLOOKUP($O42,'NO USAR2'!$B$2:$Q$397,16,False)</f>
        <v>3</v>
      </c>
      <c r="AD42" s="65">
        <f>VLOOKUP($O42,'NO USAR1'!$A$4:$L$399,2,False)*$U$19</f>
        <v>0.9977639751</v>
      </c>
      <c r="AE42" s="65">
        <f>VLOOKUP($O42,'NO USAR1'!$A$4:$L$399,3,False)*$V$19</f>
        <v>0.886537784</v>
      </c>
      <c r="AF42" s="65">
        <f>VLOOKUP($O42,'NO USAR1'!$A$4:$L$399,4,False)*$W$19</f>
        <v>-0.2345183792</v>
      </c>
      <c r="AG42" s="65">
        <f>VLOOKUP($O42,'NO USAR1'!$A$4:$L$399,5,False)*$X$19</f>
        <v>1.026098733</v>
      </c>
      <c r="AH42" s="65">
        <f>VLOOKUP($O42,'NO USAR1'!$A$4:$L$399,6,False)*$Y$19</f>
        <v>0.8011379786</v>
      </c>
      <c r="AI42" s="65">
        <f>VLOOKUP($O42,'NO USAR1'!$A$4:$L$399,7,False)*$Z$19</f>
        <v>0</v>
      </c>
      <c r="AJ42" s="65">
        <f>VLOOKUP($O42,'NO USAR1'!$A$4:$L$399,8,False)*$AA$19</f>
        <v>0</v>
      </c>
      <c r="AK42" s="70">
        <f>VLOOKUP($O42,'NO USAR1'!$A$4:$L$399,10,False)*$AB$19</f>
        <v>0.7272992287</v>
      </c>
      <c r="AL42" s="65">
        <f>VLOOKUP($O42,'NO USAR1'!$A$4:$L$399,12,False)*$AC$19</f>
        <v>0</v>
      </c>
      <c r="AM42" s="71">
        <f t="shared" si="2"/>
        <v>-0.2345183792</v>
      </c>
      <c r="AN42" s="71">
        <f t="shared" si="3"/>
        <v>-0.2345183792</v>
      </c>
    </row>
    <row r="43">
      <c r="A43" t="str">
        <f>IF('NO USAR2'!B41="",ROW('NO USAR2'!B41),'NO USAR2'!B41)</f>
        <v>Terry Rozier</v>
      </c>
      <c r="B43" s="58">
        <f>IF(TYPE($A43)=1,"",('NO USAR2'!$L41-B$1)/B$2)</f>
        <v>0.7184329536</v>
      </c>
      <c r="C43" s="58">
        <f>IF(TYPE($A43)=1,"",('NO USAR2'!$K41-C$1)/C$2)</f>
        <v>1.486511122</v>
      </c>
      <c r="D43" s="58">
        <f>IF(TYPE($A43)=1,"",('NO USAR2'!$M41-D$1)/D$2)</f>
        <v>-0.6835553225</v>
      </c>
      <c r="E43" s="58">
        <f>IF(TYPE($A43)=1,"",('NO USAR2'!$N41-E$1)/E$2)</f>
        <v>0.4099798744</v>
      </c>
      <c r="F43" s="58">
        <f>IF(TYPE($A43)=1,"",('NO USAR2'!$O41-F$1)/F$2)</f>
        <v>0.96795027</v>
      </c>
      <c r="G43" s="58">
        <f>IF(TYPE($A43)=1,"",('NO USAR2'!$P41-G$1)/G$2)</f>
        <v>-0.8184360358</v>
      </c>
      <c r="H43" s="58">
        <f>IF(TYPE($A43)=1,"",('NO USAR2'!$H41-H$1)/H$2*I43/$I$1)</f>
        <v>-0.9890019618</v>
      </c>
      <c r="I43" s="58">
        <f>IF(TYPE($A43)=1,"",IF('NO USAR2'!H41=0,0,'NO USAR2'!G41/'NO USAR2'!H41))</f>
        <v>17.5</v>
      </c>
      <c r="J43" s="59">
        <f>IF(TYPE($A43)=1,"",('NO USAR2'!$J41-J$1)/J$2*K43/$K$1)</f>
        <v>0.6129161022</v>
      </c>
      <c r="K43" s="60">
        <f>IF(TYPE($A43)=1,"",IF('NO USAR2'!J41=0,0,'NO USAR2'!I41/'NO USAR2'!J41))</f>
        <v>2.8</v>
      </c>
      <c r="L43" s="58">
        <f>IF(TYPE($A43)=1,"",-('NO USAR2'!$Q41-L$1)/L$2)</f>
        <v>0.7955196219</v>
      </c>
      <c r="N43" s="2">
        <v>23.0</v>
      </c>
      <c r="O43" s="68" t="str">
        <f>IF('NO USAR2'!B34="",ROW('NO USAR2'!B34),'NO USAR2'!B34)</f>
        <v>Donovan Mitchell</v>
      </c>
      <c r="P43" s="68">
        <f>'NO USAR2'!E24</f>
        <v>72</v>
      </c>
      <c r="Q43" s="68" t="str">
        <f>IF('NO USAR2'!C34="",ROW('NO USAR2'!N49),'NO USAR2'!C34)</f>
        <v>PG/SF</v>
      </c>
      <c r="R43" s="65">
        <f>VLOOKUP($O43,'NO USAR1'!$A$4:$L$399,2,False)+VLOOKUP($O43,'NO USAR1'!$A$4:$L$399,3,False)+VLOOKUP($O43,'NO USAR1'!$A$4:$L$399,4,False)+VLOOKUP($O43,'NO USAR1'!$A$4:$L$399,5,False)+VLOOKUP($O43,'NO USAR1'!$A$4:$L$399,6,False)+VLOOKUP($O43,'NO USAR1'!$A$4:$L$399,7,False)+VLOOKUP($O43,'NO USAR1'!$A$4:$L$399,8,False)+VLOOKUP($O43,'NO USAR1'!$A$4:$L$399,10,False)+VLOOKUP($O43,'NO USAR1'!$A$4:$L$399,12,False)*0</f>
        <v>2.881643871</v>
      </c>
      <c r="S43" s="65">
        <f>VLOOKUP($O43,'NO USAR1'!$A$4:$L$399,2,False)*$U$19+VLOOKUP($O43,'NO USAR1'!$A$4:$L$399,3,False)*$V$19+VLOOKUP($O43,'NO USAR1'!$A$4:$L$399,4,False)*$W$19+VLOOKUP($O43,'NO USAR1'!$A$4:$L$399,5,False)*$X$19+VLOOKUP($O43,'NO USAR1'!$A$4:$L$399,6,False)*$Y$19+VLOOKUP($O43,'NO USAR1'!$A$4:$L$399,7,False)*$Z$19+VLOOKUP($O43,'NO USAR1'!$A$4:$L$399,8,False)*$AA$19+VLOOKUP($O43,'NO USAR1'!$A$4:$L$399,10,False)*$AB$19+VLOOKUP($O43,'NO USAR1'!$A$4:$L$399,12,False)*$AC$19+IF(Projections!$K$3,-AN43, IF(Projections!$J$3,-AM43,0))</f>
        <v>5.452278244</v>
      </c>
      <c r="T43" s="65">
        <f t="shared" si="1"/>
        <v>2.570634373</v>
      </c>
      <c r="U43" s="65">
        <f>VLOOKUP($O43,'NO USAR2'!$B$2:$R$397,11,False)</f>
        <v>24.2</v>
      </c>
      <c r="V43" s="69">
        <f>VLOOKUP($O43,'NO USAR2'!$B$2:$R$397,10,False)</f>
        <v>3.3</v>
      </c>
      <c r="W43" s="65">
        <f>VLOOKUP($O43,'NO USAR2'!$B$2:$R$397,12,False)</f>
        <v>3.9</v>
      </c>
      <c r="X43" s="65">
        <f>VLOOKUP($O43,'NO USAR2'!$B$2:$R$397,13,False)</f>
        <v>5</v>
      </c>
      <c r="Y43" s="65">
        <f>VLOOKUP($O43,'NO USAR2'!$B$2:$R$397,14,False)</f>
        <v>1.4</v>
      </c>
      <c r="Z43" s="70">
        <f>VLOOKUP($O43,'NO USAR2'!$B$2:$R$397,15,False)</f>
        <v>0.2</v>
      </c>
      <c r="AA43" s="65">
        <f>100*VLOOKUP($O43,'NO USAR2'!$B$2:$R$397,7,False)</f>
        <v>45.26315789</v>
      </c>
      <c r="AB43" s="65">
        <f>100*VLOOKUP($O43,'NO USAR2'!$B$2:$R$397,9,False)</f>
        <v>84.09090909</v>
      </c>
      <c r="AC43" s="65">
        <f>VLOOKUP($O43,'NO USAR2'!$B$2:$Q$397,16,False)</f>
        <v>2.8</v>
      </c>
      <c r="AD43" s="65">
        <f>VLOOKUP($O43,'NO USAR1'!$A$4:$L$399,2,False)*$U$19</f>
        <v>1.929760953</v>
      </c>
      <c r="AE43" s="65">
        <f>VLOOKUP($O43,'NO USAR1'!$A$4:$L$399,3,False)*$V$19</f>
        <v>1.686502234</v>
      </c>
      <c r="AF43" s="65">
        <f>VLOOKUP($O43,'NO USAR1'!$A$4:$L$399,4,False)*$W$19</f>
        <v>-0.8876630241</v>
      </c>
      <c r="AG43" s="65">
        <f>VLOOKUP($O43,'NO USAR1'!$A$4:$L$399,5,False)*$X$19</f>
        <v>0.7407521273</v>
      </c>
      <c r="AH43" s="65">
        <f>VLOOKUP($O43,'NO USAR1'!$A$4:$L$399,6,False)*$Y$19</f>
        <v>1.618737696</v>
      </c>
      <c r="AI43" s="65">
        <f>VLOOKUP($O43,'NO USAR1'!$A$4:$L$399,7,False)*$Z$19</f>
        <v>0</v>
      </c>
      <c r="AJ43" s="65">
        <f>VLOOKUP($O43,'NO USAR1'!$A$4:$L$399,8,False)*$AA$19</f>
        <v>0</v>
      </c>
      <c r="AK43" s="70">
        <f>VLOOKUP($O43,'NO USAR1'!$A$4:$L$399,10,False)*$AB$19</f>
        <v>0.364188257</v>
      </c>
      <c r="AL43" s="65">
        <f>VLOOKUP($O43,'NO USAR1'!$A$4:$L$399,12,False)*$AC$19</f>
        <v>0</v>
      </c>
      <c r="AM43" s="71">
        <f t="shared" si="2"/>
        <v>-0.8876630241</v>
      </c>
      <c r="AN43" s="71">
        <f t="shared" si="3"/>
        <v>-0.8876630241</v>
      </c>
    </row>
    <row r="44">
      <c r="A44" t="str">
        <f>IF('NO USAR2'!B42="",ROW('NO USAR2'!B42),'NO USAR2'!B42)</f>
        <v>Nikola Vucevic</v>
      </c>
      <c r="B44" s="58">
        <f>IF(TYPE($A44)=1,"",('NO USAR2'!$L42-B$1)/B$2)</f>
        <v>0.0438446645</v>
      </c>
      <c r="C44" s="58">
        <f>IF(TYPE($A44)=1,"",('NO USAR2'!$K42-C$1)/C$2)</f>
        <v>-0.2134133348</v>
      </c>
      <c r="D44" s="58">
        <f>IF(TYPE($A44)=1,"",('NO USAR2'!$M42-D$1)/D$2)</f>
        <v>1.847380176</v>
      </c>
      <c r="E44" s="58">
        <f>IF(TYPE($A44)=1,"",('NO USAR2'!$N42-E$1)/E$2)</f>
        <v>-0.2748519786</v>
      </c>
      <c r="F44" s="58">
        <f>IF(TYPE($A44)=1,"",('NO USAR2'!$O42-F$1)/F$2)</f>
        <v>-0.01316939143</v>
      </c>
      <c r="G44" s="58">
        <f>IF(TYPE($A44)=1,"",('NO USAR2'!$P42-G$1)/G$2)</f>
        <v>0.62350448</v>
      </c>
      <c r="H44" s="58">
        <f>IF(TYPE($A44)=1,"",('NO USAR2'!$H42-H$1)/H$2*I44/$I$1)</f>
        <v>-0.2621977126</v>
      </c>
      <c r="I44" s="58">
        <f>IF(TYPE($A44)=1,"",IF('NO USAR2'!H42=0,0,'NO USAR2'!G42/'NO USAR2'!H42))</f>
        <v>15.4</v>
      </c>
      <c r="J44" s="59">
        <f>IF(TYPE($A44)=1,"",('NO USAR2'!$J42-J$1)/J$2*K44/$K$1)</f>
        <v>-0.1443825605</v>
      </c>
      <c r="K44" s="60">
        <f>IF(TYPE($A44)=1,"",IF('NO USAR2'!J42=0,0,'NO USAR2'!I42/'NO USAR2'!J42))</f>
        <v>1.7</v>
      </c>
      <c r="L44" s="58">
        <f>IF(TYPE($A44)=1,"",-('NO USAR2'!$Q42-L$1)/L$2)</f>
        <v>0.1333273109</v>
      </c>
      <c r="N44" s="63">
        <v>24.0</v>
      </c>
      <c r="O44" s="68" t="str">
        <f>IF('NO USAR2'!B31="",ROW('NO USAR2'!B31),'NO USAR2'!B31)</f>
        <v>Darius Garland</v>
      </c>
      <c r="P44" s="68">
        <f>'NO USAR2'!E25</f>
        <v>77</v>
      </c>
      <c r="Q44" s="68" t="str">
        <f>IF('NO USAR2'!C31="",ROW('NO USAR2'!N46),'NO USAR2'!C31)</f>
        <v>PG/SG</v>
      </c>
      <c r="R44" s="65">
        <f>VLOOKUP($O44,'NO USAR1'!$A$4:$L$399,2,False)+VLOOKUP($O44,'NO USAR1'!$A$4:$L$399,3,False)+VLOOKUP($O44,'NO USAR1'!$A$4:$L$399,4,False)+VLOOKUP($O44,'NO USAR1'!$A$4:$L$399,5,False)+VLOOKUP($O44,'NO USAR1'!$A$4:$L$399,6,False)+VLOOKUP($O44,'NO USAR1'!$A$4:$L$399,7,False)+VLOOKUP($O44,'NO USAR1'!$A$4:$L$399,8,False)+VLOOKUP($O44,'NO USAR1'!$A$4:$L$399,10,False)+VLOOKUP($O44,'NO USAR1'!$A$4:$L$399,12,False)*0</f>
        <v>2.857976784</v>
      </c>
      <c r="S44" s="65">
        <f>VLOOKUP($O44,'NO USAR1'!$A$4:$L$399,2,False)*$U$19+VLOOKUP($O44,'NO USAR1'!$A$4:$L$399,3,False)*$V$19+VLOOKUP($O44,'NO USAR1'!$A$4:$L$399,4,False)*$W$19+VLOOKUP($O44,'NO USAR1'!$A$4:$L$399,5,False)*$X$19+VLOOKUP($O44,'NO USAR1'!$A$4:$L$399,6,False)*$Y$19+VLOOKUP($O44,'NO USAR1'!$A$4:$L$399,7,False)*$Z$19+VLOOKUP($O44,'NO USAR1'!$A$4:$L$399,8,False)*$AA$19+VLOOKUP($O44,'NO USAR1'!$A$4:$L$399,10,False)*$AB$19+VLOOKUP($O44,'NO USAR1'!$A$4:$L$399,12,False)*$AC$19+IF(Projections!$K$3,-AN44, IF(Projections!$J$3,-AM44,0))</f>
        <v>4.87575599</v>
      </c>
      <c r="T44" s="65">
        <f t="shared" si="1"/>
        <v>2.017779206</v>
      </c>
      <c r="U44" s="65">
        <f>VLOOKUP($O44,'NO USAR2'!$B$2:$R$397,11,False)</f>
        <v>20.7</v>
      </c>
      <c r="V44" s="69">
        <f>VLOOKUP($O44,'NO USAR2'!$B$2:$R$397,10,False)</f>
        <v>2.4</v>
      </c>
      <c r="W44" s="65">
        <f>VLOOKUP($O44,'NO USAR2'!$B$2:$R$397,12,False)</f>
        <v>3.1</v>
      </c>
      <c r="X44" s="65">
        <f>VLOOKUP($O44,'NO USAR2'!$B$2:$R$397,13,False)</f>
        <v>8</v>
      </c>
      <c r="Y44" s="65">
        <f>VLOOKUP($O44,'NO USAR2'!$B$2:$R$397,14,False)</f>
        <v>1.3</v>
      </c>
      <c r="Z44" s="70">
        <f>VLOOKUP($O44,'NO USAR2'!$B$2:$R$397,15,False)</f>
        <v>0.1</v>
      </c>
      <c r="AA44" s="65">
        <f>100*VLOOKUP($O44,'NO USAR2'!$B$2:$R$397,7,False)</f>
        <v>46.95121951</v>
      </c>
      <c r="AB44" s="65">
        <f>100*VLOOKUP($O44,'NO USAR2'!$B$2:$R$397,9,False)</f>
        <v>90.90909091</v>
      </c>
      <c r="AC44" s="65">
        <f>VLOOKUP($O44,'NO USAR2'!$B$2:$Q$397,16,False)</f>
        <v>3.4</v>
      </c>
      <c r="AD44" s="65">
        <f>VLOOKUP($O44,'NO USAR1'!$A$4:$L$399,2,False)*$U$19</f>
        <v>0.9977639751</v>
      </c>
      <c r="AE44" s="65">
        <f>VLOOKUP($O44,'NO USAR1'!$A$4:$L$399,3,False)*$V$19</f>
        <v>0.7865422277</v>
      </c>
      <c r="AF44" s="65">
        <f>VLOOKUP($O44,'NO USAR1'!$A$4:$L$399,4,False)*$W$19</f>
        <v>-1.214235346</v>
      </c>
      <c r="AG44" s="65">
        <f>VLOOKUP($O44,'NO USAR1'!$A$4:$L$399,5,False)*$X$19</f>
        <v>2.45283176</v>
      </c>
      <c r="AH44" s="65">
        <f>VLOOKUP($O44,'NO USAR1'!$A$4:$L$399,6,False)*$Y$19</f>
        <v>1.209937838</v>
      </c>
      <c r="AI44" s="65">
        <f>VLOOKUP($O44,'NO USAR1'!$A$4:$L$399,7,False)*$Z$19</f>
        <v>0</v>
      </c>
      <c r="AJ44" s="65">
        <f>VLOOKUP($O44,'NO USAR1'!$A$4:$L$399,8,False)*$AA$19</f>
        <v>0</v>
      </c>
      <c r="AK44" s="70">
        <f>VLOOKUP($O44,'NO USAR1'!$A$4:$L$399,10,False)*$AB$19</f>
        <v>0.6429155362</v>
      </c>
      <c r="AL44" s="65">
        <f>VLOOKUP($O44,'NO USAR1'!$A$4:$L$399,12,False)*$AC$19</f>
        <v>0</v>
      </c>
      <c r="AM44" s="71">
        <f t="shared" si="2"/>
        <v>-1.214235346</v>
      </c>
      <c r="AN44" s="71">
        <f t="shared" si="3"/>
        <v>-1.214235346</v>
      </c>
    </row>
    <row r="45">
      <c r="A45" t="str">
        <f>IF('NO USAR2'!B43="",ROW('NO USAR2'!B43),'NO USAR2'!B43)</f>
        <v>Desmond Bane</v>
      </c>
      <c r="B45" s="58">
        <f>IF(TYPE($A45)=1,"",('NO USAR2'!$L43-B$1)/B$2)</f>
        <v>0.3633864856</v>
      </c>
      <c r="C45" s="58">
        <f>IF(TYPE($A45)=1,"",('NO USAR2'!$K43-C$1)/C$2)</f>
        <v>1.486511122</v>
      </c>
      <c r="D45" s="58">
        <f>IF(TYPE($A45)=1,"",('NO USAR2'!$M43-D$1)/D$2)</f>
        <v>-0.6427337822</v>
      </c>
      <c r="E45" s="58">
        <f>IF(TYPE($A45)=1,"",('NO USAR2'!$N43-E$1)/E$2)</f>
        <v>-0.4118183492</v>
      </c>
      <c r="F45" s="58">
        <f>IF(TYPE($A45)=1,"",('NO USAR2'!$O43-F$1)/F$2)</f>
        <v>0.6409103829</v>
      </c>
      <c r="G45" s="58">
        <f>IF(TYPE($A45)=1,"",('NO USAR2'!$P43-G$1)/G$2)</f>
        <v>-0.6124445335</v>
      </c>
      <c r="H45" s="58">
        <f>IF(TYPE($A45)=1,"",('NO USAR2'!$H43-H$1)/H$2*I45/$I$1)</f>
        <v>-0.4969297394</v>
      </c>
      <c r="I45" s="58">
        <f>IF(TYPE($A45)=1,"",IF('NO USAR2'!H43=0,0,'NO USAR2'!G43/'NO USAR2'!H43))</f>
        <v>15.2</v>
      </c>
      <c r="J45" s="59">
        <f>IF(TYPE($A45)=1,"",('NO USAR2'!$J43-J$1)/J$2*K45/$K$1)</f>
        <v>0.7883753819</v>
      </c>
      <c r="K45" s="60">
        <f>IF(TYPE($A45)=1,"",IF('NO USAR2'!J43=0,0,'NO USAR2'!I43/'NO USAR2'!J43))</f>
        <v>2.1</v>
      </c>
      <c r="L45" s="58">
        <f>IF(TYPE($A45)=1,"",-('NO USAR2'!$Q43-L$1)/L$2)</f>
        <v>0.4644234664</v>
      </c>
      <c r="N45" s="63">
        <v>25.0</v>
      </c>
      <c r="O45" s="68" t="str">
        <f>IF('NO USAR2'!B26="",ROW('NO USAR2'!B26),'NO USAR2'!B26)</f>
        <v>Chris Paul</v>
      </c>
      <c r="P45" s="68">
        <f>'NO USAR2'!E26</f>
        <v>65</v>
      </c>
      <c r="Q45" s="68" t="str">
        <f>IF('NO USAR2'!C26="",ROW('NO USAR2'!N41),'NO USAR2'!C26)</f>
        <v>PG</v>
      </c>
      <c r="R45" s="65">
        <f>VLOOKUP($O45,'NO USAR1'!$A$4:$L$399,2,False)+VLOOKUP($O45,'NO USAR1'!$A$4:$L$399,3,False)+VLOOKUP($O45,'NO USAR1'!$A$4:$L$399,4,False)+VLOOKUP($O45,'NO USAR1'!$A$4:$L$399,5,False)+VLOOKUP($O45,'NO USAR1'!$A$4:$L$399,6,False)+VLOOKUP($O45,'NO USAR1'!$A$4:$L$399,7,False)+VLOOKUP($O45,'NO USAR1'!$A$4:$L$399,8,False)+VLOOKUP($O45,'NO USAR1'!$A$4:$L$399,10,False)+VLOOKUP($O45,'NO USAR1'!$A$4:$L$399,12,False)*0</f>
        <v>2.852634985</v>
      </c>
      <c r="S45" s="65">
        <f>VLOOKUP($O45,'NO USAR1'!$A$4:$L$399,2,False)*$U$19+VLOOKUP($O45,'NO USAR1'!$A$4:$L$399,3,False)*$V$19+VLOOKUP($O45,'NO USAR1'!$A$4:$L$399,4,False)*$W$19+VLOOKUP($O45,'NO USAR1'!$A$4:$L$399,5,False)*$X$19+VLOOKUP($O45,'NO USAR1'!$A$4:$L$399,6,False)*$Y$19+VLOOKUP($O45,'NO USAR1'!$A$4:$L$399,7,False)*$Z$19+VLOOKUP($O45,'NO USAR1'!$A$4:$L$399,8,False)*$AA$19+VLOOKUP($O45,'NO USAR1'!$A$4:$L$399,10,False)*$AB$19+VLOOKUP($O45,'NO USAR1'!$A$4:$L$399,12,False)*$AC$19+IF(Projections!$K$3,-AN45, IF(Projections!$J$3,-AM45,0))</f>
        <v>4.468436884</v>
      </c>
      <c r="T45" s="65">
        <f t="shared" si="1"/>
        <v>1.615801899</v>
      </c>
      <c r="U45" s="65">
        <f>VLOOKUP($O45,'NO USAR2'!$B$2:$R$397,11,False)</f>
        <v>14.4</v>
      </c>
      <c r="V45" s="69">
        <f>VLOOKUP($O45,'NO USAR2'!$B$2:$R$397,10,False)</f>
        <v>1</v>
      </c>
      <c r="W45" s="65">
        <f>VLOOKUP($O45,'NO USAR2'!$B$2:$R$397,12,False)</f>
        <v>4.2</v>
      </c>
      <c r="X45" s="65">
        <f>VLOOKUP($O45,'NO USAR2'!$B$2:$R$397,13,False)</f>
        <v>10.5</v>
      </c>
      <c r="Y45" s="65">
        <f>VLOOKUP($O45,'NO USAR2'!$B$2:$R$397,14,False)</f>
        <v>1.6</v>
      </c>
      <c r="Z45" s="70">
        <f>VLOOKUP($O45,'NO USAR2'!$B$2:$R$397,15,False)</f>
        <v>0.3</v>
      </c>
      <c r="AA45" s="65">
        <f>100*VLOOKUP($O45,'NO USAR2'!$B$2:$R$397,7,False)</f>
        <v>49.09090909</v>
      </c>
      <c r="AB45" s="65">
        <f>100*VLOOKUP($O45,'NO USAR2'!$B$2:$R$397,9,False)</f>
        <v>83.33333333</v>
      </c>
      <c r="AC45" s="65">
        <f>VLOOKUP($O45,'NO USAR2'!$B$2:$Q$397,16,False)</f>
        <v>2.3</v>
      </c>
      <c r="AD45" s="65">
        <f>VLOOKUP($O45,'NO USAR1'!$A$4:$L$399,2,False)*$U$19</f>
        <v>-0.6798305859</v>
      </c>
      <c r="AE45" s="65">
        <f>VLOOKUP($O45,'NO USAR1'!$A$4:$L$399,3,False)*$V$19</f>
        <v>-0.6133955598</v>
      </c>
      <c r="AF45" s="65">
        <f>VLOOKUP($O45,'NO USAR1'!$A$4:$L$399,4,False)*$W$19</f>
        <v>-0.7651984031</v>
      </c>
      <c r="AG45" s="65">
        <f>VLOOKUP($O45,'NO USAR1'!$A$4:$L$399,5,False)*$X$19</f>
        <v>3.879564787</v>
      </c>
      <c r="AH45" s="65">
        <f>VLOOKUP($O45,'NO USAR1'!$A$4:$L$399,6,False)*$Y$19</f>
        <v>2.436337414</v>
      </c>
      <c r="AI45" s="65">
        <f>VLOOKUP($O45,'NO USAR1'!$A$4:$L$399,7,False)*$Z$19</f>
        <v>0</v>
      </c>
      <c r="AJ45" s="65">
        <f>VLOOKUP($O45,'NO USAR1'!$A$4:$L$399,8,False)*$AA$19</f>
        <v>0</v>
      </c>
      <c r="AK45" s="70">
        <f>VLOOKUP($O45,'NO USAR1'!$A$4:$L$399,10,False)*$AB$19</f>
        <v>0.2109592314</v>
      </c>
      <c r="AL45" s="65">
        <f>VLOOKUP($O45,'NO USAR1'!$A$4:$L$399,12,False)*$AC$19</f>
        <v>0</v>
      </c>
      <c r="AM45" s="71">
        <f t="shared" si="2"/>
        <v>-0.7651984031</v>
      </c>
      <c r="AN45" s="71">
        <f t="shared" si="3"/>
        <v>-1.445028989</v>
      </c>
    </row>
    <row r="46">
      <c r="A46" t="str">
        <f>IF('NO USAR2'!B44="",ROW('NO USAR2'!B44),'NO USAR2'!B44)</f>
        <v>Anthony Edwards</v>
      </c>
      <c r="B46" s="58">
        <f>IF(TYPE($A46)=1,"",('NO USAR2'!$L44-B$1)/B$2)</f>
        <v>0.9492131577</v>
      </c>
      <c r="C46" s="58">
        <f>IF(TYPE($A46)=1,"",('NO USAR2'!$K44-C$1)/C$2)</f>
        <v>1.486511122</v>
      </c>
      <c r="D46" s="58">
        <f>IF(TYPE($A46)=1,"",('NO USAR2'!$M44-D$1)/D$2)</f>
        <v>-0.8468414838</v>
      </c>
      <c r="E46" s="58">
        <f>IF(TYPE($A46)=1,"",('NO USAR2'!$N44-E$1)/E$2)</f>
        <v>0.1360471332</v>
      </c>
      <c r="F46" s="58">
        <f>IF(TYPE($A46)=1,"",('NO USAR2'!$O44-F$1)/F$2)</f>
        <v>1.294990157</v>
      </c>
      <c r="G46" s="58">
        <f>IF(TYPE($A46)=1,"",('NO USAR2'!$P44-G$1)/G$2)</f>
        <v>-0.200461529</v>
      </c>
      <c r="H46" s="58">
        <f>IF(TYPE($A46)=1,"",('NO USAR2'!$H44-H$1)/H$2*I46/$I$1)</f>
        <v>-0.9811310881</v>
      </c>
      <c r="I46" s="58">
        <f>IF(TYPE($A46)=1,"",IF('NO USAR2'!H44=0,0,'NO USAR2'!G44/'NO USAR2'!H44))</f>
        <v>18.1</v>
      </c>
      <c r="J46" s="59">
        <f>IF(TYPE($A46)=1,"",('NO USAR2'!$J44-J$1)/J$2*K46/$K$1)</f>
        <v>-0.1355360954</v>
      </c>
      <c r="K46" s="60">
        <f>IF(TYPE($A46)=1,"",IF('NO USAR2'!J44=0,0,'NO USAR2'!I44/'NO USAR2'!J44))</f>
        <v>4.1</v>
      </c>
      <c r="L46" s="58">
        <f>IF(TYPE($A46)=1,"",-('NO USAR2'!$Q44-L$1)/L$2)</f>
        <v>-0.7495957703</v>
      </c>
      <c r="N46" s="2">
        <v>26.0</v>
      </c>
      <c r="O46" s="68" t="str">
        <f>IF('NO USAR2'!B28="",ROW('NO USAR2'!B28),'NO USAR2'!B28)</f>
        <v>Shai Gilgeous-Alexander</v>
      </c>
      <c r="P46" s="68">
        <f>'NO USAR2'!E27</f>
        <v>69</v>
      </c>
      <c r="Q46" s="68" t="str">
        <f>IF('NO USAR2'!C28="",ROW('NO USAR2'!N43),'NO USAR2'!C28)</f>
        <v>PG/SF</v>
      </c>
      <c r="R46" s="65">
        <f>VLOOKUP($O46,'NO USAR1'!$A$4:$L$399,2,False)+VLOOKUP($O46,'NO USAR1'!$A$4:$L$399,3,False)+VLOOKUP($O46,'NO USAR1'!$A$4:$L$399,4,False)+VLOOKUP($O46,'NO USAR1'!$A$4:$L$399,5,False)+VLOOKUP($O46,'NO USAR1'!$A$4:$L$399,6,False)+VLOOKUP($O46,'NO USAR1'!$A$4:$L$399,7,False)+VLOOKUP($O46,'NO USAR1'!$A$4:$L$399,8,False)+VLOOKUP($O46,'NO USAR1'!$A$4:$L$399,10,False)+VLOOKUP($O46,'NO USAR1'!$A$4:$L$399,12,False)*0</f>
        <v>2.802135182</v>
      </c>
      <c r="S46" s="65">
        <f>VLOOKUP($O46,'NO USAR1'!$A$4:$L$399,2,False)*$U$19+VLOOKUP($O46,'NO USAR1'!$A$4:$L$399,3,False)*$V$19+VLOOKUP($O46,'NO USAR1'!$A$4:$L$399,4,False)*$W$19+VLOOKUP($O46,'NO USAR1'!$A$4:$L$399,5,False)*$X$19+VLOOKUP($O46,'NO USAR1'!$A$4:$L$399,6,False)*$Y$19+VLOOKUP($O46,'NO USAR1'!$A$4:$L$399,7,False)*$Z$19+VLOOKUP($O46,'NO USAR1'!$A$4:$L$399,8,False)*$AA$19+VLOOKUP($O46,'NO USAR1'!$A$4:$L$399,10,False)*$AB$19+VLOOKUP($O46,'NO USAR1'!$A$4:$L$399,12,False)*$AC$19+IF(Projections!$K$3,-AN46, IF(Projections!$J$3,-AM46,0))</f>
        <v>3.892768123</v>
      </c>
      <c r="T46" s="65">
        <f t="shared" si="1"/>
        <v>1.090632941</v>
      </c>
      <c r="U46" s="65">
        <f>VLOOKUP($O46,'NO USAR2'!$B$2:$R$397,11,False)</f>
        <v>24.9</v>
      </c>
      <c r="V46" s="69">
        <f>VLOOKUP($O46,'NO USAR2'!$B$2:$R$397,10,False)</f>
        <v>1.6</v>
      </c>
      <c r="W46" s="65">
        <f>VLOOKUP($O46,'NO USAR2'!$B$2:$R$397,12,False)</f>
        <v>5.1</v>
      </c>
      <c r="X46" s="65">
        <f>VLOOKUP($O46,'NO USAR2'!$B$2:$R$397,13,False)</f>
        <v>5.7</v>
      </c>
      <c r="Y46" s="65">
        <f>VLOOKUP($O46,'NO USAR2'!$B$2:$R$397,14,False)</f>
        <v>1.2</v>
      </c>
      <c r="Z46" s="70">
        <f>VLOOKUP($O46,'NO USAR2'!$B$2:$R$397,15,False)</f>
        <v>0.8</v>
      </c>
      <c r="AA46" s="65">
        <f>100*VLOOKUP($O46,'NO USAR2'!$B$2:$R$397,7,False)</f>
        <v>46.73913043</v>
      </c>
      <c r="AB46" s="65">
        <f>100*VLOOKUP($O46,'NO USAR2'!$B$2:$R$397,9,False)</f>
        <v>81.08108108</v>
      </c>
      <c r="AC46" s="65">
        <f>VLOOKUP($O46,'NO USAR2'!$B$2:$Q$397,16,False)</f>
        <v>2.9</v>
      </c>
      <c r="AD46" s="65">
        <f>VLOOKUP($O46,'NO USAR1'!$A$4:$L$399,2,False)*$U$19</f>
        <v>2.116160349</v>
      </c>
      <c r="AE46" s="65">
        <f>VLOOKUP($O46,'NO USAR1'!$A$4:$L$399,3,False)*$V$19</f>
        <v>-0.01342222232</v>
      </c>
      <c r="AF46" s="65">
        <f>VLOOKUP($O46,'NO USAR1'!$A$4:$L$399,4,False)*$W$19</f>
        <v>-0.3978045404</v>
      </c>
      <c r="AG46" s="65">
        <f>VLOOKUP($O46,'NO USAR1'!$A$4:$L$399,5,False)*$X$19</f>
        <v>1.140237375</v>
      </c>
      <c r="AH46" s="65">
        <f>VLOOKUP($O46,'NO USAR1'!$A$4:$L$399,6,False)*$Y$19</f>
        <v>0.8011379786</v>
      </c>
      <c r="AI46" s="65">
        <f>VLOOKUP($O46,'NO USAR1'!$A$4:$L$399,7,False)*$Z$19</f>
        <v>0</v>
      </c>
      <c r="AJ46" s="65">
        <f>VLOOKUP($O46,'NO USAR1'!$A$4:$L$399,8,False)*$AA$19</f>
        <v>0</v>
      </c>
      <c r="AK46" s="70">
        <f>VLOOKUP($O46,'NO USAR1'!$A$4:$L$399,10,False)*$AB$19</f>
        <v>0.2464591832</v>
      </c>
      <c r="AL46" s="65">
        <f>VLOOKUP($O46,'NO USAR1'!$A$4:$L$399,12,False)*$AC$19</f>
        <v>0</v>
      </c>
      <c r="AM46" s="71">
        <f t="shared" si="2"/>
        <v>-0.3978045404</v>
      </c>
      <c r="AN46" s="71">
        <f t="shared" si="3"/>
        <v>-0.4112267627</v>
      </c>
    </row>
    <row r="47">
      <c r="A47" t="str">
        <f>IF('NO USAR2'!B45="",ROW('NO USAR2'!B45),'NO USAR2'!B45)</f>
        <v>Cade Cunningham</v>
      </c>
      <c r="B47" s="58">
        <f>IF(TYPE($A47)=1,"",('NO USAR2'!$L45-B$1)/B$2)</f>
        <v>0.5054050728</v>
      </c>
      <c r="C47" s="58">
        <f>IF(TYPE($A47)=1,"",('NO USAR2'!$K45-C$1)/C$2)</f>
        <v>0.3865600027</v>
      </c>
      <c r="D47" s="58">
        <f>IF(TYPE($A47)=1,"",('NO USAR2'!$M45-D$1)/D$2)</f>
        <v>0.05123240293</v>
      </c>
      <c r="E47" s="58">
        <f>IF(TYPE($A47)=1,"",('NO USAR2'!$N45-E$1)/E$2)</f>
        <v>1.186122641</v>
      </c>
      <c r="F47" s="58">
        <f>IF(TYPE($A47)=1,"",('NO USAR2'!$O45-F$1)/F$2)</f>
        <v>0.6409103829</v>
      </c>
      <c r="G47" s="58">
        <f>IF(TYPE($A47)=1,"",('NO USAR2'!$P45-G$1)/G$2)</f>
        <v>0.2115214755</v>
      </c>
      <c r="H47" s="58">
        <f>IF(TYPE($A47)=1,"",('NO USAR2'!$H45-H$1)/H$2*I47/$I$1)</f>
        <v>-1.329293691</v>
      </c>
      <c r="I47" s="58">
        <f>IF(TYPE($A47)=1,"",IF('NO USAR2'!H45=0,0,'NO USAR2'!G45/'NO USAR2'!H45))</f>
        <v>18.1</v>
      </c>
      <c r="J47" s="59">
        <f>IF(TYPE($A47)=1,"",('NO USAR2'!$J45-J$1)/J$2*K47/$K$1)</f>
        <v>0.6817614352</v>
      </c>
      <c r="K47" s="60">
        <f>IF(TYPE($A47)=1,"",IF('NO USAR2'!J45=0,0,'NO USAR2'!I45/'NO USAR2'!J45))</f>
        <v>2.9</v>
      </c>
      <c r="L47" s="58">
        <f>IF(TYPE($A47)=1,"",-('NO USAR2'!$Q45-L$1)/L$2)</f>
        <v>-2.405076548</v>
      </c>
      <c r="N47" s="63">
        <v>27.0</v>
      </c>
      <c r="O47" s="68" t="str">
        <f>IF('NO USAR2'!B24="",ROW('NO USAR2'!B24),'NO USAR2'!B24)</f>
        <v>Bam Adebayo</v>
      </c>
      <c r="P47" s="68">
        <f>'NO USAR2'!E28</f>
        <v>64</v>
      </c>
      <c r="Q47" s="68" t="str">
        <f>IF('NO USAR2'!C24="",ROW('NO USAR2'!N39),'NO USAR2'!C24)</f>
        <v>PF/C</v>
      </c>
      <c r="R47" s="65">
        <f>VLOOKUP($O47,'NO USAR1'!$A$4:$L$399,2,False)+VLOOKUP($O47,'NO USAR1'!$A$4:$L$399,3,False)+VLOOKUP($O47,'NO USAR1'!$A$4:$L$399,4,False)+VLOOKUP($O47,'NO USAR1'!$A$4:$L$399,5,False)+VLOOKUP($O47,'NO USAR1'!$A$4:$L$399,6,False)+VLOOKUP($O47,'NO USAR1'!$A$4:$L$399,7,False)+VLOOKUP($O47,'NO USAR1'!$A$4:$L$399,8,False)+VLOOKUP($O47,'NO USAR1'!$A$4:$L$399,10,False)+VLOOKUP($O47,'NO USAR1'!$A$4:$L$399,12,False)*0</f>
        <v>2.695111279</v>
      </c>
      <c r="S47" s="65">
        <f>VLOOKUP($O47,'NO USAR1'!$A$4:$L$399,2,False)*$U$19+VLOOKUP($O47,'NO USAR1'!$A$4:$L$399,3,False)*$V$19+VLOOKUP($O47,'NO USAR1'!$A$4:$L$399,4,False)*$W$19+VLOOKUP($O47,'NO USAR1'!$A$4:$L$399,5,False)*$X$19+VLOOKUP($O47,'NO USAR1'!$A$4:$L$399,6,False)*$Y$19+VLOOKUP($O47,'NO USAR1'!$A$4:$L$399,7,False)*$Z$19+VLOOKUP($O47,'NO USAR1'!$A$4:$L$399,8,False)*$AA$19+VLOOKUP($O47,'NO USAR1'!$A$4:$L$399,10,False)*$AB$19+VLOOKUP($O47,'NO USAR1'!$A$4:$L$399,12,False)*$AC$19+IF(Projections!$K$3,-AN47, IF(Projections!$J$3,-AM47,0))</f>
        <v>1.855775431</v>
      </c>
      <c r="T47" s="65">
        <f t="shared" si="1"/>
        <v>-0.8393358477</v>
      </c>
      <c r="U47" s="65">
        <f>VLOOKUP($O47,'NO USAR2'!$B$2:$R$397,11,False)</f>
        <v>19.9</v>
      </c>
      <c r="V47" s="69">
        <f>VLOOKUP($O47,'NO USAR2'!$B$2:$R$397,10,False)</f>
        <v>0</v>
      </c>
      <c r="W47" s="65">
        <f>VLOOKUP($O47,'NO USAR2'!$B$2:$R$397,12,False)</f>
        <v>10.5</v>
      </c>
      <c r="X47" s="65">
        <f>VLOOKUP($O47,'NO USAR2'!$B$2:$R$397,13,False)</f>
        <v>3.7</v>
      </c>
      <c r="Y47" s="65">
        <f>VLOOKUP($O47,'NO USAR2'!$B$2:$R$397,14,False)</f>
        <v>1.3</v>
      </c>
      <c r="Z47" s="70">
        <f>VLOOKUP($O47,'NO USAR2'!$B$2:$R$397,15,False)</f>
        <v>1</v>
      </c>
      <c r="AA47" s="65">
        <f>100*VLOOKUP($O47,'NO USAR2'!$B$2:$R$397,7,False)</f>
        <v>55.47445255</v>
      </c>
      <c r="AB47" s="65">
        <f>100*VLOOKUP($O47,'NO USAR2'!$B$2:$R$397,9,False)</f>
        <v>75.80645161</v>
      </c>
      <c r="AC47" s="65">
        <f>VLOOKUP($O47,'NO USAR2'!$B$2:$Q$397,16,False)</f>
        <v>2.7</v>
      </c>
      <c r="AD47" s="65">
        <f>VLOOKUP($O47,'NO USAR1'!$A$4:$L$399,2,False)*$U$19</f>
        <v>0.7847360943</v>
      </c>
      <c r="AE47" s="65">
        <f>VLOOKUP($O47,'NO USAR1'!$A$4:$L$399,3,False)*$V$19</f>
        <v>-1.613351122</v>
      </c>
      <c r="AF47" s="65">
        <f>VLOOKUP($O47,'NO USAR1'!$A$4:$L$399,4,False)*$W$19</f>
        <v>1.806558636</v>
      </c>
      <c r="AG47" s="65">
        <f>VLOOKUP($O47,'NO USAR1'!$A$4:$L$399,5,False)*$X$19</f>
        <v>-0.001149046733</v>
      </c>
      <c r="AH47" s="65">
        <f>VLOOKUP($O47,'NO USAR1'!$A$4:$L$399,6,False)*$Y$19</f>
        <v>1.209937838</v>
      </c>
      <c r="AI47" s="65">
        <f>VLOOKUP($O47,'NO USAR1'!$A$4:$L$399,7,False)*$Z$19</f>
        <v>0</v>
      </c>
      <c r="AJ47" s="65">
        <f>VLOOKUP($O47,'NO USAR1'!$A$4:$L$399,8,False)*$AA$19</f>
        <v>0</v>
      </c>
      <c r="AK47" s="70">
        <f>VLOOKUP($O47,'NO USAR1'!$A$4:$L$399,10,False)*$AB$19</f>
        <v>-0.3309569673</v>
      </c>
      <c r="AL47" s="65">
        <f>VLOOKUP($O47,'NO USAR1'!$A$4:$L$399,12,False)*$AC$19</f>
        <v>0</v>
      </c>
      <c r="AM47" s="71">
        <f t="shared" si="2"/>
        <v>-1.613351122</v>
      </c>
      <c r="AN47" s="71">
        <f t="shared" si="3"/>
        <v>-1.94430809</v>
      </c>
    </row>
    <row r="48">
      <c r="A48" t="str">
        <f>IF('NO USAR2'!B46="",ROW('NO USAR2'!B46),'NO USAR2'!B46)</f>
        <v>Dejounte Murray</v>
      </c>
      <c r="B48" s="58">
        <f>IF(TYPE($A48)=1,"",('NO USAR2'!$L46-B$1)/B$2)</f>
        <v>0.2568725453</v>
      </c>
      <c r="C48" s="58">
        <f>IF(TYPE($A48)=1,"",('NO USAR2'!$K46-C$1)/C$2)</f>
        <v>-0.4134044473</v>
      </c>
      <c r="D48" s="58">
        <f>IF(TYPE($A48)=1,"",('NO USAR2'!$M46-D$1)/D$2)</f>
        <v>-0.1528752986</v>
      </c>
      <c r="E48" s="58">
        <f>IF(TYPE($A48)=1,"",('NO USAR2'!$N46-E$1)/E$2)</f>
        <v>0.866534443</v>
      </c>
      <c r="F48" s="58">
        <f>IF(TYPE($A48)=1,"",('NO USAR2'!$O46-F$1)/F$2)</f>
        <v>2.603149706</v>
      </c>
      <c r="G48" s="58">
        <f>IF(TYPE($A48)=1,"",('NO USAR2'!$P46-G$1)/G$2)</f>
        <v>-0.8184360358</v>
      </c>
      <c r="H48" s="58">
        <f>IF(TYPE($A48)=1,"",('NO USAR2'!$H46-H$1)/H$2*I48/$I$1)</f>
        <v>-0.4864352411</v>
      </c>
      <c r="I48" s="58">
        <f>IF(TYPE($A48)=1,"",IF('NO USAR2'!H46=0,0,'NO USAR2'!G46/'NO USAR2'!H46))</f>
        <v>16</v>
      </c>
      <c r="J48" s="59">
        <f>IF(TYPE($A48)=1,"",('NO USAR2'!$J46-J$1)/J$2*K48/$K$1)</f>
        <v>0.4219184629</v>
      </c>
      <c r="K48" s="60">
        <f>IF(TYPE($A48)=1,"",IF('NO USAR2'!J46=0,0,'NO USAR2'!I46/'NO USAR2'!J46))</f>
        <v>3</v>
      </c>
      <c r="L48" s="58">
        <f>IF(TYPE($A48)=1,"",-('NO USAR2'!$Q46-L$1)/L$2)</f>
        <v>-0.3081342297</v>
      </c>
      <c r="N48" s="63">
        <v>28.0</v>
      </c>
      <c r="O48" s="68" t="str">
        <f>IF('NO USAR2'!B32="",ROW('NO USAR2'!B32),'NO USAR2'!B32)</f>
        <v>Jrue Holiday</v>
      </c>
      <c r="P48" s="68">
        <f>'NO USAR2'!E29</f>
        <v>65</v>
      </c>
      <c r="Q48" s="68" t="str">
        <f>IF('NO USAR2'!C32="",ROW('NO USAR2'!N47),'NO USAR2'!C32)</f>
        <v>PG/SG</v>
      </c>
      <c r="R48" s="65">
        <f>VLOOKUP($O48,'NO USAR1'!$A$4:$L$399,2,False)+VLOOKUP($O48,'NO USAR1'!$A$4:$L$399,3,False)+VLOOKUP($O48,'NO USAR1'!$A$4:$L$399,4,False)+VLOOKUP($O48,'NO USAR1'!$A$4:$L$399,5,False)+VLOOKUP($O48,'NO USAR1'!$A$4:$L$399,6,False)+VLOOKUP($O48,'NO USAR1'!$A$4:$L$399,7,False)+VLOOKUP($O48,'NO USAR1'!$A$4:$L$399,8,False)+VLOOKUP($O48,'NO USAR1'!$A$4:$L$399,10,False)+VLOOKUP($O48,'NO USAR1'!$A$4:$L$399,12,False)*0</f>
        <v>2.613201346</v>
      </c>
      <c r="S48" s="65">
        <f>VLOOKUP($O48,'NO USAR1'!$A$4:$L$399,2,False)*$U$19+VLOOKUP($O48,'NO USAR1'!$A$4:$L$399,3,False)*$V$19+VLOOKUP($O48,'NO USAR1'!$A$4:$L$399,4,False)*$W$19+VLOOKUP($O48,'NO USAR1'!$A$4:$L$399,5,False)*$X$19+VLOOKUP($O48,'NO USAR1'!$A$4:$L$399,6,False)*$Y$19+VLOOKUP($O48,'NO USAR1'!$A$4:$L$399,7,False)*$Z$19+VLOOKUP($O48,'NO USAR1'!$A$4:$L$399,8,False)*$AA$19+VLOOKUP($O48,'NO USAR1'!$A$4:$L$399,10,False)*$AB$19+VLOOKUP($O48,'NO USAR1'!$A$4:$L$399,12,False)*$AC$19+IF(Projections!$K$3,-AN48, IF(Projections!$J$3,-AM48,0))</f>
        <v>4.191531844</v>
      </c>
      <c r="T48" s="65">
        <f t="shared" si="1"/>
        <v>1.578330498</v>
      </c>
      <c r="U48" s="65">
        <f>VLOOKUP($O48,'NO USAR2'!$B$2:$R$397,11,False)</f>
        <v>18.2</v>
      </c>
      <c r="V48" s="69">
        <f>VLOOKUP($O48,'NO USAR2'!$B$2:$R$397,10,False)</f>
        <v>2</v>
      </c>
      <c r="W48" s="65">
        <f>VLOOKUP($O48,'NO USAR2'!$B$2:$R$397,12,False)</f>
        <v>4.6</v>
      </c>
      <c r="X48" s="65">
        <f>VLOOKUP($O48,'NO USAR2'!$B$2:$R$397,13,False)</f>
        <v>6.9</v>
      </c>
      <c r="Y48" s="65">
        <f>VLOOKUP($O48,'NO USAR2'!$B$2:$R$397,14,False)</f>
        <v>1.6</v>
      </c>
      <c r="Z48" s="70">
        <f>VLOOKUP($O48,'NO USAR2'!$B$2:$R$397,15,False)</f>
        <v>0.4</v>
      </c>
      <c r="AA48" s="65">
        <f>100*VLOOKUP($O48,'NO USAR2'!$B$2:$R$397,7,False)</f>
        <v>50</v>
      </c>
      <c r="AB48" s="65">
        <f>100*VLOOKUP($O48,'NO USAR2'!$B$2:$R$397,9,False)</f>
        <v>75</v>
      </c>
      <c r="AC48" s="65">
        <f>VLOOKUP($O48,'NO USAR2'!$B$2:$Q$397,16,False)</f>
        <v>2.8</v>
      </c>
      <c r="AD48" s="65">
        <f>VLOOKUP($O48,'NO USAR1'!$A$4:$L$399,2,False)*$U$19</f>
        <v>0.3320518477</v>
      </c>
      <c r="AE48" s="65">
        <f>VLOOKUP($O48,'NO USAR1'!$A$4:$L$399,3,False)*$V$19</f>
        <v>0.3865600027</v>
      </c>
      <c r="AF48" s="65">
        <f>VLOOKUP($O48,'NO USAR1'!$A$4:$L$399,4,False)*$W$19</f>
        <v>-0.6019122419</v>
      </c>
      <c r="AG48" s="65">
        <f>VLOOKUP($O48,'NO USAR1'!$A$4:$L$399,5,False)*$X$19</f>
        <v>1.825069228</v>
      </c>
      <c r="AH48" s="65">
        <f>VLOOKUP($O48,'NO USAR1'!$A$4:$L$399,6,False)*$Y$19</f>
        <v>2.436337414</v>
      </c>
      <c r="AI48" s="65">
        <f>VLOOKUP($O48,'NO USAR1'!$A$4:$L$399,7,False)*$Z$19</f>
        <v>0</v>
      </c>
      <c r="AJ48" s="65">
        <f>VLOOKUP($O48,'NO USAR1'!$A$4:$L$399,8,False)*$AA$19</f>
        <v>0</v>
      </c>
      <c r="AK48" s="70">
        <f>VLOOKUP($O48,'NO USAR1'!$A$4:$L$399,10,False)*$AB$19</f>
        <v>-0.1865744068</v>
      </c>
      <c r="AL48" s="65">
        <f>VLOOKUP($O48,'NO USAR1'!$A$4:$L$399,12,False)*$AC$19</f>
        <v>0</v>
      </c>
      <c r="AM48" s="71">
        <f t="shared" si="2"/>
        <v>-0.6019122419</v>
      </c>
      <c r="AN48" s="71">
        <f t="shared" si="3"/>
        <v>-0.7884866487</v>
      </c>
    </row>
    <row r="49">
      <c r="A49" t="str">
        <f>IF('NO USAR2'!B47="",ROW('NO USAR2'!B47),'NO USAR2'!B47)</f>
        <v>Jaren Jackson Jr.</v>
      </c>
      <c r="B49" s="58">
        <f>IF(TYPE($A49)=1,"",('NO USAR2'!$L47-B$1)/B$2)</f>
        <v>-0.1159262461</v>
      </c>
      <c r="C49" s="58">
        <f>IF(TYPE($A49)=1,"",('NO USAR2'!$K47-C$1)/C$2)</f>
        <v>-0.01342222232</v>
      </c>
      <c r="D49" s="58">
        <f>IF(TYPE($A49)=1,"",('NO USAR2'!$M47-D$1)/D$2)</f>
        <v>-0.07123221798</v>
      </c>
      <c r="E49" s="58">
        <f>IF(TYPE($A49)=1,"",('NO USAR2'!$N47-E$1)/E$2)</f>
        <v>-1.187961116</v>
      </c>
      <c r="F49" s="58">
        <f>IF(TYPE($A49)=1,"",('NO USAR2'!$O47-F$1)/F$2)</f>
        <v>-0.3402092786</v>
      </c>
      <c r="G49" s="58">
        <f>IF(TYPE($A49)=1,"",('NO USAR2'!$P47-G$1)/G$2)</f>
        <v>3.095402507</v>
      </c>
      <c r="H49" s="58">
        <f>IF(TYPE($A49)=1,"",('NO USAR2'!$H47-H$1)/H$2*I49/$I$1)</f>
        <v>-0.9306675012</v>
      </c>
      <c r="I49" s="58">
        <f>IF(TYPE($A49)=1,"",IF('NO USAR2'!H47=0,0,'NO USAR2'!G47/'NO USAR2'!H47))</f>
        <v>13.1</v>
      </c>
      <c r="J49" s="59">
        <f>IF(TYPE($A49)=1,"",('NO USAR2'!$J47-J$1)/J$2*K49/$K$1)</f>
        <v>0.3996882087</v>
      </c>
      <c r="K49" s="60">
        <f>IF(TYPE($A49)=1,"",IF('NO USAR2'!J47=0,0,'NO USAR2'!I47/'NO USAR2'!J47))</f>
        <v>4.4</v>
      </c>
      <c r="L49" s="58">
        <f>IF(TYPE($A49)=1,"",-('NO USAR2'!$Q47-L$1)/L$2)</f>
        <v>0.3540580812</v>
      </c>
      <c r="N49" s="2">
        <v>29.0</v>
      </c>
      <c r="O49" s="68" t="str">
        <f>IF('NO USAR2'!B27="",ROW('NO USAR2'!B27),'NO USAR2'!B27)</f>
        <v>Domantas Sabonis</v>
      </c>
      <c r="P49" s="68">
        <f>'NO USAR2'!E30</f>
        <v>50</v>
      </c>
      <c r="Q49" s="68" t="str">
        <f>IF('NO USAR2'!C27="",ROW('NO USAR2'!N42),'NO USAR2'!C27)</f>
        <v>PF/C</v>
      </c>
      <c r="R49" s="65">
        <f>VLOOKUP($O49,'NO USAR1'!$A$4:$L$399,2,False)+VLOOKUP($O49,'NO USAR1'!$A$4:$L$399,3,False)+VLOOKUP($O49,'NO USAR1'!$A$4:$L$399,4,False)+VLOOKUP($O49,'NO USAR1'!$A$4:$L$399,5,False)+VLOOKUP($O49,'NO USAR1'!$A$4:$L$399,6,False)+VLOOKUP($O49,'NO USAR1'!$A$4:$L$399,7,False)+VLOOKUP($O49,'NO USAR1'!$A$4:$L$399,8,False)+VLOOKUP($O49,'NO USAR1'!$A$4:$L$399,10,False)+VLOOKUP($O49,'NO USAR1'!$A$4:$L$399,12,False)*0</f>
        <v>2.386674178</v>
      </c>
      <c r="S49" s="65">
        <f>VLOOKUP($O49,'NO USAR1'!$A$4:$L$399,2,False)*$U$19+VLOOKUP($O49,'NO USAR1'!$A$4:$L$399,3,False)*$V$19+VLOOKUP($O49,'NO USAR1'!$A$4:$L$399,4,False)*$W$19+VLOOKUP($O49,'NO USAR1'!$A$4:$L$399,5,False)*$X$19+VLOOKUP($O49,'NO USAR1'!$A$4:$L$399,6,False)*$Y$19+VLOOKUP($O49,'NO USAR1'!$A$4:$L$399,7,False)*$Z$19+VLOOKUP($O49,'NO USAR1'!$A$4:$L$399,8,False)*$AA$19+VLOOKUP($O49,'NO USAR1'!$A$4:$L$399,10,False)*$AB$19+VLOOKUP($O49,'NO USAR1'!$A$4:$L$399,12,False)*$AC$19+IF(Projections!$K$3,-AN49, IF(Projections!$J$3,-AM49,0))</f>
        <v>2.524288089</v>
      </c>
      <c r="T49" s="65">
        <f t="shared" si="1"/>
        <v>0.1376139103</v>
      </c>
      <c r="U49" s="65">
        <f>VLOOKUP($O49,'NO USAR2'!$B$2:$R$397,11,False)</f>
        <v>19.1</v>
      </c>
      <c r="V49" s="69">
        <f>VLOOKUP($O49,'NO USAR2'!$B$2:$R$397,10,False)</f>
        <v>0.6</v>
      </c>
      <c r="W49" s="65">
        <f>VLOOKUP($O49,'NO USAR2'!$B$2:$R$397,12,False)</f>
        <v>11.8</v>
      </c>
      <c r="X49" s="65">
        <f>VLOOKUP($O49,'NO USAR2'!$B$2:$R$397,13,False)</f>
        <v>5.5</v>
      </c>
      <c r="Y49" s="65">
        <f>VLOOKUP($O49,'NO USAR2'!$B$2:$R$397,14,False)</f>
        <v>1</v>
      </c>
      <c r="Z49" s="70">
        <f>VLOOKUP($O49,'NO USAR2'!$B$2:$R$397,15,False)</f>
        <v>0.5</v>
      </c>
      <c r="AA49" s="65">
        <f>100*VLOOKUP($O49,'NO USAR2'!$B$2:$R$397,7,False)</f>
        <v>55.72519084</v>
      </c>
      <c r="AB49" s="65">
        <f>100*VLOOKUP($O49,'NO USAR2'!$B$2:$R$397,9,False)</f>
        <v>74.50980392</v>
      </c>
      <c r="AC49" s="65">
        <f>VLOOKUP($O49,'NO USAR2'!$B$2:$Q$397,16,False)</f>
        <v>3.2</v>
      </c>
      <c r="AD49" s="65">
        <f>VLOOKUP($O49,'NO USAR1'!$A$4:$L$399,2,False)*$U$19</f>
        <v>0.5717082136</v>
      </c>
      <c r="AE49" s="65">
        <f>VLOOKUP($O49,'NO USAR1'!$A$4:$L$399,3,False)*$V$19</f>
        <v>-1.013377785</v>
      </c>
      <c r="AF49" s="65">
        <f>VLOOKUP($O49,'NO USAR1'!$A$4:$L$399,4,False)*$W$19</f>
        <v>2.33723866</v>
      </c>
      <c r="AG49" s="65">
        <f>VLOOKUP($O49,'NO USAR1'!$A$4:$L$399,5,False)*$X$19</f>
        <v>1.026098733</v>
      </c>
      <c r="AH49" s="65">
        <f>VLOOKUP($O49,'NO USAR1'!$A$4:$L$399,6,False)*$Y$19</f>
        <v>-0.01646173929</v>
      </c>
      <c r="AI49" s="65">
        <f>VLOOKUP($O49,'NO USAR1'!$A$4:$L$399,7,False)*$Z$19</f>
        <v>0</v>
      </c>
      <c r="AJ49" s="65">
        <f>VLOOKUP($O49,'NO USAR1'!$A$4:$L$399,8,False)*$AA$19</f>
        <v>0</v>
      </c>
      <c r="AK49" s="70">
        <f>VLOOKUP($O49,'NO USAR1'!$A$4:$L$399,10,False)*$AB$19</f>
        <v>-0.3809179934</v>
      </c>
      <c r="AL49" s="65">
        <f>VLOOKUP($O49,'NO USAR1'!$A$4:$L$399,12,False)*$AC$19</f>
        <v>0</v>
      </c>
      <c r="AM49" s="71">
        <f t="shared" si="2"/>
        <v>-1.013377785</v>
      </c>
      <c r="AN49" s="71">
        <f t="shared" si="3"/>
        <v>-1.394295778</v>
      </c>
    </row>
    <row r="50">
      <c r="A50" t="str">
        <f>IF('NO USAR2'!B48="",ROW('NO USAR2'!B48),'NO USAR2'!B48)</f>
        <v>Jaylen Brown</v>
      </c>
      <c r="B50" s="58">
        <f>IF(TYPE($A50)=1,"",('NO USAR2'!$L48-B$1)/B$2)</f>
        <v>1.304259626</v>
      </c>
      <c r="C50" s="58">
        <f>IF(TYPE($A50)=1,"",('NO USAR2'!$K48-C$1)/C$2)</f>
        <v>0.9865333402</v>
      </c>
      <c r="D50" s="58">
        <f>IF(TYPE($A50)=1,"",('NO USAR2'!$M48-D$1)/D$2)</f>
        <v>0.09205394324</v>
      </c>
      <c r="E50" s="58">
        <f>IF(TYPE($A50)=1,"",('NO USAR2'!$N48-E$1)/E$2)</f>
        <v>-0.04657469425</v>
      </c>
      <c r="F50" s="58">
        <f>IF(TYPE($A50)=1,"",('NO USAR2'!$O48-F$1)/F$2)</f>
        <v>0.3138704957</v>
      </c>
      <c r="G50" s="58">
        <f>IF(TYPE($A50)=1,"",('NO USAR2'!$P48-G$1)/G$2)</f>
        <v>-0.8184360358</v>
      </c>
      <c r="H50" s="58">
        <f>IF(TYPE($A50)=1,"",('NO USAR2'!$H48-H$1)/H$2*I50/$I$1)</f>
        <v>-0.2743113832</v>
      </c>
      <c r="I50" s="58">
        <f>IF(TYPE($A50)=1,"",IF('NO USAR2'!H48=0,0,'NO USAR2'!G48/'NO USAR2'!H48))</f>
        <v>18.9</v>
      </c>
      <c r="J50" s="59">
        <f>IF(TYPE($A50)=1,"",('NO USAR2'!$J48-J$1)/J$2*K50/$K$1)</f>
        <v>-0.2421500422</v>
      </c>
      <c r="K50" s="60">
        <f>IF(TYPE($A50)=1,"",IF('NO USAR2'!J48=0,0,'NO USAR2'!I48/'NO USAR2'!J48))</f>
        <v>4.9</v>
      </c>
      <c r="L50" s="58">
        <f>IF(TYPE($A50)=1,"",-('NO USAR2'!$Q48-L$1)/L$2)</f>
        <v>-0.8599611555</v>
      </c>
      <c r="N50" s="63">
        <v>30.0</v>
      </c>
      <c r="O50" s="68" t="str">
        <f>IF('NO USAR2'!B45="",ROW('NO USAR2'!B45),'NO USAR2'!B45)</f>
        <v>Cade Cunningham</v>
      </c>
      <c r="P50" s="68">
        <f>'NO USAR2'!E31</f>
        <v>72</v>
      </c>
      <c r="Q50" s="68" t="str">
        <f>IF('NO USAR2'!C45="",ROW('NO USAR2'!N60),'NO USAR2'!C45)</f>
        <v>PG/SG</v>
      </c>
      <c r="R50" s="65">
        <f>VLOOKUP($O50,'NO USAR1'!$A$4:$L$399,2,False)+VLOOKUP($O50,'NO USAR1'!$A$4:$L$399,3,False)+VLOOKUP($O50,'NO USAR1'!$A$4:$L$399,4,False)+VLOOKUP($O50,'NO USAR1'!$A$4:$L$399,5,False)+VLOOKUP($O50,'NO USAR1'!$A$4:$L$399,6,False)+VLOOKUP($O50,'NO USAR1'!$A$4:$L$399,7,False)+VLOOKUP($O50,'NO USAR1'!$A$4:$L$399,8,False)+VLOOKUP($O50,'NO USAR1'!$A$4:$L$399,10,False)+VLOOKUP($O50,'NO USAR1'!$A$4:$L$399,12,False)*0</f>
        <v>2.334219722</v>
      </c>
      <c r="S50" s="65">
        <f>VLOOKUP($O50,'NO USAR1'!$A$4:$L$399,2,False)*$U$19+VLOOKUP($O50,'NO USAR1'!$A$4:$L$399,3,False)*$V$19+VLOOKUP($O50,'NO USAR1'!$A$4:$L$399,4,False)*$W$19+VLOOKUP($O50,'NO USAR1'!$A$4:$L$399,5,False)*$X$19+VLOOKUP($O50,'NO USAR1'!$A$4:$L$399,6,False)*$Y$19+VLOOKUP($O50,'NO USAR1'!$A$4:$L$399,7,False)*$Z$19+VLOOKUP($O50,'NO USAR1'!$A$4:$L$399,8,False)*$AA$19+VLOOKUP($O50,'NO USAR1'!$A$4:$L$399,10,False)*$AB$19+VLOOKUP($O50,'NO USAR1'!$A$4:$L$399,12,False)*$AC$19+IF(Projections!$K$3,-AN50, IF(Projections!$J$3,-AM50,0))</f>
        <v>3.820572012</v>
      </c>
      <c r="T50" s="65">
        <f t="shared" si="1"/>
        <v>1.486352291</v>
      </c>
      <c r="U50" s="65">
        <f>VLOOKUP($O50,'NO USAR2'!$B$2:$R$397,11,False)</f>
        <v>19.8</v>
      </c>
      <c r="V50" s="69">
        <f>VLOOKUP($O50,'NO USAR2'!$B$2:$R$397,10,False)</f>
        <v>2</v>
      </c>
      <c r="W50" s="65">
        <f>VLOOKUP($O50,'NO USAR2'!$B$2:$R$397,12,False)</f>
        <v>6.2</v>
      </c>
      <c r="X50" s="65">
        <f>VLOOKUP($O50,'NO USAR2'!$B$2:$R$397,13,False)</f>
        <v>6.3</v>
      </c>
      <c r="Y50" s="65">
        <f>VLOOKUP($O50,'NO USAR2'!$B$2:$R$397,14,False)</f>
        <v>1.2</v>
      </c>
      <c r="Z50" s="70">
        <f>VLOOKUP($O50,'NO USAR2'!$B$2:$R$397,15,False)</f>
        <v>0.8</v>
      </c>
      <c r="AA50" s="65">
        <f>100*VLOOKUP($O50,'NO USAR2'!$B$2:$R$397,7,False)</f>
        <v>42.54143646</v>
      </c>
      <c r="AB50" s="65">
        <f>100*VLOOKUP($O50,'NO USAR2'!$B$2:$R$397,9,False)</f>
        <v>86.20689655</v>
      </c>
      <c r="AC50" s="65">
        <f>VLOOKUP($O50,'NO USAR2'!$B$2:$Q$397,16,False)</f>
        <v>4.2</v>
      </c>
      <c r="AD50" s="65">
        <f>VLOOKUP($O50,'NO USAR1'!$A$4:$L$399,2,False)*$U$19</f>
        <v>0.7581076092</v>
      </c>
      <c r="AE50" s="65">
        <f>VLOOKUP($O50,'NO USAR1'!$A$4:$L$399,3,False)*$V$19</f>
        <v>0.3865600027</v>
      </c>
      <c r="AF50" s="65">
        <f>VLOOKUP($O50,'NO USAR1'!$A$4:$L$399,4,False)*$W$19</f>
        <v>0.05123240293</v>
      </c>
      <c r="AG50" s="65">
        <f>VLOOKUP($O50,'NO USAR1'!$A$4:$L$399,5,False)*$X$19</f>
        <v>1.482653301</v>
      </c>
      <c r="AH50" s="65">
        <f>VLOOKUP($O50,'NO USAR1'!$A$4:$L$399,6,False)*$Y$19</f>
        <v>0.8011379786</v>
      </c>
      <c r="AI50" s="65">
        <f>VLOOKUP($O50,'NO USAR1'!$A$4:$L$399,7,False)*$Z$19</f>
        <v>0</v>
      </c>
      <c r="AJ50" s="65">
        <f>VLOOKUP($O50,'NO USAR1'!$A$4:$L$399,8,False)*$AA$19</f>
        <v>0</v>
      </c>
      <c r="AK50" s="70">
        <f>VLOOKUP($O50,'NO USAR1'!$A$4:$L$399,10,False)*$AB$19</f>
        <v>0.3408807176</v>
      </c>
      <c r="AL50" s="65">
        <f>VLOOKUP($O50,'NO USAR1'!$A$4:$L$399,12,False)*$AC$19</f>
        <v>0</v>
      </c>
      <c r="AM50" s="71">
        <f t="shared" si="2"/>
        <v>0</v>
      </c>
      <c r="AN50" s="71">
        <f t="shared" si="3"/>
        <v>0</v>
      </c>
    </row>
    <row r="51">
      <c r="A51" t="str">
        <f>IF('NO USAR2'!B49="",ROW('NO USAR2'!B49),'NO USAR2'!B49)</f>
        <v>Pascal Siakam</v>
      </c>
      <c r="B51" s="58">
        <f>IF(TYPE($A51)=1,"",('NO USAR2'!$L49-B$1)/B$2)</f>
        <v>0.8959561875</v>
      </c>
      <c r="C51" s="58">
        <f>IF(TYPE($A51)=1,"",('NO USAR2'!$K49-C$1)/C$2)</f>
        <v>-0.5134000036</v>
      </c>
      <c r="D51" s="58">
        <f>IF(TYPE($A51)=1,"",('NO USAR2'!$M49-D$1)/D$2)</f>
        <v>0.9084847493</v>
      </c>
      <c r="E51" s="58">
        <f>IF(TYPE($A51)=1,"",('NO USAR2'!$N49-E$1)/E$2)</f>
        <v>0.5926017018</v>
      </c>
      <c r="F51" s="58">
        <f>IF(TYPE($A51)=1,"",('NO USAR2'!$O49-F$1)/F$2)</f>
        <v>0.6409103829</v>
      </c>
      <c r="G51" s="58">
        <f>IF(TYPE($A51)=1,"",('NO USAR2'!$P49-G$1)/G$2)</f>
        <v>-0.200461529</v>
      </c>
      <c r="H51" s="58">
        <f>IF(TYPE($A51)=1,"",('NO USAR2'!$H49-H$1)/H$2*I51/$I$1)</f>
        <v>-0.2333378423</v>
      </c>
      <c r="I51" s="58">
        <f>IF(TYPE($A51)=1,"",IF('NO USAR2'!H49=0,0,'NO USAR2'!G49/'NO USAR2'!H49))</f>
        <v>17.6</v>
      </c>
      <c r="J51" s="59">
        <f>IF(TYPE($A51)=1,"",('NO USAR2'!$J49-J$1)/J$2*K51/$K$1)</f>
        <v>-0.7462976271</v>
      </c>
      <c r="K51" s="60">
        <f>IF(TYPE($A51)=1,"",IF('NO USAR2'!J49=0,0,'NO USAR2'!I49/'NO USAR2'!J49))</f>
        <v>5.6</v>
      </c>
      <c r="L51" s="58">
        <f>IF(TYPE($A51)=1,"",-('NO USAR2'!$Q49-L$1)/L$2)</f>
        <v>-0.7495957703</v>
      </c>
      <c r="N51" s="63">
        <v>31.0</v>
      </c>
      <c r="O51" s="68" t="str">
        <f>IF('NO USAR2'!B46="",ROW('NO USAR2'!B46),'NO USAR2'!B46)</f>
        <v>Dejounte Murray</v>
      </c>
      <c r="P51" s="68">
        <f>'NO USAR2'!E32</f>
        <v>67</v>
      </c>
      <c r="Q51" s="68" t="str">
        <f>IF('NO USAR2'!C46="",ROW('NO USAR2'!N61),'NO USAR2'!C46)</f>
        <v>PG/SG</v>
      </c>
      <c r="R51" s="65">
        <f>VLOOKUP($O51,'NO USAR1'!$A$4:$L$399,2,False)+VLOOKUP($O51,'NO USAR1'!$A$4:$L$399,3,False)+VLOOKUP($O51,'NO USAR1'!$A$4:$L$399,4,False)+VLOOKUP($O51,'NO USAR1'!$A$4:$L$399,5,False)+VLOOKUP($O51,'NO USAR1'!$A$4:$L$399,6,False)+VLOOKUP($O51,'NO USAR1'!$A$4:$L$399,7,False)+VLOOKUP($O51,'NO USAR1'!$A$4:$L$399,8,False)+VLOOKUP($O51,'NO USAR1'!$A$4:$L$399,10,False)+VLOOKUP($O51,'NO USAR1'!$A$4:$L$399,12,False)*0</f>
        <v>2.277324134</v>
      </c>
      <c r="S51" s="65">
        <f>VLOOKUP($O51,'NO USAR1'!$A$4:$L$399,2,False)*$U$19+VLOOKUP($O51,'NO USAR1'!$A$4:$L$399,3,False)*$V$19+VLOOKUP($O51,'NO USAR1'!$A$4:$L$399,4,False)*$W$19+VLOOKUP($O51,'NO USAR1'!$A$4:$L$399,5,False)*$X$19+VLOOKUP($O51,'NO USAR1'!$A$4:$L$399,6,False)*$Y$19+VLOOKUP($O51,'NO USAR1'!$A$4:$L$399,7,False)*$Z$19+VLOOKUP($O51,'NO USAR1'!$A$4:$L$399,8,False)*$AA$19+VLOOKUP($O51,'NO USAR1'!$A$4:$L$399,10,False)*$AB$19+VLOOKUP($O51,'NO USAR1'!$A$4:$L$399,12,False)*$AC$19+IF(Projections!$K$3,-AN51, IF(Projections!$J$3,-AM51,0))</f>
        <v>4.367093489</v>
      </c>
      <c r="T51" s="65">
        <f t="shared" si="1"/>
        <v>2.089769355</v>
      </c>
      <c r="U51" s="65">
        <f>VLOOKUP($O51,'NO USAR2'!$B$2:$R$397,11,False)</f>
        <v>18.4</v>
      </c>
      <c r="V51" s="69">
        <f>VLOOKUP($O51,'NO USAR2'!$B$2:$R$397,10,False)</f>
        <v>1.2</v>
      </c>
      <c r="W51" s="65">
        <f>VLOOKUP($O51,'NO USAR2'!$B$2:$R$397,12,False)</f>
        <v>5.7</v>
      </c>
      <c r="X51" s="65">
        <f>VLOOKUP($O51,'NO USAR2'!$B$2:$R$397,13,False)</f>
        <v>5.6</v>
      </c>
      <c r="Y51" s="65">
        <f>VLOOKUP($O51,'NO USAR2'!$B$2:$R$397,14,False)</f>
        <v>1.8</v>
      </c>
      <c r="Z51" s="70">
        <f>VLOOKUP($O51,'NO USAR2'!$B$2:$R$397,15,False)</f>
        <v>0.3</v>
      </c>
      <c r="AA51" s="65">
        <f>100*VLOOKUP($O51,'NO USAR2'!$B$2:$R$397,7,False)</f>
        <v>46.25</v>
      </c>
      <c r="AB51" s="65">
        <f>100*VLOOKUP($O51,'NO USAR2'!$B$2:$R$397,9,False)</f>
        <v>83.33333333</v>
      </c>
      <c r="AC51" s="65">
        <f>VLOOKUP($O51,'NO USAR2'!$B$2:$Q$397,16,False)</f>
        <v>2.3</v>
      </c>
      <c r="AD51" s="65">
        <f>VLOOKUP($O51,'NO USAR1'!$A$4:$L$399,2,False)*$U$19</f>
        <v>0.3853088179</v>
      </c>
      <c r="AE51" s="65">
        <f>VLOOKUP($O51,'NO USAR1'!$A$4:$L$399,3,False)*$V$19</f>
        <v>-0.4134044473</v>
      </c>
      <c r="AF51" s="65">
        <f>VLOOKUP($O51,'NO USAR1'!$A$4:$L$399,4,False)*$W$19</f>
        <v>-0.1528752986</v>
      </c>
      <c r="AG51" s="65">
        <f>VLOOKUP($O51,'NO USAR1'!$A$4:$L$399,5,False)*$X$19</f>
        <v>1.083168054</v>
      </c>
      <c r="AH51" s="65">
        <f>VLOOKUP($O51,'NO USAR1'!$A$4:$L$399,6,False)*$Y$19</f>
        <v>3.253937132</v>
      </c>
      <c r="AI51" s="65">
        <f>VLOOKUP($O51,'NO USAR1'!$A$4:$L$399,7,False)*$Z$19</f>
        <v>0</v>
      </c>
      <c r="AJ51" s="65">
        <f>VLOOKUP($O51,'NO USAR1'!$A$4:$L$399,8,False)*$AA$19</f>
        <v>0</v>
      </c>
      <c r="AK51" s="70">
        <f>VLOOKUP($O51,'NO USAR1'!$A$4:$L$399,10,False)*$AB$19</f>
        <v>0.2109592314</v>
      </c>
      <c r="AL51" s="65">
        <f>VLOOKUP($O51,'NO USAR1'!$A$4:$L$399,12,False)*$AC$19</f>
        <v>0</v>
      </c>
      <c r="AM51" s="71">
        <f t="shared" si="2"/>
        <v>-0.4134044473</v>
      </c>
      <c r="AN51" s="71">
        <f t="shared" si="3"/>
        <v>-0.5662797459</v>
      </c>
    </row>
    <row r="52">
      <c r="A52" t="str">
        <f>IF('NO USAR2'!B50="",ROW('NO USAR2'!B50),'NO USAR2'!B50)</f>
        <v>Jonas Valanciunas</v>
      </c>
      <c r="B52" s="58">
        <f>IF(TYPE($A52)=1,"",('NO USAR2'!$L50-B$1)/B$2)</f>
        <v>-0.02716462909</v>
      </c>
      <c r="C52" s="58">
        <f>IF(TYPE($A52)=1,"",('NO USAR2'!$K50-C$1)/C$2)</f>
        <v>-0.8133866724</v>
      </c>
      <c r="D52" s="58">
        <f>IF(TYPE($A52)=1,"",('NO USAR2'!$M50-D$1)/D$2)</f>
        <v>1.888201717</v>
      </c>
      <c r="E52" s="58">
        <f>IF(TYPE($A52)=1,"",('NO USAR2'!$N50-E$1)/E$2)</f>
        <v>-0.9140283747</v>
      </c>
      <c r="F52" s="58">
        <f>IF(TYPE($A52)=1,"",('NO USAR2'!$O50-F$1)/F$2)</f>
        <v>-1.32132894</v>
      </c>
      <c r="G52" s="58">
        <f>IF(TYPE($A52)=1,"",('NO USAR2'!$P50-G$1)/G$2)</f>
        <v>0.2115214755</v>
      </c>
      <c r="H52" s="58">
        <f>IF(TYPE($A52)=1,"",('NO USAR2'!$H50-H$1)/H$2*I52/$I$1)</f>
        <v>0.7376884797</v>
      </c>
      <c r="I52" s="58">
        <f>IF(TYPE($A52)=1,"",IF('NO USAR2'!H50=0,0,'NO USAR2'!G50/'NO USAR2'!H50))</f>
        <v>12</v>
      </c>
      <c r="J52" s="59">
        <f>IF(TYPE($A52)=1,"",('NO USAR2'!$J50-J$1)/J$2*K52/$K$1)</f>
        <v>0.2464591832</v>
      </c>
      <c r="K52" s="60">
        <f>IF(TYPE($A52)=1,"",IF('NO USAR2'!J50=0,0,'NO USAR2'!I50/'NO USAR2'!J50))</f>
        <v>3.7</v>
      </c>
      <c r="L52" s="58">
        <f>IF(TYPE($A52)=1,"",-('NO USAR2'!$Q50-L$1)/L$2)</f>
        <v>-0.3081342297</v>
      </c>
      <c r="N52" s="2">
        <v>32.0</v>
      </c>
      <c r="O52" s="68" t="str">
        <f>IF('NO USAR2'!B36="",ROW('NO USAR2'!B36),'NO USAR2'!B36)</f>
        <v>Ja Morant</v>
      </c>
      <c r="P52" s="68">
        <f>'NO USAR2'!E33</f>
        <v>68</v>
      </c>
      <c r="Q52" s="68" t="str">
        <f>IF('NO USAR2'!C36="",ROW('NO USAR2'!N51),'NO USAR2'!C36)</f>
        <v>PG</v>
      </c>
      <c r="R52" s="65">
        <f>VLOOKUP($O52,'NO USAR1'!$A$4:$L$399,2,False)+VLOOKUP($O52,'NO USAR1'!$A$4:$L$399,3,False)+VLOOKUP($O52,'NO USAR1'!$A$4:$L$399,4,False)+VLOOKUP($O52,'NO USAR1'!$A$4:$L$399,5,False)+VLOOKUP($O52,'NO USAR1'!$A$4:$L$399,6,False)+VLOOKUP($O52,'NO USAR1'!$A$4:$L$399,7,False)+VLOOKUP($O52,'NO USAR1'!$A$4:$L$399,8,False)+VLOOKUP($O52,'NO USAR1'!$A$4:$L$399,10,False)+VLOOKUP($O52,'NO USAR1'!$A$4:$L$399,12,False)*0</f>
        <v>2.183248492</v>
      </c>
      <c r="S52" s="65">
        <f>VLOOKUP($O52,'NO USAR1'!$A$4:$L$399,2,False)*$U$19+VLOOKUP($O52,'NO USAR1'!$A$4:$L$399,3,False)*$V$19+VLOOKUP($O52,'NO USAR1'!$A$4:$L$399,4,False)*$W$19+VLOOKUP($O52,'NO USAR1'!$A$4:$L$399,5,False)*$X$19+VLOOKUP($O52,'NO USAR1'!$A$4:$L$399,6,False)*$Y$19+VLOOKUP($O52,'NO USAR1'!$A$4:$L$399,7,False)*$Z$19+VLOOKUP($O52,'NO USAR1'!$A$4:$L$399,8,False)*$AA$19+VLOOKUP($O52,'NO USAR1'!$A$4:$L$399,10,False)*$AB$19+VLOOKUP($O52,'NO USAR1'!$A$4:$L$399,12,False)*$AC$19+IF(Projections!$K$3,-AN52, IF(Projections!$J$3,-AM52,0))</f>
        <v>4.777617509</v>
      </c>
      <c r="T52" s="65">
        <f t="shared" si="1"/>
        <v>2.594369017</v>
      </c>
      <c r="U52" s="65">
        <f>VLOOKUP($O52,'NO USAR2'!$B$2:$R$397,11,False)</f>
        <v>28</v>
      </c>
      <c r="V52" s="69">
        <f>VLOOKUP($O52,'NO USAR2'!$B$2:$R$397,10,False)</f>
        <v>1.6</v>
      </c>
      <c r="W52" s="65">
        <f>VLOOKUP($O52,'NO USAR2'!$B$2:$R$397,12,False)</f>
        <v>5.9</v>
      </c>
      <c r="X52" s="65">
        <f>VLOOKUP($O52,'NO USAR2'!$B$2:$R$397,13,False)</f>
        <v>7.1</v>
      </c>
      <c r="Y52" s="65">
        <f>VLOOKUP($O52,'NO USAR2'!$B$2:$R$397,14,False)</f>
        <v>1.1</v>
      </c>
      <c r="Z52" s="70">
        <f>VLOOKUP($O52,'NO USAR2'!$B$2:$R$397,15,False)</f>
        <v>0.4</v>
      </c>
      <c r="AA52" s="65">
        <f>100*VLOOKUP($O52,'NO USAR2'!$B$2:$R$397,7,False)</f>
        <v>48.37209302</v>
      </c>
      <c r="AB52" s="65">
        <f>100*VLOOKUP($O52,'NO USAR2'!$B$2:$R$397,9,False)</f>
        <v>75.67567568</v>
      </c>
      <c r="AC52" s="65">
        <f>VLOOKUP($O52,'NO USAR2'!$B$2:$Q$397,16,False)</f>
        <v>3.5</v>
      </c>
      <c r="AD52" s="65">
        <f>VLOOKUP($O52,'NO USAR1'!$A$4:$L$399,2,False)*$U$19</f>
        <v>2.941643387</v>
      </c>
      <c r="AE52" s="65">
        <f>VLOOKUP($O52,'NO USAR1'!$A$4:$L$399,3,False)*$V$19</f>
        <v>-0.01342222232</v>
      </c>
      <c r="AF52" s="65">
        <f>VLOOKUP($O52,'NO USAR1'!$A$4:$L$399,4,False)*$W$19</f>
        <v>-0.07123221798</v>
      </c>
      <c r="AG52" s="65">
        <f>VLOOKUP($O52,'NO USAR1'!$A$4:$L$399,5,False)*$X$19</f>
        <v>1.93920787</v>
      </c>
      <c r="AH52" s="65">
        <f>VLOOKUP($O52,'NO USAR1'!$A$4:$L$399,6,False)*$Y$19</f>
        <v>0.3923381197</v>
      </c>
      <c r="AI52" s="65">
        <f>VLOOKUP($O52,'NO USAR1'!$A$4:$L$399,7,False)*$Z$19</f>
        <v>0</v>
      </c>
      <c r="AJ52" s="65">
        <f>VLOOKUP($O52,'NO USAR1'!$A$4:$L$399,8,False)*$AA$19</f>
        <v>0</v>
      </c>
      <c r="AK52" s="70">
        <f>VLOOKUP($O52,'NO USAR1'!$A$4:$L$399,10,False)*$AB$19</f>
        <v>-0.4109174273</v>
      </c>
      <c r="AL52" s="65">
        <f>VLOOKUP($O52,'NO USAR1'!$A$4:$L$399,12,False)*$AC$19</f>
        <v>0</v>
      </c>
      <c r="AM52" s="71">
        <f t="shared" si="2"/>
        <v>-0.4109174273</v>
      </c>
      <c r="AN52" s="71">
        <f t="shared" si="3"/>
        <v>-0.4821496453</v>
      </c>
    </row>
    <row r="53">
      <c r="A53" t="str">
        <f>IF('NO USAR2'!B51="",ROW('NO USAR2'!B51),'NO USAR2'!B51)</f>
        <v>Kyle Lowry</v>
      </c>
      <c r="B53" s="58">
        <f>IF(TYPE($A53)=1,"",('NO USAR2'!$L51-B$1)/B$2)</f>
        <v>-0.382211097</v>
      </c>
      <c r="C53" s="58">
        <f>IF(TYPE($A53)=1,"",('NO USAR2'!$K51-C$1)/C$2)</f>
        <v>0.7865422277</v>
      </c>
      <c r="D53" s="58">
        <f>IF(TYPE($A53)=1,"",('NO USAR2'!$M51-D$1)/D$2)</f>
        <v>-0.6019122419</v>
      </c>
      <c r="E53" s="58">
        <f>IF(TYPE($A53)=1,"",('NO USAR2'!$N51-E$1)/E$2)</f>
        <v>1.64267721</v>
      </c>
      <c r="F53" s="58">
        <f>IF(TYPE($A53)=1,"",('NO USAR2'!$O51-F$1)/F$2)</f>
        <v>0.3138704957</v>
      </c>
      <c r="G53" s="58">
        <f>IF(TYPE($A53)=1,"",('NO USAR2'!$P51-G$1)/G$2)</f>
        <v>-0.8184360358</v>
      </c>
      <c r="H53" s="58">
        <f>IF(TYPE($A53)=1,"",('NO USAR2'!$H51-H$1)/H$2*I53/$I$1)</f>
        <v>-0.606117519</v>
      </c>
      <c r="I53" s="58">
        <f>IF(TYPE($A53)=1,"",IF('NO USAR2'!H51=0,0,'NO USAR2'!G51/'NO USAR2'!H51))</f>
        <v>11.3</v>
      </c>
      <c r="J53" s="59">
        <f>IF(TYPE($A53)=1,"",('NO USAR2'!$J51-J$1)/J$2*K53/$K$1)</f>
        <v>0.6817614352</v>
      </c>
      <c r="K53" s="60">
        <f>IF(TYPE($A53)=1,"",IF('NO USAR2'!J51=0,0,'NO USAR2'!I51/'NO USAR2'!J51))</f>
        <v>2.9</v>
      </c>
      <c r="L53" s="58">
        <f>IF(TYPE($A53)=1,"",-('NO USAR2'!$Q51-L$1)/L$2)</f>
        <v>-0.8599611555</v>
      </c>
      <c r="N53" s="63">
        <v>33.0</v>
      </c>
      <c r="O53" s="68" t="str">
        <f>IF('NO USAR2'!B38="",ROW('NO USAR2'!B38),'NO USAR2'!B38)</f>
        <v>Bradley Beal</v>
      </c>
      <c r="P53" s="68">
        <f>'NO USAR2'!E34</f>
        <v>70</v>
      </c>
      <c r="Q53" s="68" t="str">
        <f>IF('NO USAR2'!C38="",ROW('NO USAR2'!N53),'NO USAR2'!C38)</f>
        <v>SG</v>
      </c>
      <c r="R53" s="65">
        <f>VLOOKUP($O53,'NO USAR1'!$A$4:$L$399,2,False)+VLOOKUP($O53,'NO USAR1'!$A$4:$L$399,3,False)+VLOOKUP($O53,'NO USAR1'!$A$4:$L$399,4,False)+VLOOKUP($O53,'NO USAR1'!$A$4:$L$399,5,False)+VLOOKUP($O53,'NO USAR1'!$A$4:$L$399,6,False)+VLOOKUP($O53,'NO USAR1'!$A$4:$L$399,7,False)+VLOOKUP($O53,'NO USAR1'!$A$4:$L$399,8,False)+VLOOKUP($O53,'NO USAR1'!$A$4:$L$399,10,False)+VLOOKUP($O53,'NO USAR1'!$A$4:$L$399,12,False)*0</f>
        <v>2.1259801</v>
      </c>
      <c r="S53" s="65">
        <f>VLOOKUP($O53,'NO USAR1'!$A$4:$L$399,2,False)*$U$19+VLOOKUP($O53,'NO USAR1'!$A$4:$L$399,3,False)*$V$19+VLOOKUP($O53,'NO USAR1'!$A$4:$L$399,4,False)*$W$19+VLOOKUP($O53,'NO USAR1'!$A$4:$L$399,5,False)*$X$19+VLOOKUP($O53,'NO USAR1'!$A$4:$L$399,6,False)*$Y$19+VLOOKUP($O53,'NO USAR1'!$A$4:$L$399,7,False)*$Z$19+VLOOKUP($O53,'NO USAR1'!$A$4:$L$399,8,False)*$AA$19+VLOOKUP($O53,'NO USAR1'!$A$4:$L$399,10,False)*$AB$19+VLOOKUP($O53,'NO USAR1'!$A$4:$L$399,12,False)*$AC$19+IF(Projections!$K$3,-AN53, IF(Projections!$J$3,-AM53,0))</f>
        <v>3.969301844</v>
      </c>
      <c r="T53" s="65">
        <f t="shared" si="1"/>
        <v>1.843321744</v>
      </c>
      <c r="U53" s="65">
        <f>VLOOKUP($O53,'NO USAR2'!$B$2:$R$397,11,False)</f>
        <v>24.3</v>
      </c>
      <c r="V53" s="69">
        <f>VLOOKUP($O53,'NO USAR2'!$B$2:$R$397,10,False)</f>
        <v>2.1</v>
      </c>
      <c r="W53" s="65">
        <f>VLOOKUP($O53,'NO USAR2'!$B$2:$R$397,12,False)</f>
        <v>4.8</v>
      </c>
      <c r="X53" s="65">
        <f>VLOOKUP($O53,'NO USAR2'!$B$2:$R$397,13,False)</f>
        <v>5.4</v>
      </c>
      <c r="Y53" s="65">
        <f>VLOOKUP($O53,'NO USAR2'!$B$2:$R$397,14,False)</f>
        <v>1.2</v>
      </c>
      <c r="Z53" s="70">
        <f>VLOOKUP($O53,'NO USAR2'!$B$2:$R$397,15,False)</f>
        <v>0.4</v>
      </c>
      <c r="AA53" s="65">
        <f>100*VLOOKUP($O53,'NO USAR2'!$B$2:$R$397,7,False)</f>
        <v>46.63212435</v>
      </c>
      <c r="AB53" s="65">
        <f>100*VLOOKUP($O53,'NO USAR2'!$B$2:$R$397,9,False)</f>
        <v>82.35294118</v>
      </c>
      <c r="AC53" s="65">
        <f>VLOOKUP($O53,'NO USAR2'!$B$2:$Q$397,16,False)</f>
        <v>3.4</v>
      </c>
      <c r="AD53" s="65">
        <f>VLOOKUP($O53,'NO USAR1'!$A$4:$L$399,2,False)*$U$19</f>
        <v>1.956389439</v>
      </c>
      <c r="AE53" s="65">
        <f>VLOOKUP($O53,'NO USAR1'!$A$4:$L$399,3,False)*$V$19</f>
        <v>0.486555559</v>
      </c>
      <c r="AF53" s="65">
        <f>VLOOKUP($O53,'NO USAR1'!$A$4:$L$399,4,False)*$W$19</f>
        <v>-0.5202691613</v>
      </c>
      <c r="AG53" s="65">
        <f>VLOOKUP($O53,'NO USAR1'!$A$4:$L$399,5,False)*$X$19</f>
        <v>0.9690294116</v>
      </c>
      <c r="AH53" s="65">
        <f>VLOOKUP($O53,'NO USAR1'!$A$4:$L$399,6,False)*$Y$19</f>
        <v>0.8011379786</v>
      </c>
      <c r="AI53" s="65">
        <f>VLOOKUP($O53,'NO USAR1'!$A$4:$L$399,7,False)*$Z$19</f>
        <v>0</v>
      </c>
      <c r="AJ53" s="65">
        <f>VLOOKUP($O53,'NO USAR1'!$A$4:$L$399,8,False)*$AA$19</f>
        <v>0</v>
      </c>
      <c r="AK53" s="70">
        <f>VLOOKUP($O53,'NO USAR1'!$A$4:$L$399,10,False)*$AB$19</f>
        <v>0.2764586171</v>
      </c>
      <c r="AL53" s="65">
        <f>VLOOKUP($O53,'NO USAR1'!$A$4:$L$399,12,False)*$AC$19</f>
        <v>0</v>
      </c>
      <c r="AM53" s="71">
        <f t="shared" si="2"/>
        <v>-0.5202691613</v>
      </c>
      <c r="AN53" s="71">
        <f t="shared" si="3"/>
        <v>-0.5202691613</v>
      </c>
    </row>
    <row r="54">
      <c r="A54" t="str">
        <f>IF('NO USAR2'!B52="",ROW('NO USAR2'!B52),'NO USAR2'!B52)</f>
        <v>Evan Mobley</v>
      </c>
      <c r="B54" s="58">
        <f>IF(TYPE($A54)=1,"",('NO USAR2'!$L52-B$1)/B$2)</f>
        <v>-0.1159262461</v>
      </c>
      <c r="C54" s="58">
        <f>IF(TYPE($A54)=1,"",('NO USAR2'!$K52-C$1)/C$2)</f>
        <v>-1.213368897</v>
      </c>
      <c r="D54" s="58">
        <f>IF(TYPE($A54)=1,"",('NO USAR2'!$M52-D$1)/D$2)</f>
        <v>1.153413991</v>
      </c>
      <c r="E54" s="58">
        <f>IF(TYPE($A54)=1,"",('NO USAR2'!$N52-E$1)/E$2)</f>
        <v>-0.457473806</v>
      </c>
      <c r="F54" s="58">
        <f>IF(TYPE($A54)=1,"",('NO USAR2'!$O52-F$1)/F$2)</f>
        <v>-0.6672491657</v>
      </c>
      <c r="G54" s="58">
        <f>IF(TYPE($A54)=1,"",('NO USAR2'!$P52-G$1)/G$2)</f>
        <v>2.477428</v>
      </c>
      <c r="H54" s="58">
        <f>IF(TYPE($A54)=1,"",('NO USAR2'!$H52-H$1)/H$2*I54/$I$1)</f>
        <v>0.2865897981</v>
      </c>
      <c r="I54" s="58">
        <f>IF(TYPE($A54)=1,"",IF('NO USAR2'!H52=0,0,'NO USAR2'!G52/'NO USAR2'!H52))</f>
        <v>13</v>
      </c>
      <c r="J54" s="59">
        <f>IF(TYPE($A54)=1,"",('NO USAR2'!$J52-J$1)/J$2*K54/$K$1)</f>
        <v>-1.259291677</v>
      </c>
      <c r="K54" s="60">
        <f>IF(TYPE($A54)=1,"",IF('NO USAR2'!J52=0,0,'NO USAR2'!I52/'NO USAR2'!J52))</f>
        <v>3.9</v>
      </c>
      <c r="L54" s="58">
        <f>IF(TYPE($A54)=1,"",-('NO USAR2'!$Q52-L$1)/L$2)</f>
        <v>0.02296192577</v>
      </c>
      <c r="N54" s="63">
        <v>34.0</v>
      </c>
      <c r="O54" s="68" t="str">
        <f>IF('NO USAR2'!B23="",ROW('NO USAR2'!B23),'NO USAR2'!B23)</f>
        <v>Kristaps Porzingis</v>
      </c>
      <c r="P54" s="68">
        <f>'NO USAR2'!E35</f>
        <v>71</v>
      </c>
      <c r="Q54" s="68" t="str">
        <f>IF('NO USAR2'!C23="",ROW('NO USAR2'!N38),'NO USAR2'!C23)</f>
        <v>PF/C</v>
      </c>
      <c r="R54" s="65">
        <f>VLOOKUP($O54,'NO USAR1'!$A$4:$L$399,2,False)+VLOOKUP($O54,'NO USAR1'!$A$4:$L$399,3,False)+VLOOKUP($O54,'NO USAR1'!$A$4:$L$399,4,False)+VLOOKUP($O54,'NO USAR1'!$A$4:$L$399,5,False)+VLOOKUP($O54,'NO USAR1'!$A$4:$L$399,6,False)+VLOOKUP($O54,'NO USAR1'!$A$4:$L$399,7,False)+VLOOKUP($O54,'NO USAR1'!$A$4:$L$399,8,False)+VLOOKUP($O54,'NO USAR1'!$A$4:$L$399,10,False)+VLOOKUP($O54,'NO USAR1'!$A$4:$L$399,12,False)*0</f>
        <v>2.118236258</v>
      </c>
      <c r="S54" s="65">
        <f>VLOOKUP($O54,'NO USAR1'!$A$4:$L$399,2,False)*$U$19+VLOOKUP($O54,'NO USAR1'!$A$4:$L$399,3,False)*$V$19+VLOOKUP($O54,'NO USAR1'!$A$4:$L$399,4,False)*$W$19+VLOOKUP($O54,'NO USAR1'!$A$4:$L$399,5,False)*$X$19+VLOOKUP($O54,'NO USAR1'!$A$4:$L$399,6,False)*$Y$19+VLOOKUP($O54,'NO USAR1'!$A$4:$L$399,7,False)*$Z$19+VLOOKUP($O54,'NO USAR1'!$A$4:$L$399,8,False)*$AA$19+VLOOKUP($O54,'NO USAR1'!$A$4:$L$399,10,False)*$AB$19+VLOOKUP($O54,'NO USAR1'!$A$4:$L$399,12,False)*$AC$19+IF(Projections!$K$3,-AN54, IF(Projections!$J$3,-AM54,0))</f>
        <v>0.1379889082</v>
      </c>
      <c r="T54" s="65">
        <f t="shared" si="1"/>
        <v>-1.98024735</v>
      </c>
      <c r="U54" s="65">
        <f>VLOOKUP($O54,'NO USAR2'!$B$2:$R$397,11,False)</f>
        <v>20.6</v>
      </c>
      <c r="V54" s="69">
        <f>VLOOKUP($O54,'NO USAR2'!$B$2:$R$397,10,False)</f>
        <v>1.6</v>
      </c>
      <c r="W54" s="65">
        <f>VLOOKUP($O54,'NO USAR2'!$B$2:$R$397,12,False)</f>
        <v>8.1</v>
      </c>
      <c r="X54" s="65">
        <f>VLOOKUP($O54,'NO USAR2'!$B$2:$R$397,13,False)</f>
        <v>1.8</v>
      </c>
      <c r="Y54" s="65">
        <f>VLOOKUP($O54,'NO USAR2'!$B$2:$R$397,14,False)</f>
        <v>0.7</v>
      </c>
      <c r="Z54" s="70">
        <f>VLOOKUP($O54,'NO USAR2'!$B$2:$R$397,15,False)</f>
        <v>1.5</v>
      </c>
      <c r="AA54" s="65">
        <f>100*VLOOKUP($O54,'NO USAR2'!$B$2:$R$397,7,False)</f>
        <v>46.05263158</v>
      </c>
      <c r="AB54" s="65">
        <f>100*VLOOKUP($O54,'NO USAR2'!$B$2:$R$397,9,False)</f>
        <v>86.20689655</v>
      </c>
      <c r="AC54" s="65">
        <f>VLOOKUP($O54,'NO USAR2'!$B$2:$Q$397,16,False)</f>
        <v>1.7</v>
      </c>
      <c r="AD54" s="65">
        <f>VLOOKUP($O54,'NO USAR1'!$A$4:$L$399,2,False)*$U$19</f>
        <v>0.97113549</v>
      </c>
      <c r="AE54" s="65">
        <f>VLOOKUP($O54,'NO USAR1'!$A$4:$L$399,3,False)*$V$19</f>
        <v>-0.01342222232</v>
      </c>
      <c r="AF54" s="65">
        <f>VLOOKUP($O54,'NO USAR1'!$A$4:$L$399,4,False)*$W$19</f>
        <v>0.8268416687</v>
      </c>
      <c r="AG54" s="65">
        <f>VLOOKUP($O54,'NO USAR1'!$A$4:$L$399,5,False)*$X$19</f>
        <v>-1.085466147</v>
      </c>
      <c r="AH54" s="65">
        <f>VLOOKUP($O54,'NO USAR1'!$A$4:$L$399,6,False)*$Y$19</f>
        <v>-1.242861316</v>
      </c>
      <c r="AI54" s="65">
        <f>VLOOKUP($O54,'NO USAR1'!$A$4:$L$399,7,False)*$Z$19</f>
        <v>0</v>
      </c>
      <c r="AJ54" s="65">
        <f>VLOOKUP($O54,'NO USAR1'!$A$4:$L$399,8,False)*$AA$19</f>
        <v>0</v>
      </c>
      <c r="AK54" s="70">
        <f>VLOOKUP($O54,'NO USAR1'!$A$4:$L$399,10,False)*$AB$19</f>
        <v>0.6817614352</v>
      </c>
      <c r="AL54" s="65">
        <f>VLOOKUP($O54,'NO USAR1'!$A$4:$L$399,12,False)*$AC$19</f>
        <v>0</v>
      </c>
      <c r="AM54" s="71">
        <f t="shared" si="2"/>
        <v>-1.242861316</v>
      </c>
      <c r="AN54" s="71">
        <f t="shared" si="3"/>
        <v>-2.328327463</v>
      </c>
    </row>
    <row r="55">
      <c r="A55" t="str">
        <f>IF('NO USAR2'!B53="",ROW('NO USAR2'!B53),'NO USAR2'!B53)</f>
        <v>Jordan Poole</v>
      </c>
      <c r="B55" s="58">
        <f>IF(TYPE($A55)=1,"",('NO USAR2'!$L53-B$1)/B$2)</f>
        <v>0.381138809</v>
      </c>
      <c r="C55" s="58">
        <f>IF(TYPE($A55)=1,"",('NO USAR2'!$K53-C$1)/C$2)</f>
        <v>1.286520009</v>
      </c>
      <c r="D55" s="58">
        <f>IF(TYPE($A55)=1,"",('NO USAR2'!$M53-D$1)/D$2)</f>
        <v>-1.050949185</v>
      </c>
      <c r="E55" s="58">
        <f>IF(TYPE($A55)=1,"",('NO USAR2'!$N53-E$1)/E$2)</f>
        <v>0.1817025901</v>
      </c>
      <c r="F55" s="58">
        <f>IF(TYPE($A55)=1,"",('NO USAR2'!$O53-F$1)/F$2)</f>
        <v>-0.6672491657</v>
      </c>
      <c r="G55" s="58">
        <f>IF(TYPE($A55)=1,"",('NO USAR2'!$P53-G$1)/G$2)</f>
        <v>-0.8184360358</v>
      </c>
      <c r="H55" s="58">
        <f>IF(TYPE($A55)=1,"",('NO USAR2'!$H53-H$1)/H$2*I55/$I$1)</f>
        <v>-0.680193727</v>
      </c>
      <c r="I55" s="58">
        <f>IF(TYPE($A55)=1,"",IF('NO USAR2'!H53=0,0,'NO USAR2'!G53/'NO USAR2'!H53))</f>
        <v>14.5</v>
      </c>
      <c r="J55" s="59">
        <f>IF(TYPE($A55)=1,"",('NO USAR2'!$J53-J$1)/J$2*K55/$K$1)</f>
        <v>1.492367071</v>
      </c>
      <c r="K55" s="60">
        <f>IF(TYPE($A55)=1,"",IF('NO USAR2'!J53=0,0,'NO USAR2'!I53/'NO USAR2'!J53))</f>
        <v>3.6</v>
      </c>
      <c r="L55" s="58">
        <f>IF(TYPE($A55)=1,"",-('NO USAR2'!$Q53-L$1)/L$2)</f>
        <v>-0.6392303852</v>
      </c>
      <c r="N55" s="2">
        <v>35.0</v>
      </c>
      <c r="O55" s="68" t="str">
        <f>IF('NO USAR2'!B33="",ROW('NO USAR2'!B33),'NO USAR2'!B33)</f>
        <v>Myles Turner</v>
      </c>
      <c r="P55" s="68">
        <f>'NO USAR2'!E36</f>
        <v>67</v>
      </c>
      <c r="Q55" s="68" t="str">
        <f>IF('NO USAR2'!C33="",ROW('NO USAR2'!N48),'NO USAR2'!C33)</f>
        <v>PF/C</v>
      </c>
      <c r="R55" s="65">
        <f>VLOOKUP($O55,'NO USAR1'!$A$4:$L$399,2,False)+VLOOKUP($O55,'NO USAR1'!$A$4:$L$399,3,False)+VLOOKUP($O55,'NO USAR1'!$A$4:$L$399,4,False)+VLOOKUP($O55,'NO USAR1'!$A$4:$L$399,5,False)+VLOOKUP($O55,'NO USAR1'!$A$4:$L$399,6,False)+VLOOKUP($O55,'NO USAR1'!$A$4:$L$399,7,False)+VLOOKUP($O55,'NO USAR1'!$A$4:$L$399,8,False)+VLOOKUP($O55,'NO USAR1'!$A$4:$L$399,10,False)+VLOOKUP($O55,'NO USAR1'!$A$4:$L$399,12,False)*0</f>
        <v>1.713480566</v>
      </c>
      <c r="S55" s="65">
        <f>VLOOKUP($O55,'NO USAR1'!$A$4:$L$399,2,False)*$U$19+VLOOKUP($O55,'NO USAR1'!$A$4:$L$399,3,False)*$V$19+VLOOKUP($O55,'NO USAR1'!$A$4:$L$399,4,False)*$W$19+VLOOKUP($O55,'NO USAR1'!$A$4:$L$399,5,False)*$X$19+VLOOKUP($O55,'NO USAR1'!$A$4:$L$399,6,False)*$Y$19+VLOOKUP($O55,'NO USAR1'!$A$4:$L$399,7,False)*$Z$19+VLOOKUP($O55,'NO USAR1'!$A$4:$L$399,8,False)*$AA$19+VLOOKUP($O55,'NO USAR1'!$A$4:$L$399,10,False)*$AB$19+VLOOKUP($O55,'NO USAR1'!$A$4:$L$399,12,False)*$AC$19+IF(Projections!$K$3,-AN55, IF(Projections!$J$3,-AM55,0))</f>
        <v>-3.145311286</v>
      </c>
      <c r="T55" s="65">
        <f t="shared" si="1"/>
        <v>-4.858791852</v>
      </c>
      <c r="U55" s="65">
        <f>VLOOKUP($O55,'NO USAR2'!$B$2:$R$397,11,False)</f>
        <v>13.5</v>
      </c>
      <c r="V55" s="69">
        <f>VLOOKUP($O55,'NO USAR2'!$B$2:$R$397,10,False)</f>
        <v>1.6</v>
      </c>
      <c r="W55" s="65">
        <f>VLOOKUP($O55,'NO USAR2'!$B$2:$R$397,12,False)</f>
        <v>7.7</v>
      </c>
      <c r="X55" s="65">
        <f>VLOOKUP($O55,'NO USAR2'!$B$2:$R$397,13,False)</f>
        <v>1</v>
      </c>
      <c r="Y55" s="65">
        <f>VLOOKUP($O55,'NO USAR2'!$B$2:$R$397,14,False)</f>
        <v>0.7</v>
      </c>
      <c r="Z55" s="70">
        <f>VLOOKUP($O55,'NO USAR2'!$B$2:$R$397,15,False)</f>
        <v>2.7</v>
      </c>
      <c r="AA55" s="65">
        <f>100*VLOOKUP($O55,'NO USAR2'!$B$2:$R$397,7,False)</f>
        <v>48.54368932</v>
      </c>
      <c r="AB55" s="65">
        <f>100*VLOOKUP($O55,'NO USAR2'!$B$2:$R$397,9,False)</f>
        <v>76.92307692</v>
      </c>
      <c r="AC55" s="65">
        <f>VLOOKUP($O55,'NO USAR2'!$B$2:$Q$397,16,False)</f>
        <v>1.4</v>
      </c>
      <c r="AD55" s="65">
        <f>VLOOKUP($O55,'NO USAR1'!$A$4:$L$399,2,False)*$U$19</f>
        <v>-0.9194869518</v>
      </c>
      <c r="AE55" s="65">
        <f>VLOOKUP($O55,'NO USAR1'!$A$4:$L$399,3,False)*$V$19</f>
        <v>-0.01342222232</v>
      </c>
      <c r="AF55" s="65">
        <f>VLOOKUP($O55,'NO USAR1'!$A$4:$L$399,4,False)*$W$19</f>
        <v>0.6635555075</v>
      </c>
      <c r="AG55" s="65">
        <f>VLOOKUP($O55,'NO USAR1'!$A$4:$L$399,5,False)*$X$19</f>
        <v>-1.542020716</v>
      </c>
      <c r="AH55" s="65">
        <f>VLOOKUP($O55,'NO USAR1'!$A$4:$L$399,6,False)*$Y$19</f>
        <v>-1.242861316</v>
      </c>
      <c r="AI55" s="65">
        <f>VLOOKUP($O55,'NO USAR1'!$A$4:$L$399,7,False)*$Z$19</f>
        <v>0</v>
      </c>
      <c r="AJ55" s="65">
        <f>VLOOKUP($O55,'NO USAR1'!$A$4:$L$399,8,False)*$AA$19</f>
        <v>0</v>
      </c>
      <c r="AK55" s="70">
        <f>VLOOKUP($O55,'NO USAR1'!$A$4:$L$399,10,False)*$AB$19</f>
        <v>-0.09107558713</v>
      </c>
      <c r="AL55" s="65">
        <f>VLOOKUP($O55,'NO USAR1'!$A$4:$L$399,12,False)*$AC$19</f>
        <v>0</v>
      </c>
      <c r="AM55" s="71">
        <f t="shared" si="2"/>
        <v>-1.542020716</v>
      </c>
      <c r="AN55" s="71">
        <f t="shared" si="3"/>
        <v>-2.784882032</v>
      </c>
    </row>
    <row r="56">
      <c r="A56" t="str">
        <f>IF('NO USAR2'!B54="",ROW('NO USAR2'!B54),'NO USAR2'!B54)</f>
        <v>John Collins</v>
      </c>
      <c r="B56" s="58">
        <f>IF(TYPE($A56)=1,"",('NO USAR2'!$L54-B$1)/B$2)</f>
        <v>-0.1159262461</v>
      </c>
      <c r="C56" s="58">
        <f>IF(TYPE($A56)=1,"",('NO USAR2'!$K54-C$1)/C$2)</f>
        <v>-0.4134044473</v>
      </c>
      <c r="D56" s="58">
        <f>IF(TYPE($A56)=1,"",('NO USAR2'!$M54-D$1)/D$2)</f>
        <v>0.7860201284</v>
      </c>
      <c r="E56" s="58">
        <f>IF(TYPE($A56)=1,"",('NO USAR2'!$N54-E$1)/E$2)</f>
        <v>-0.8683729178</v>
      </c>
      <c r="F56" s="58">
        <f>IF(TYPE($A56)=1,"",('NO USAR2'!$O54-F$1)/F$2)</f>
        <v>-1.32132894</v>
      </c>
      <c r="G56" s="58">
        <f>IF(TYPE($A56)=1,"",('NO USAR2'!$P54-G$1)/G$2)</f>
        <v>0.62350448</v>
      </c>
      <c r="H56" s="58">
        <f>IF(TYPE($A56)=1,"",('NO USAR2'!$H54-H$1)/H$2*I56/$I$1)</f>
        <v>0.3895258764</v>
      </c>
      <c r="I56" s="58">
        <f>IF(TYPE($A56)=1,"",IF('NO USAR2'!H54=0,0,'NO USAR2'!G54/'NO USAR2'!H54))</f>
        <v>12</v>
      </c>
      <c r="J56" s="59">
        <f>IF(TYPE($A56)=1,"",('NO USAR2'!$J54-J$1)/J$2*K56/$K$1)</f>
        <v>0.2309208236</v>
      </c>
      <c r="K56" s="60">
        <f>IF(TYPE($A56)=1,"",IF('NO USAR2'!J54=0,0,'NO USAR2'!I54/'NO USAR2'!J54))</f>
        <v>3.2</v>
      </c>
      <c r="L56" s="58">
        <f>IF(TYPE($A56)=1,"",-('NO USAR2'!$Q54-L$1)/L$2)</f>
        <v>1.016250392</v>
      </c>
      <c r="N56" s="63">
        <v>36.0</v>
      </c>
      <c r="O56" s="68" t="str">
        <f>IF('NO USAR2'!B25="",ROW('NO USAR2'!B25),'NO USAR2'!B25)</f>
        <v>DeMar DeRozan</v>
      </c>
      <c r="P56" s="68">
        <f>'NO USAR2'!E37</f>
        <v>73</v>
      </c>
      <c r="Q56" s="68" t="str">
        <f>IF('NO USAR2'!C25="",ROW('NO USAR2'!N40),'NO USAR2'!C25)</f>
        <v>SG/SF</v>
      </c>
      <c r="R56" s="65">
        <f>VLOOKUP($O56,'NO USAR1'!$A$4:$L$399,2,False)+VLOOKUP($O56,'NO USAR1'!$A$4:$L$399,3,False)+VLOOKUP($O56,'NO USAR1'!$A$4:$L$399,4,False)+VLOOKUP($O56,'NO USAR1'!$A$4:$L$399,5,False)+VLOOKUP($O56,'NO USAR1'!$A$4:$L$399,6,False)+VLOOKUP($O56,'NO USAR1'!$A$4:$L$399,7,False)+VLOOKUP($O56,'NO USAR1'!$A$4:$L$399,8,False)+VLOOKUP($O56,'NO USAR1'!$A$4:$L$399,10,False)+VLOOKUP($O56,'NO USAR1'!$A$4:$L$399,12,False)*0</f>
        <v>1.711407352</v>
      </c>
      <c r="S56" s="65">
        <f>VLOOKUP($O56,'NO USAR1'!$A$4:$L$399,2,False)*$U$19+VLOOKUP($O56,'NO USAR1'!$A$4:$L$399,3,False)*$V$19+VLOOKUP($O56,'NO USAR1'!$A$4:$L$399,4,False)*$W$19+VLOOKUP($O56,'NO USAR1'!$A$4:$L$399,5,False)*$X$19+VLOOKUP($O56,'NO USAR1'!$A$4:$L$399,6,False)*$Y$19+VLOOKUP($O56,'NO USAR1'!$A$4:$L$399,7,False)*$Z$19+VLOOKUP($O56,'NO USAR1'!$A$4:$L$399,8,False)*$AA$19+VLOOKUP($O56,'NO USAR1'!$A$4:$L$399,10,False)*$AB$19+VLOOKUP($O56,'NO USAR1'!$A$4:$L$399,12,False)*$AC$19+IF(Projections!$K$3,-AN56, IF(Projections!$J$3,-AM56,0))</f>
        <v>2.294541583</v>
      </c>
      <c r="T56" s="65">
        <f t="shared" si="1"/>
        <v>0.5831342306</v>
      </c>
      <c r="U56" s="65">
        <f>VLOOKUP($O56,'NO USAR2'!$B$2:$R$397,11,False)</f>
        <v>26.1</v>
      </c>
      <c r="V56" s="69">
        <f>VLOOKUP($O56,'NO USAR2'!$B$2:$R$397,10,False)</f>
        <v>0.7</v>
      </c>
      <c r="W56" s="65">
        <f>VLOOKUP($O56,'NO USAR2'!$B$2:$R$397,12,False)</f>
        <v>5.1</v>
      </c>
      <c r="X56" s="65">
        <f>VLOOKUP($O56,'NO USAR2'!$B$2:$R$397,13,False)</f>
        <v>4.9</v>
      </c>
      <c r="Y56" s="65">
        <f>VLOOKUP($O56,'NO USAR2'!$B$2:$R$397,14,False)</f>
        <v>0.9</v>
      </c>
      <c r="Z56" s="70">
        <f>VLOOKUP($O56,'NO USAR2'!$B$2:$R$397,15,False)</f>
        <v>0.3</v>
      </c>
      <c r="AA56" s="65">
        <f>100*VLOOKUP($O56,'NO USAR2'!$B$2:$R$397,7,False)</f>
        <v>49.73262032</v>
      </c>
      <c r="AB56" s="65">
        <f>100*VLOOKUP($O56,'NO USAR2'!$B$2:$R$397,9,False)</f>
        <v>86.07594937</v>
      </c>
      <c r="AC56" s="65">
        <f>VLOOKUP($O56,'NO USAR2'!$B$2:$Q$397,16,False)</f>
        <v>2.4</v>
      </c>
      <c r="AD56" s="65">
        <f>VLOOKUP($O56,'NO USAR1'!$A$4:$L$399,2,False)*$U$19</f>
        <v>2.43570217</v>
      </c>
      <c r="AE56" s="65">
        <f>VLOOKUP($O56,'NO USAR1'!$A$4:$L$399,3,False)*$V$19</f>
        <v>-0.9133822286</v>
      </c>
      <c r="AF56" s="65">
        <f>VLOOKUP($O56,'NO USAR1'!$A$4:$L$399,4,False)*$W$19</f>
        <v>-0.3978045404</v>
      </c>
      <c r="AG56" s="65">
        <f>VLOOKUP($O56,'NO USAR1'!$A$4:$L$399,5,False)*$X$19</f>
        <v>0.6836828062</v>
      </c>
      <c r="AH56" s="65">
        <f>VLOOKUP($O56,'NO USAR1'!$A$4:$L$399,6,False)*$Y$19</f>
        <v>-0.4252615982</v>
      </c>
      <c r="AI56" s="65">
        <f>VLOOKUP($O56,'NO USAR1'!$A$4:$L$399,7,False)*$Z$19</f>
        <v>0</v>
      </c>
      <c r="AJ56" s="65">
        <f>VLOOKUP($O56,'NO USAR1'!$A$4:$L$399,8,False)*$AA$19</f>
        <v>0</v>
      </c>
      <c r="AK56" s="70">
        <f>VLOOKUP($O56,'NO USAR1'!$A$4:$L$399,10,False)*$AB$19</f>
        <v>0.9116049735</v>
      </c>
      <c r="AL56" s="65">
        <f>VLOOKUP($O56,'NO USAR1'!$A$4:$L$399,12,False)*$AC$19</f>
        <v>0</v>
      </c>
      <c r="AM56" s="71">
        <f t="shared" si="2"/>
        <v>-0.9133822286</v>
      </c>
      <c r="AN56" s="71">
        <f t="shared" si="3"/>
        <v>-1.338643827</v>
      </c>
    </row>
    <row r="57">
      <c r="A57" t="str">
        <f>IF('NO USAR2'!B55="",ROW('NO USAR2'!B55),'NO USAR2'!B55)</f>
        <v>De'Aaron Fox</v>
      </c>
      <c r="B57" s="58">
        <f>IF(TYPE($A57)=1,"",('NO USAR2'!$L55-B$1)/B$2)</f>
        <v>1.251002655</v>
      </c>
      <c r="C57" s="58">
        <f>IF(TYPE($A57)=1,"",('NO USAR2'!$K55-C$1)/C$2)</f>
        <v>-0.1134177786</v>
      </c>
      <c r="D57" s="58">
        <f>IF(TYPE($A57)=1,"",('NO USAR2'!$M55-D$1)/D$2)</f>
        <v>-0.8468414838</v>
      </c>
      <c r="E57" s="58">
        <f>IF(TYPE($A57)=1,"",('NO USAR2'!$N55-E$1)/E$2)</f>
        <v>1.277433555</v>
      </c>
      <c r="F57" s="58">
        <f>IF(TYPE($A57)=1,"",('NO USAR2'!$O55-F$1)/F$2)</f>
        <v>0.6409103829</v>
      </c>
      <c r="G57" s="58">
        <f>IF(TYPE($A57)=1,"",('NO USAR2'!$P55-G$1)/G$2)</f>
        <v>-0.6124445335</v>
      </c>
      <c r="H57" s="58">
        <f>IF(TYPE($A57)=1,"",('NO USAR2'!$H55-H$1)/H$2*I57/$I$1)</f>
        <v>-0.2743113832</v>
      </c>
      <c r="I57" s="58">
        <f>IF(TYPE($A57)=1,"",IF('NO USAR2'!H55=0,0,'NO USAR2'!G55/'NO USAR2'!H55))</f>
        <v>18.9</v>
      </c>
      <c r="J57" s="59">
        <f>IF(TYPE($A57)=1,"",('NO USAR2'!$J55-J$1)/J$2*K57/$K$1)</f>
        <v>-0.7996046005</v>
      </c>
      <c r="K57" s="60">
        <f>IF(TYPE($A57)=1,"",IF('NO USAR2'!J55=0,0,'NO USAR2'!I55/'NO USAR2'!J55))</f>
        <v>6</v>
      </c>
      <c r="L57" s="58">
        <f>IF(TYPE($A57)=1,"",-('NO USAR2'!$Q55-L$1)/L$2)</f>
        <v>-0.9703265406</v>
      </c>
      <c r="N57" s="63">
        <v>37.0</v>
      </c>
      <c r="O57" s="68" t="str">
        <f>IF('NO USAR2'!B41="",ROW('NO USAR2'!B41),'NO USAR2'!B41)</f>
        <v>Terry Rozier</v>
      </c>
      <c r="P57" s="68">
        <f>'NO USAR2'!E38</f>
        <v>68</v>
      </c>
      <c r="Q57" s="68" t="str">
        <f>IF('NO USAR2'!C41="",ROW('NO USAR2'!N56),'NO USAR2'!C41)</f>
        <v>PG/SG</v>
      </c>
      <c r="R57" s="65">
        <f>VLOOKUP($O57,'NO USAR1'!$A$4:$L$399,2,False)+VLOOKUP($O57,'NO USAR1'!$A$4:$L$399,3,False)+VLOOKUP($O57,'NO USAR1'!$A$4:$L$399,4,False)+VLOOKUP($O57,'NO USAR1'!$A$4:$L$399,5,False)+VLOOKUP($O57,'NO USAR1'!$A$4:$L$399,6,False)+VLOOKUP($O57,'NO USAR1'!$A$4:$L$399,7,False)+VLOOKUP($O57,'NO USAR1'!$A$4:$L$399,8,False)+VLOOKUP($O57,'NO USAR1'!$A$4:$L$399,10,False)+VLOOKUP($O57,'NO USAR1'!$A$4:$L$399,12,False)*0</f>
        <v>1.704797002</v>
      </c>
      <c r="S57" s="65">
        <f>VLOOKUP($O57,'NO USAR1'!$A$4:$L$399,2,False)*$U$19+VLOOKUP($O57,'NO USAR1'!$A$4:$L$399,3,False)*$V$19+VLOOKUP($O57,'NO USAR1'!$A$4:$L$399,4,False)*$W$19+VLOOKUP($O57,'NO USAR1'!$A$4:$L$399,5,False)*$X$19+VLOOKUP($O57,'NO USAR1'!$A$4:$L$399,6,False)*$Y$19+VLOOKUP($O57,'NO USAR1'!$A$4:$L$399,7,False)*$Z$19+VLOOKUP($O57,'NO USAR1'!$A$4:$L$399,8,False)*$AA$19+VLOOKUP($O57,'NO USAR1'!$A$4:$L$399,10,False)*$AB$19+VLOOKUP($O57,'NO USAR1'!$A$4:$L$399,12,False)*$AC$19+IF(Projections!$K$3,-AN57, IF(Projections!$J$3,-AM57,0))</f>
        <v>3.909475961</v>
      </c>
      <c r="T57" s="65">
        <f t="shared" si="1"/>
        <v>2.204678959</v>
      </c>
      <c r="U57" s="65">
        <f>VLOOKUP($O57,'NO USAR2'!$B$2:$R$397,11,False)</f>
        <v>21</v>
      </c>
      <c r="V57" s="69">
        <f>VLOOKUP($O57,'NO USAR2'!$B$2:$R$397,10,False)</f>
        <v>3.1</v>
      </c>
      <c r="W57" s="65">
        <f>VLOOKUP($O57,'NO USAR2'!$B$2:$R$397,12,False)</f>
        <v>4.4</v>
      </c>
      <c r="X57" s="65">
        <f>VLOOKUP($O57,'NO USAR2'!$B$2:$R$397,13,False)</f>
        <v>4.6</v>
      </c>
      <c r="Y57" s="65">
        <f>VLOOKUP($O57,'NO USAR2'!$B$2:$R$397,14,False)</f>
        <v>1.3</v>
      </c>
      <c r="Z57" s="70">
        <f>VLOOKUP($O57,'NO USAR2'!$B$2:$R$397,15,False)</f>
        <v>0.3</v>
      </c>
      <c r="AA57" s="65">
        <f>100*VLOOKUP($O57,'NO USAR2'!$B$2:$R$397,7,False)</f>
        <v>44</v>
      </c>
      <c r="AB57" s="65">
        <f>100*VLOOKUP($O57,'NO USAR2'!$B$2:$R$397,9,False)</f>
        <v>85.71428571</v>
      </c>
      <c r="AC57" s="65">
        <f>VLOOKUP($O57,'NO USAR2'!$B$2:$Q$397,16,False)</f>
        <v>1.3</v>
      </c>
      <c r="AD57" s="65">
        <f>VLOOKUP($O57,'NO USAR1'!$A$4:$L$399,2,False)*$U$19</f>
        <v>1.07764943</v>
      </c>
      <c r="AE57" s="65">
        <f>VLOOKUP($O57,'NO USAR1'!$A$4:$L$399,3,False)*$V$19</f>
        <v>1.486511122</v>
      </c>
      <c r="AF57" s="65">
        <f>VLOOKUP($O57,'NO USAR1'!$A$4:$L$399,4,False)*$W$19</f>
        <v>-0.6835553225</v>
      </c>
      <c r="AG57" s="65">
        <f>VLOOKUP($O57,'NO USAR1'!$A$4:$L$399,5,False)*$X$19</f>
        <v>0.512474843</v>
      </c>
      <c r="AH57" s="65">
        <f>VLOOKUP($O57,'NO USAR1'!$A$4:$L$399,6,False)*$Y$19</f>
        <v>1.209937838</v>
      </c>
      <c r="AI57" s="65">
        <f>VLOOKUP($O57,'NO USAR1'!$A$4:$L$399,7,False)*$Z$19</f>
        <v>0</v>
      </c>
      <c r="AJ57" s="65">
        <f>VLOOKUP($O57,'NO USAR1'!$A$4:$L$399,8,False)*$AA$19</f>
        <v>0</v>
      </c>
      <c r="AK57" s="70">
        <f>VLOOKUP($O57,'NO USAR1'!$A$4:$L$399,10,False)*$AB$19</f>
        <v>0.3064580511</v>
      </c>
      <c r="AL57" s="65">
        <f>VLOOKUP($O57,'NO USAR1'!$A$4:$L$399,12,False)*$AC$19</f>
        <v>0</v>
      </c>
      <c r="AM57" s="71">
        <f t="shared" si="2"/>
        <v>-0.6835553225</v>
      </c>
      <c r="AN57" s="71">
        <f t="shared" si="3"/>
        <v>-0.6835553225</v>
      </c>
    </row>
    <row r="58">
      <c r="A58" t="str">
        <f>IF('NO USAR2'!B56="",ROW('NO USAR2'!B56),'NO USAR2'!B56)</f>
        <v>Scottie Barnes</v>
      </c>
      <c r="B58" s="58">
        <f>IF(TYPE($A58)=1,"",('NO USAR2'!$L56-B$1)/B$2)</f>
        <v>-0.02716462909</v>
      </c>
      <c r="C58" s="58">
        <f>IF(TYPE($A58)=1,"",('NO USAR2'!$K56-C$1)/C$2)</f>
        <v>-0.6133955598</v>
      </c>
      <c r="D58" s="58">
        <f>IF(TYPE($A58)=1,"",('NO USAR2'!$M56-D$1)/D$2)</f>
        <v>0.6635555075</v>
      </c>
      <c r="E58" s="58">
        <f>IF(TYPE($A58)=1,"",('NO USAR2'!$N56-E$1)/E$2)</f>
        <v>-0.04657469425</v>
      </c>
      <c r="F58" s="58">
        <f>IF(TYPE($A58)=1,"",('NO USAR2'!$O56-F$1)/F$2)</f>
        <v>0.3138704957</v>
      </c>
      <c r="G58" s="58">
        <f>IF(TYPE($A58)=1,"",('NO USAR2'!$P56-G$1)/G$2)</f>
        <v>0.005529973215</v>
      </c>
      <c r="H58" s="58">
        <f>IF(TYPE($A58)=1,"",('NO USAR2'!$H56-H$1)/H$2*I58/$I$1)</f>
        <v>0.06497589416</v>
      </c>
      <c r="I58" s="58">
        <f>IF(TYPE($A58)=1,"",IF('NO USAR2'!H56=0,0,'NO USAR2'!G56/'NO USAR2'!H56))</f>
        <v>13.8</v>
      </c>
      <c r="J58" s="59">
        <f>IF(TYPE($A58)=1,"",('NO USAR2'!$J56-J$1)/J$2*K58/$K$1)</f>
        <v>-0.5641464529</v>
      </c>
      <c r="K58" s="60">
        <f>IF(TYPE($A58)=1,"",IF('NO USAR2'!J56=0,0,'NO USAR2'!I56/'NO USAR2'!J56))</f>
        <v>3</v>
      </c>
      <c r="L58" s="58">
        <f>IF(TYPE($A58)=1,"",-('NO USAR2'!$Q56-L$1)/L$2)</f>
        <v>0.2436926961</v>
      </c>
      <c r="N58" s="2">
        <v>38.0</v>
      </c>
      <c r="O58" s="68" t="str">
        <f>IF('NO USAR2'!B44="",ROW('NO USAR2'!B44),'NO USAR2'!B44)</f>
        <v>Anthony Edwards</v>
      </c>
      <c r="P58" s="68">
        <f>'NO USAR2'!E39</f>
        <v>70</v>
      </c>
      <c r="Q58" s="68" t="str">
        <f>IF('NO USAR2'!C44="",ROW('NO USAR2'!N59),'NO USAR2'!C44)</f>
        <v>SG/SF</v>
      </c>
      <c r="R58" s="65">
        <f>VLOOKUP($O58,'NO USAR1'!$A$4:$L$399,2,False)+VLOOKUP($O58,'NO USAR1'!$A$4:$L$399,3,False)+VLOOKUP($O58,'NO USAR1'!$A$4:$L$399,4,False)+VLOOKUP($O58,'NO USAR1'!$A$4:$L$399,5,False)+VLOOKUP($O58,'NO USAR1'!$A$4:$L$399,6,False)+VLOOKUP($O58,'NO USAR1'!$A$4:$L$399,7,False)+VLOOKUP($O58,'NO USAR1'!$A$4:$L$399,8,False)+VLOOKUP($O58,'NO USAR1'!$A$4:$L$399,10,False)+VLOOKUP($O58,'NO USAR1'!$A$4:$L$399,12,False)*0</f>
        <v>1.702791373</v>
      </c>
      <c r="S58" s="65">
        <f>VLOOKUP($O58,'NO USAR1'!$A$4:$L$399,2,False)*$U$19+VLOOKUP($O58,'NO USAR1'!$A$4:$L$399,3,False)*$V$19+VLOOKUP($O58,'NO USAR1'!$A$4:$L$399,4,False)*$W$19+VLOOKUP($O58,'NO USAR1'!$A$4:$L$399,5,False)*$X$19+VLOOKUP($O58,'NO USAR1'!$A$4:$L$399,6,False)*$Y$19+VLOOKUP($O58,'NO USAR1'!$A$4:$L$399,7,False)*$Z$19+VLOOKUP($O58,'NO USAR1'!$A$4:$L$399,8,False)*$AA$19+VLOOKUP($O58,'NO USAR1'!$A$4:$L$399,10,False)*$AB$19+VLOOKUP($O58,'NO USAR1'!$A$4:$L$399,12,False)*$AC$19+IF(Projections!$K$3,-AN58, IF(Projections!$J$3,-AM58,0))</f>
        <v>3.78451794</v>
      </c>
      <c r="T58" s="65">
        <f t="shared" si="1"/>
        <v>2.081726566</v>
      </c>
      <c r="U58" s="65">
        <f>VLOOKUP($O58,'NO USAR2'!$B$2:$R$397,11,False)</f>
        <v>22.3</v>
      </c>
      <c r="V58" s="69">
        <f>VLOOKUP($O58,'NO USAR2'!$B$2:$R$397,10,False)</f>
        <v>3.1</v>
      </c>
      <c r="W58" s="65">
        <f>VLOOKUP($O58,'NO USAR2'!$B$2:$R$397,12,False)</f>
        <v>4</v>
      </c>
      <c r="X58" s="65">
        <f>VLOOKUP($O58,'NO USAR2'!$B$2:$R$397,13,False)</f>
        <v>4</v>
      </c>
      <c r="Y58" s="65">
        <f>VLOOKUP($O58,'NO USAR2'!$B$2:$R$397,14,False)</f>
        <v>1.4</v>
      </c>
      <c r="Z58" s="70">
        <f>VLOOKUP($O58,'NO USAR2'!$B$2:$R$397,15,False)</f>
        <v>0.6</v>
      </c>
      <c r="AA58" s="65">
        <f>100*VLOOKUP($O58,'NO USAR2'!$B$2:$R$397,7,False)</f>
        <v>44.19889503</v>
      </c>
      <c r="AB58" s="65">
        <f>100*VLOOKUP($O58,'NO USAR2'!$B$2:$R$397,9,False)</f>
        <v>78.04878049</v>
      </c>
      <c r="AC58" s="65">
        <f>VLOOKUP($O58,'NO USAR2'!$B$2:$Q$397,16,False)</f>
        <v>2.7</v>
      </c>
      <c r="AD58" s="65">
        <f>VLOOKUP($O58,'NO USAR1'!$A$4:$L$399,2,False)*$U$19</f>
        <v>1.423819737</v>
      </c>
      <c r="AE58" s="65">
        <f>VLOOKUP($O58,'NO USAR1'!$A$4:$L$399,3,False)*$V$19</f>
        <v>1.486511122</v>
      </c>
      <c r="AF58" s="65">
        <f>VLOOKUP($O58,'NO USAR1'!$A$4:$L$399,4,False)*$W$19</f>
        <v>-0.8468414838</v>
      </c>
      <c r="AG58" s="65">
        <f>VLOOKUP($O58,'NO USAR1'!$A$4:$L$399,5,False)*$X$19</f>
        <v>0.1700589165</v>
      </c>
      <c r="AH58" s="65">
        <f>VLOOKUP($O58,'NO USAR1'!$A$4:$L$399,6,False)*$Y$19</f>
        <v>1.618737696</v>
      </c>
      <c r="AI58" s="65">
        <f>VLOOKUP($O58,'NO USAR1'!$A$4:$L$399,7,False)*$Z$19</f>
        <v>0</v>
      </c>
      <c r="AJ58" s="65">
        <f>VLOOKUP($O58,'NO USAR1'!$A$4:$L$399,8,False)*$AA$19</f>
        <v>0</v>
      </c>
      <c r="AK58" s="70">
        <f>VLOOKUP($O58,'NO USAR1'!$A$4:$L$399,10,False)*$AB$19</f>
        <v>-0.06776804772</v>
      </c>
      <c r="AL58" s="65">
        <f>VLOOKUP($O58,'NO USAR1'!$A$4:$L$399,12,False)*$AC$19</f>
        <v>0</v>
      </c>
      <c r="AM58" s="71">
        <f t="shared" si="2"/>
        <v>-0.8468414838</v>
      </c>
      <c r="AN58" s="71">
        <f t="shared" si="3"/>
        <v>-0.9146095315</v>
      </c>
    </row>
    <row r="59">
      <c r="A59" t="str">
        <f>IF('NO USAR2'!B57="",ROW('NO USAR2'!B57),'NO USAR2'!B57)</f>
        <v>Mikal Bridges</v>
      </c>
      <c r="B59" s="58">
        <f>IF(TYPE($A59)=1,"",('NO USAR2'!$L57-B$1)/B$2)</f>
        <v>-0.2756971566</v>
      </c>
      <c r="C59" s="58">
        <f>IF(TYPE($A59)=1,"",('NO USAR2'!$K57-C$1)/C$2)</f>
        <v>-0.2134133348</v>
      </c>
      <c r="D59" s="58">
        <f>IF(TYPE($A59)=1,"",('NO USAR2'!$M57-D$1)/D$2)</f>
        <v>-0.7243768628</v>
      </c>
      <c r="E59" s="58">
        <f>IF(TYPE($A59)=1,"",('NO USAR2'!$N57-E$1)/E$2)</f>
        <v>-0.5944401766</v>
      </c>
      <c r="F59" s="58">
        <f>IF(TYPE($A59)=1,"",('NO USAR2'!$O57-F$1)/F$2)</f>
        <v>0.6409103829</v>
      </c>
      <c r="G59" s="58">
        <f>IF(TYPE($A59)=1,"",('NO USAR2'!$P57-G$1)/G$2)</f>
        <v>-0.6124445335</v>
      </c>
      <c r="H59" s="58">
        <f>IF(TYPE($A59)=1,"",('NO USAR2'!$H57-H$1)/H$2*I59/$I$1)</f>
        <v>0.6137634049</v>
      </c>
      <c r="I59" s="58">
        <f>IF(TYPE($A59)=1,"",IF('NO USAR2'!H57=0,0,'NO USAR2'!G57/'NO USAR2'!H57))</f>
        <v>11.4</v>
      </c>
      <c r="J59" s="59">
        <f>IF(TYPE($A59)=1,"",('NO USAR2'!$J57-J$1)/J$2*K59/$K$1)</f>
        <v>0.5285324096</v>
      </c>
      <c r="K59" s="60">
        <f>IF(TYPE($A59)=1,"",IF('NO USAR2'!J57=0,0,'NO USAR2'!I57/'NO USAR2'!J57))</f>
        <v>2.2</v>
      </c>
      <c r="L59" s="58">
        <f>IF(TYPE($A59)=1,"",-('NO USAR2'!$Q57-L$1)/L$2)</f>
        <v>1.347346548</v>
      </c>
      <c r="N59" s="63">
        <v>39.0</v>
      </c>
      <c r="O59" s="68" t="str">
        <f>IF('NO USAR2'!B42="",ROW('NO USAR2'!B42),'NO USAR2'!B42)</f>
        <v>Nikola Vucevic</v>
      </c>
      <c r="P59" s="68">
        <f>'NO USAR2'!E40</f>
        <v>70</v>
      </c>
      <c r="Q59" s="68" t="str">
        <f>IF('NO USAR2'!C42="",ROW('NO USAR2'!N57),'NO USAR2'!C42)</f>
        <v>C</v>
      </c>
      <c r="R59" s="65">
        <f>VLOOKUP($O59,'NO USAR1'!$A$4:$L$399,2,False)+VLOOKUP($O59,'NO USAR1'!$A$4:$L$399,3,False)+VLOOKUP($O59,'NO USAR1'!$A$4:$L$399,4,False)+VLOOKUP($O59,'NO USAR1'!$A$4:$L$399,5,False)+VLOOKUP($O59,'NO USAR1'!$A$4:$L$399,6,False)+VLOOKUP($O59,'NO USAR1'!$A$4:$L$399,7,False)+VLOOKUP($O59,'NO USAR1'!$A$4:$L$399,8,False)+VLOOKUP($O59,'NO USAR1'!$A$4:$L$399,10,False)+VLOOKUP($O59,'NO USAR1'!$A$4:$L$399,12,False)*0</f>
        <v>1.606714343</v>
      </c>
      <c r="S59" s="65">
        <f>VLOOKUP($O59,'NO USAR1'!$A$4:$L$399,2,False)*$U$19+VLOOKUP($O59,'NO USAR1'!$A$4:$L$399,3,False)*$V$19+VLOOKUP($O59,'NO USAR1'!$A$4:$L$399,4,False)*$W$19+VLOOKUP($O59,'NO USAR1'!$A$4:$L$399,5,False)*$X$19+VLOOKUP($O59,'NO USAR1'!$A$4:$L$399,6,False)*$Y$19+VLOOKUP($O59,'NO USAR1'!$A$4:$L$399,7,False)*$Z$19+VLOOKUP($O59,'NO USAR1'!$A$4:$L$399,8,False)*$AA$19+VLOOKUP($O59,'NO USAR1'!$A$4:$L$399,10,False)*$AB$19+VLOOKUP($O59,'NO USAR1'!$A$4:$L$399,12,False)*$AC$19+IF(Projections!$K$3,-AN59, IF(Projections!$J$3,-AM59,0))</f>
        <v>1.267515845</v>
      </c>
      <c r="T59" s="65">
        <f t="shared" si="1"/>
        <v>-0.3391984974</v>
      </c>
      <c r="U59" s="65">
        <f>VLOOKUP($O59,'NO USAR2'!$B$2:$R$397,11,False)</f>
        <v>17.2</v>
      </c>
      <c r="V59" s="69">
        <f>VLOOKUP($O59,'NO USAR2'!$B$2:$R$397,10,False)</f>
        <v>1.4</v>
      </c>
      <c r="W59" s="65">
        <f>VLOOKUP($O59,'NO USAR2'!$B$2:$R$397,12,False)</f>
        <v>10.6</v>
      </c>
      <c r="X59" s="65">
        <f>VLOOKUP($O59,'NO USAR2'!$B$2:$R$397,13,False)</f>
        <v>3.1</v>
      </c>
      <c r="Y59" s="65">
        <f>VLOOKUP($O59,'NO USAR2'!$B$2:$R$397,14,False)</f>
        <v>1</v>
      </c>
      <c r="Z59" s="70">
        <f>VLOOKUP($O59,'NO USAR2'!$B$2:$R$397,15,False)</f>
        <v>1</v>
      </c>
      <c r="AA59" s="65">
        <f>100*VLOOKUP($O59,'NO USAR2'!$B$2:$R$397,7,False)</f>
        <v>47.4025974</v>
      </c>
      <c r="AB59" s="65">
        <f>100*VLOOKUP($O59,'NO USAR2'!$B$2:$R$397,9,False)</f>
        <v>76.47058824</v>
      </c>
      <c r="AC59" s="65">
        <f>VLOOKUP($O59,'NO USAR2'!$B$2:$Q$397,16,False)</f>
        <v>1.9</v>
      </c>
      <c r="AD59" s="65">
        <f>VLOOKUP($O59,'NO USAR1'!$A$4:$L$399,2,False)*$U$19</f>
        <v>0.06576699675</v>
      </c>
      <c r="AE59" s="65">
        <f>VLOOKUP($O59,'NO USAR1'!$A$4:$L$399,3,False)*$V$19</f>
        <v>-0.2134133348</v>
      </c>
      <c r="AF59" s="65">
        <f>VLOOKUP($O59,'NO USAR1'!$A$4:$L$399,4,False)*$W$19</f>
        <v>1.847380176</v>
      </c>
      <c r="AG59" s="65">
        <f>VLOOKUP($O59,'NO USAR1'!$A$4:$L$399,5,False)*$X$19</f>
        <v>-0.3435649732</v>
      </c>
      <c r="AH59" s="65">
        <f>VLOOKUP($O59,'NO USAR1'!$A$4:$L$399,6,False)*$Y$19</f>
        <v>-0.01646173929</v>
      </c>
      <c r="AI59" s="65">
        <f>VLOOKUP($O59,'NO USAR1'!$A$4:$L$399,7,False)*$Z$19</f>
        <v>0</v>
      </c>
      <c r="AJ59" s="65">
        <f>VLOOKUP($O59,'NO USAR1'!$A$4:$L$399,8,False)*$AA$19</f>
        <v>0</v>
      </c>
      <c r="AK59" s="70">
        <f>VLOOKUP($O59,'NO USAR1'!$A$4:$L$399,10,False)*$AB$19</f>
        <v>-0.07219128025</v>
      </c>
      <c r="AL59" s="65">
        <f>VLOOKUP($O59,'NO USAR1'!$A$4:$L$399,12,False)*$AC$19</f>
        <v>0</v>
      </c>
      <c r="AM59" s="71">
        <f t="shared" si="2"/>
        <v>-0.3435649732</v>
      </c>
      <c r="AN59" s="71">
        <f t="shared" si="3"/>
        <v>-0.556978308</v>
      </c>
    </row>
    <row r="60">
      <c r="A60" t="str">
        <f>IF('NO USAR2'!B58="",ROW('NO USAR2'!B58),'NO USAR2'!B58)</f>
        <v>CJ McCollum</v>
      </c>
      <c r="B60" s="58">
        <f>IF(TYPE($A60)=1,"",('NO USAR2'!$L58-B$1)/B$2)</f>
        <v>1.002470128</v>
      </c>
      <c r="C60" s="58">
        <f>IF(TYPE($A60)=1,"",('NO USAR2'!$K58-C$1)/C$2)</f>
        <v>1.386515565</v>
      </c>
      <c r="D60" s="58">
        <f>IF(TYPE($A60)=1,"",('NO USAR2'!$M58-D$1)/D$2)</f>
        <v>-0.6427337822</v>
      </c>
      <c r="E60" s="58">
        <f>IF(TYPE($A60)=1,"",('NO USAR2'!$N58-E$1)/E$2)</f>
        <v>0.2273580469</v>
      </c>
      <c r="F60" s="58">
        <f>IF(TYPE($A60)=1,"",('NO USAR2'!$O58-F$1)/F$2)</f>
        <v>0.3138704957</v>
      </c>
      <c r="G60" s="58">
        <f>IF(TYPE($A60)=1,"",('NO USAR2'!$P58-G$1)/G$2)</f>
        <v>-0.6124445335</v>
      </c>
      <c r="H60" s="58">
        <f>IF(TYPE($A60)=1,"",('NO USAR2'!$H58-H$1)/H$2*I60/$I$1)</f>
        <v>-0.5605114491</v>
      </c>
      <c r="I60" s="58">
        <f>IF(TYPE($A60)=1,"",IF('NO USAR2'!H58=0,0,'NO USAR2'!G58/'NO USAR2'!H58))</f>
        <v>19.2</v>
      </c>
      <c r="J60" s="59">
        <f>IF(TYPE($A60)=1,"",('NO USAR2'!$J58-J$1)/J$2*K60/$K$1)</f>
        <v>-1.030525424</v>
      </c>
      <c r="K60" s="60">
        <f>IF(TYPE($A60)=1,"",IF('NO USAR2'!J58=0,0,'NO USAR2'!I58/'NO USAR2'!J58))</f>
        <v>2.8</v>
      </c>
      <c r="L60" s="58">
        <f>IF(TYPE($A60)=1,"",-('NO USAR2'!$Q58-L$1)/L$2)</f>
        <v>0.02296192577</v>
      </c>
      <c r="N60" s="63">
        <v>40.0</v>
      </c>
      <c r="O60" s="68" t="str">
        <f>IF('NO USAR2'!B49="",ROW('NO USAR2'!B49),'NO USAR2'!B49)</f>
        <v>Pascal Siakam</v>
      </c>
      <c r="P60" s="68">
        <f>'NO USAR2'!E41</f>
        <v>73</v>
      </c>
      <c r="Q60" s="68" t="str">
        <f>IF('NO USAR2'!C49="",ROW('NO USAR2'!N64),'NO USAR2'!C49)</f>
        <v>PF/C</v>
      </c>
      <c r="R60" s="65">
        <f>VLOOKUP($O60,'NO USAR1'!$A$4:$L$399,2,False)+VLOOKUP($O60,'NO USAR1'!$A$4:$L$399,3,False)+VLOOKUP($O60,'NO USAR1'!$A$4:$L$399,4,False)+VLOOKUP($O60,'NO USAR1'!$A$4:$L$399,5,False)+VLOOKUP($O60,'NO USAR1'!$A$4:$L$399,6,False)+VLOOKUP($O60,'NO USAR1'!$A$4:$L$399,7,False)+VLOOKUP($O60,'NO USAR1'!$A$4:$L$399,8,False)+VLOOKUP($O60,'NO USAR1'!$A$4:$L$399,10,False)+VLOOKUP($O60,'NO USAR1'!$A$4:$L$399,12,False)*0</f>
        <v>1.344456019</v>
      </c>
      <c r="S60" s="65">
        <f>VLOOKUP($O60,'NO USAR1'!$A$4:$L$399,2,False)*$U$19+VLOOKUP($O60,'NO USAR1'!$A$4:$L$399,3,False)*$V$19+VLOOKUP($O60,'NO USAR1'!$A$4:$L$399,4,False)*$W$19+VLOOKUP($O60,'NO USAR1'!$A$4:$L$399,5,False)*$X$19+VLOOKUP($O60,'NO USAR1'!$A$4:$L$399,6,False)*$Y$19+VLOOKUP($O60,'NO USAR1'!$A$4:$L$399,7,False)*$Z$19+VLOOKUP($O60,'NO USAR1'!$A$4:$L$399,8,False)*$AA$19+VLOOKUP($O60,'NO USAR1'!$A$4:$L$399,10,False)*$AB$19+VLOOKUP($O60,'NO USAR1'!$A$4:$L$399,12,False)*$AC$19+IF(Projections!$K$3,-AN60, IF(Projections!$J$3,-AM60,0))</f>
        <v>2.907760319</v>
      </c>
      <c r="T60" s="65">
        <f t="shared" si="1"/>
        <v>1.5633043</v>
      </c>
      <c r="U60" s="65">
        <f>VLOOKUP($O60,'NO USAR2'!$B$2:$R$397,11,False)</f>
        <v>22</v>
      </c>
      <c r="V60" s="69">
        <f>VLOOKUP($O60,'NO USAR2'!$B$2:$R$397,10,False)</f>
        <v>1.1</v>
      </c>
      <c r="W60" s="65">
        <f>VLOOKUP($O60,'NO USAR2'!$B$2:$R$397,12,False)</f>
        <v>8.3</v>
      </c>
      <c r="X60" s="65">
        <f>VLOOKUP($O60,'NO USAR2'!$B$2:$R$397,13,False)</f>
        <v>5</v>
      </c>
      <c r="Y60" s="65">
        <f>VLOOKUP($O60,'NO USAR2'!$B$2:$R$397,14,False)</f>
        <v>1.2</v>
      </c>
      <c r="Z60" s="70">
        <f>VLOOKUP($O60,'NO USAR2'!$B$2:$R$397,15,False)</f>
        <v>0.6</v>
      </c>
      <c r="AA60" s="65">
        <f>100*VLOOKUP($O60,'NO USAR2'!$B$2:$R$397,7,False)</f>
        <v>47.72727273</v>
      </c>
      <c r="AB60" s="65">
        <f>100*VLOOKUP($O60,'NO USAR2'!$B$2:$R$397,9,False)</f>
        <v>75</v>
      </c>
      <c r="AC60" s="65">
        <f>VLOOKUP($O60,'NO USAR2'!$B$2:$Q$397,16,False)</f>
        <v>2.7</v>
      </c>
      <c r="AD60" s="65">
        <f>VLOOKUP($O60,'NO USAR1'!$A$4:$L$399,2,False)*$U$19</f>
        <v>1.343934281</v>
      </c>
      <c r="AE60" s="65">
        <f>VLOOKUP($O60,'NO USAR1'!$A$4:$L$399,3,False)*$V$19</f>
        <v>-0.5134000036</v>
      </c>
      <c r="AF60" s="65">
        <f>VLOOKUP($O60,'NO USAR1'!$A$4:$L$399,4,False)*$W$19</f>
        <v>0.9084847493</v>
      </c>
      <c r="AG60" s="65">
        <f>VLOOKUP($O60,'NO USAR1'!$A$4:$L$399,5,False)*$X$19</f>
        <v>0.7407521273</v>
      </c>
      <c r="AH60" s="65">
        <f>VLOOKUP($O60,'NO USAR1'!$A$4:$L$399,6,False)*$Y$19</f>
        <v>0.8011379786</v>
      </c>
      <c r="AI60" s="65">
        <f>VLOOKUP($O60,'NO USAR1'!$A$4:$L$399,7,False)*$Z$19</f>
        <v>0</v>
      </c>
      <c r="AJ60" s="65">
        <f>VLOOKUP($O60,'NO USAR1'!$A$4:$L$399,8,False)*$AA$19</f>
        <v>0</v>
      </c>
      <c r="AK60" s="70">
        <f>VLOOKUP($O60,'NO USAR1'!$A$4:$L$399,10,False)*$AB$19</f>
        <v>-0.3731488136</v>
      </c>
      <c r="AL60" s="65">
        <f>VLOOKUP($O60,'NO USAR1'!$A$4:$L$399,12,False)*$AC$19</f>
        <v>0</v>
      </c>
      <c r="AM60" s="71">
        <f t="shared" si="2"/>
        <v>-0.5134000036</v>
      </c>
      <c r="AN60" s="71">
        <f t="shared" si="3"/>
        <v>-0.8865488172</v>
      </c>
    </row>
    <row r="61">
      <c r="A61" t="str">
        <f>IF('NO USAR2'!B59="",ROW('NO USAR2'!B59),'NO USAR2'!B59)</f>
        <v>Tyrese Maxey</v>
      </c>
      <c r="B61" s="58">
        <f>IF(TYPE($A61)=1,"",('NO USAR2'!$L59-B$1)/B$2)</f>
        <v>0.2923771921</v>
      </c>
      <c r="C61" s="58">
        <f>IF(TYPE($A61)=1,"",('NO USAR2'!$K59-C$1)/C$2)</f>
        <v>0.1865688902</v>
      </c>
      <c r="D61" s="58">
        <f>IF(TYPE($A61)=1,"",('NO USAR2'!$M59-D$1)/D$2)</f>
        <v>-1.132592266</v>
      </c>
      <c r="E61" s="58">
        <f>IF(TYPE($A61)=1,"",('NO USAR2'!$N59-E$1)/E$2)</f>
        <v>0.3186689607</v>
      </c>
      <c r="F61" s="58">
        <f>IF(TYPE($A61)=1,"",('NO USAR2'!$O59-F$1)/F$2)</f>
        <v>-0.3402092786</v>
      </c>
      <c r="G61" s="58">
        <f>IF(TYPE($A61)=1,"",('NO USAR2'!$P59-G$1)/G$2)</f>
        <v>-0.6124445335</v>
      </c>
      <c r="H61" s="58">
        <f>IF(TYPE($A61)=1,"",('NO USAR2'!$H59-H$1)/H$2*I61/$I$1)</f>
        <v>-0.1566380098</v>
      </c>
      <c r="I61" s="58">
        <f>IF(TYPE($A61)=1,"",IF('NO USAR2'!H59=0,0,'NO USAR2'!G59/'NO USAR2'!H59))</f>
        <v>14.6</v>
      </c>
      <c r="J61" s="59">
        <f>IF(TYPE($A61)=1,"",('NO USAR2'!$J59-J$1)/J$2*K61/$K$1)</f>
        <v>0.6972997948</v>
      </c>
      <c r="K61" s="60">
        <f>IF(TYPE($A61)=1,"",IF('NO USAR2'!J59=0,0,'NO USAR2'!I59/'NO USAR2'!J59))</f>
        <v>3.4</v>
      </c>
      <c r="L61" s="58">
        <f>IF(TYPE($A61)=1,"",-('NO USAR2'!$Q59-L$1)/L$2)</f>
        <v>0.905885007</v>
      </c>
      <c r="N61" s="2">
        <v>41.0</v>
      </c>
      <c r="O61" s="68" t="str">
        <f>IF('NO USAR2'!B48="",ROW('NO USAR2'!B48),'NO USAR2'!B48)</f>
        <v>Jaylen Brown</v>
      </c>
      <c r="P61" s="68">
        <f>'NO USAR2'!E42</f>
        <v>74</v>
      </c>
      <c r="Q61" s="68" t="str">
        <f>IF('NO USAR2'!C48="",ROW('NO USAR2'!N63),'NO USAR2'!C48)</f>
        <v>SG/SF</v>
      </c>
      <c r="R61" s="65">
        <f>VLOOKUP($O61,'NO USAR1'!$A$4:$L$399,2,False)+VLOOKUP($O61,'NO USAR1'!$A$4:$L$399,3,False)+VLOOKUP($O61,'NO USAR1'!$A$4:$L$399,4,False)+VLOOKUP($O61,'NO USAR1'!$A$4:$L$399,5,False)+VLOOKUP($O61,'NO USAR1'!$A$4:$L$399,6,False)+VLOOKUP($O61,'NO USAR1'!$A$4:$L$399,7,False)+VLOOKUP($O61,'NO USAR1'!$A$4:$L$399,8,False)+VLOOKUP($O61,'NO USAR1'!$A$4:$L$399,10,False)+VLOOKUP($O61,'NO USAR1'!$A$4:$L$399,12,False)*0</f>
        <v>1.315245249</v>
      </c>
      <c r="S61" s="65">
        <f>VLOOKUP($O61,'NO USAR1'!$A$4:$L$399,2,False)*$U$19+VLOOKUP($O61,'NO USAR1'!$A$4:$L$399,3,False)*$V$19+VLOOKUP($O61,'NO USAR1'!$A$4:$L$399,4,False)*$W$19+VLOOKUP($O61,'NO USAR1'!$A$4:$L$399,5,False)*$X$19+VLOOKUP($O61,'NO USAR1'!$A$4:$L$399,6,False)*$Y$19+VLOOKUP($O61,'NO USAR1'!$A$4:$L$399,7,False)*$Z$19+VLOOKUP($O61,'NO USAR1'!$A$4:$L$399,8,False)*$AA$19+VLOOKUP($O61,'NO USAR1'!$A$4:$L$399,10,False)*$AB$19+VLOOKUP($O61,'NO USAR1'!$A$4:$L$399,12,False)*$AC$19+IF(Projections!$K$3,-AN61, IF(Projections!$J$3,-AM61,0))</f>
        <v>3.248021453</v>
      </c>
      <c r="T61" s="65">
        <f t="shared" si="1"/>
        <v>1.932776203</v>
      </c>
      <c r="U61" s="65">
        <f>VLOOKUP($O61,'NO USAR2'!$B$2:$R$397,11,False)</f>
        <v>24.3</v>
      </c>
      <c r="V61" s="69">
        <f>VLOOKUP($O61,'NO USAR2'!$B$2:$R$397,10,False)</f>
        <v>2.6</v>
      </c>
      <c r="W61" s="65">
        <f>VLOOKUP($O61,'NO USAR2'!$B$2:$R$397,12,False)</f>
        <v>6.3</v>
      </c>
      <c r="X61" s="65">
        <f>VLOOKUP($O61,'NO USAR2'!$B$2:$R$397,13,False)</f>
        <v>3.6</v>
      </c>
      <c r="Y61" s="65">
        <f>VLOOKUP($O61,'NO USAR2'!$B$2:$R$397,14,False)</f>
        <v>1.1</v>
      </c>
      <c r="Z61" s="70">
        <f>VLOOKUP($O61,'NO USAR2'!$B$2:$R$397,15,False)</f>
        <v>0.3</v>
      </c>
      <c r="AA61" s="65">
        <f>100*VLOOKUP($O61,'NO USAR2'!$B$2:$R$397,7,False)</f>
        <v>47.61904762</v>
      </c>
      <c r="AB61" s="65">
        <f>100*VLOOKUP($O61,'NO USAR2'!$B$2:$R$397,9,False)</f>
        <v>77.55102041</v>
      </c>
      <c r="AC61" s="65">
        <f>VLOOKUP($O61,'NO USAR2'!$B$2:$Q$397,16,False)</f>
        <v>2.8</v>
      </c>
      <c r="AD61" s="65">
        <f>VLOOKUP($O61,'NO USAR1'!$A$4:$L$399,2,False)*$U$19</f>
        <v>1.956389439</v>
      </c>
      <c r="AE61" s="65">
        <f>VLOOKUP($O61,'NO USAR1'!$A$4:$L$399,3,False)*$V$19</f>
        <v>0.9865333402</v>
      </c>
      <c r="AF61" s="65">
        <f>VLOOKUP($O61,'NO USAR1'!$A$4:$L$399,4,False)*$W$19</f>
        <v>0.09205394324</v>
      </c>
      <c r="AG61" s="65">
        <f>VLOOKUP($O61,'NO USAR1'!$A$4:$L$399,5,False)*$X$19</f>
        <v>-0.05821836781</v>
      </c>
      <c r="AH61" s="65">
        <f>VLOOKUP($O61,'NO USAR1'!$A$4:$L$399,6,False)*$Y$19</f>
        <v>0.3923381197</v>
      </c>
      <c r="AI61" s="65">
        <f>VLOOKUP($O61,'NO USAR1'!$A$4:$L$399,7,False)*$Z$19</f>
        <v>0</v>
      </c>
      <c r="AJ61" s="65">
        <f>VLOOKUP($O61,'NO USAR1'!$A$4:$L$399,8,False)*$AA$19</f>
        <v>0</v>
      </c>
      <c r="AK61" s="70">
        <f>VLOOKUP($O61,'NO USAR1'!$A$4:$L$399,10,False)*$AB$19</f>
        <v>-0.1210750211</v>
      </c>
      <c r="AL61" s="65">
        <f>VLOOKUP($O61,'NO USAR1'!$A$4:$L$399,12,False)*$AC$19</f>
        <v>0</v>
      </c>
      <c r="AM61" s="71">
        <f t="shared" si="2"/>
        <v>-0.1210750211</v>
      </c>
      <c r="AN61" s="71">
        <f t="shared" si="3"/>
        <v>-0.1792933889</v>
      </c>
    </row>
    <row r="62">
      <c r="A62" t="str">
        <f>IF('NO USAR2'!B60="",ROW('NO USAR2'!B60),'NO USAR2'!B60)</f>
        <v>Gordon Hayward</v>
      </c>
      <c r="B62" s="58">
        <f>IF(TYPE($A62)=1,"",('NO USAR2'!$L60-B$1)/B$2)</f>
        <v>0.1858632517</v>
      </c>
      <c r="C62" s="58">
        <f>IF(TYPE($A62)=1,"",('NO USAR2'!$K60-C$1)/C$2)</f>
        <v>0.3865600027</v>
      </c>
      <c r="D62" s="58">
        <f>IF(TYPE($A62)=1,"",('NO USAR2'!$M60-D$1)/D$2)</f>
        <v>-0.5610907016</v>
      </c>
      <c r="E62" s="58">
        <f>IF(TYPE($A62)=1,"",('NO USAR2'!$N60-E$1)/E$2)</f>
        <v>-0.0009192373865</v>
      </c>
      <c r="F62" s="58">
        <f>IF(TYPE($A62)=1,"",('NO USAR2'!$O60-F$1)/F$2)</f>
        <v>-0.01316939143</v>
      </c>
      <c r="G62" s="58">
        <f>IF(TYPE($A62)=1,"",('NO USAR2'!$P60-G$1)/G$2)</f>
        <v>-0.6124445335</v>
      </c>
      <c r="H62" s="58">
        <f>IF(TYPE($A62)=1,"",('NO USAR2'!$H60-H$1)/H$2*I62/$I$1)</f>
        <v>-0.453332574</v>
      </c>
      <c r="I62" s="58">
        <f>IF(TYPE($A62)=1,"",IF('NO USAR2'!H60=0,0,'NO USAR2'!G60/'NO USAR2'!H60))</f>
        <v>14.1</v>
      </c>
      <c r="J62" s="59">
        <f>IF(TYPE($A62)=1,"",('NO USAR2'!$J60-J$1)/J$2*K62/$K$1)</f>
        <v>0.7661451278</v>
      </c>
      <c r="K62" s="60">
        <f>IF(TYPE($A62)=1,"",IF('NO USAR2'!J60=0,0,'NO USAR2'!I60/'NO USAR2'!J60))</f>
        <v>3.5</v>
      </c>
      <c r="L62" s="58">
        <f>IF(TYPE($A62)=1,"",-('NO USAR2'!$Q60-L$1)/L$2)</f>
        <v>0.3540580812</v>
      </c>
      <c r="N62" s="63">
        <v>42.0</v>
      </c>
      <c r="O62" s="68" t="str">
        <f>IF('NO USAR2'!B30="",ROW('NO USAR2'!B30),'NO USAR2'!B30)</f>
        <v>Robert Williams</v>
      </c>
      <c r="P62" s="68">
        <f>'NO USAR2'!E43</f>
        <v>76</v>
      </c>
      <c r="Q62" s="68" t="str">
        <f>IF('NO USAR2'!C30="",ROW('NO USAR2'!N45),'NO USAR2'!C30)</f>
        <v>PF/C</v>
      </c>
      <c r="R62" s="65">
        <f>VLOOKUP($O62,'NO USAR1'!$A$4:$L$399,2,False)+VLOOKUP($O62,'NO USAR1'!$A$4:$L$399,3,False)+VLOOKUP($O62,'NO USAR1'!$A$4:$L$399,4,False)+VLOOKUP($O62,'NO USAR1'!$A$4:$L$399,5,False)+VLOOKUP($O62,'NO USAR1'!$A$4:$L$399,6,False)+VLOOKUP($O62,'NO USAR1'!$A$4:$L$399,7,False)+VLOOKUP($O62,'NO USAR1'!$A$4:$L$399,8,False)+VLOOKUP($O62,'NO USAR1'!$A$4:$L$399,10,False)+VLOOKUP($O62,'NO USAR1'!$A$4:$L$399,12,False)*0</f>
        <v>1.197645179</v>
      </c>
      <c r="S62" s="65">
        <f>VLOOKUP($O62,'NO USAR1'!$A$4:$L$399,2,False)*$U$19+VLOOKUP($O62,'NO USAR1'!$A$4:$L$399,3,False)*$V$19+VLOOKUP($O62,'NO USAR1'!$A$4:$L$399,4,False)*$W$19+VLOOKUP($O62,'NO USAR1'!$A$4:$L$399,5,False)*$X$19+VLOOKUP($O62,'NO USAR1'!$A$4:$L$399,6,False)*$Y$19+VLOOKUP($O62,'NO USAR1'!$A$4:$L$399,7,False)*$Z$19+VLOOKUP($O62,'NO USAR1'!$A$4:$L$399,8,False)*$AA$19+VLOOKUP($O62,'NO USAR1'!$A$4:$L$399,10,False)*$AB$19+VLOOKUP($O62,'NO USAR1'!$A$4:$L$399,12,False)*$AC$19+IF(Projections!$K$3,-AN62, IF(Projections!$J$3,-AM62,0))</f>
        <v>-4.204886767</v>
      </c>
      <c r="T62" s="65">
        <f t="shared" si="1"/>
        <v>-5.402531946</v>
      </c>
      <c r="U62" s="65">
        <f>VLOOKUP($O62,'NO USAR2'!$B$2:$R$397,11,False)</f>
        <v>9.8</v>
      </c>
      <c r="V62" s="69">
        <f>VLOOKUP($O62,'NO USAR2'!$B$2:$R$397,10,False)</f>
        <v>0</v>
      </c>
      <c r="W62" s="65">
        <f>VLOOKUP($O62,'NO USAR2'!$B$2:$R$397,12,False)</f>
        <v>9.3</v>
      </c>
      <c r="X62" s="65">
        <f>VLOOKUP($O62,'NO USAR2'!$B$2:$R$397,13,False)</f>
        <v>1.9</v>
      </c>
      <c r="Y62" s="65">
        <f>VLOOKUP($O62,'NO USAR2'!$B$2:$R$397,14,False)</f>
        <v>0.8</v>
      </c>
      <c r="Z62" s="70">
        <f>VLOOKUP($O62,'NO USAR2'!$B$2:$R$397,15,False)</f>
        <v>2.1</v>
      </c>
      <c r="AA62" s="65">
        <f>100*VLOOKUP($O62,'NO USAR2'!$B$2:$R$397,7,False)</f>
        <v>72.13114754</v>
      </c>
      <c r="AB62" s="65">
        <f>100*VLOOKUP($O62,'NO USAR2'!$B$2:$R$397,9,False)</f>
        <v>73.33333333</v>
      </c>
      <c r="AC62" s="65">
        <f>VLOOKUP($O62,'NO USAR2'!$B$2:$Q$397,16,False)</f>
        <v>1</v>
      </c>
      <c r="AD62" s="65">
        <f>VLOOKUP($O62,'NO USAR1'!$A$4:$L$399,2,False)*$U$19</f>
        <v>-1.9047409</v>
      </c>
      <c r="AE62" s="65">
        <f>VLOOKUP($O62,'NO USAR1'!$A$4:$L$399,3,False)*$V$19</f>
        <v>-1.613351122</v>
      </c>
      <c r="AF62" s="65">
        <f>VLOOKUP($O62,'NO USAR1'!$A$4:$L$399,4,False)*$W$19</f>
        <v>1.316700152</v>
      </c>
      <c r="AG62" s="65">
        <f>VLOOKUP($O62,'NO USAR1'!$A$4:$L$399,5,False)*$X$19</f>
        <v>-1.028396826</v>
      </c>
      <c r="AH62" s="65">
        <f>VLOOKUP($O62,'NO USAR1'!$A$4:$L$399,6,False)*$Y$19</f>
        <v>-0.8340614572</v>
      </c>
      <c r="AI62" s="65">
        <f>VLOOKUP($O62,'NO USAR1'!$A$4:$L$399,7,False)*$Z$19</f>
        <v>0</v>
      </c>
      <c r="AJ62" s="65">
        <f>VLOOKUP($O62,'NO USAR1'!$A$4:$L$399,8,False)*$AA$19</f>
        <v>0</v>
      </c>
      <c r="AK62" s="70">
        <f>VLOOKUP($O62,'NO USAR1'!$A$4:$L$399,10,False)*$AB$19</f>
        <v>-0.1410366132</v>
      </c>
      <c r="AL62" s="65">
        <f>VLOOKUP($O62,'NO USAR1'!$A$4:$L$399,12,False)*$AC$19</f>
        <v>0</v>
      </c>
      <c r="AM62" s="71">
        <f t="shared" si="2"/>
        <v>-1.9047409</v>
      </c>
      <c r="AN62" s="71">
        <f t="shared" si="3"/>
        <v>-3.518092023</v>
      </c>
    </row>
    <row r="63">
      <c r="A63" t="str">
        <f>IF('NO USAR2'!B61="",ROW('NO USAR2'!B61),'NO USAR2'!B61)</f>
        <v>Michael Porter Jr.</v>
      </c>
      <c r="B63" s="58">
        <f>IF(TYPE($A63)=1,"",('NO USAR2'!$L61-B$1)/B$2)</f>
        <v>0.008340017703</v>
      </c>
      <c r="C63" s="58">
        <f>IF(TYPE($A63)=1,"",('NO USAR2'!$K61-C$1)/C$2)</f>
        <v>0.2865644464</v>
      </c>
      <c r="D63" s="58">
        <f>IF(TYPE($A63)=1,"",('NO USAR2'!$M61-D$1)/D$2)</f>
        <v>0.2553401045</v>
      </c>
      <c r="E63" s="58">
        <f>IF(TYPE($A63)=1,"",('NO USAR2'!$N61-E$1)/E$2)</f>
        <v>-0.8683729178</v>
      </c>
      <c r="F63" s="58">
        <f>IF(TYPE($A63)=1,"",('NO USAR2'!$O61-F$1)/F$2)</f>
        <v>-0.01316939143</v>
      </c>
      <c r="G63" s="58">
        <f>IF(TYPE($A63)=1,"",('NO USAR2'!$P61-G$1)/G$2)</f>
        <v>0.005529973215</v>
      </c>
      <c r="H63" s="58">
        <f>IF(TYPE($A63)=1,"",('NO USAR2'!$H61-H$1)/H$2*I63/$I$1)</f>
        <v>-0.1051699706</v>
      </c>
      <c r="I63" s="58">
        <f>IF(TYPE($A63)=1,"",IF('NO USAR2'!H61=0,0,'NO USAR2'!G61/'NO USAR2'!H61))</f>
        <v>14.1</v>
      </c>
      <c r="J63" s="59">
        <f>IF(TYPE($A63)=1,"",('NO USAR2'!$J61-J$1)/J$2*K63/$K$1)</f>
        <v>-0.006691894546</v>
      </c>
      <c r="K63" s="60">
        <f>IF(TYPE($A63)=1,"",IF('NO USAR2'!J61=0,0,'NO USAR2'!I61/'NO USAR2'!J61))</f>
        <v>1.9</v>
      </c>
      <c r="L63" s="58">
        <f>IF(TYPE($A63)=1,"",-('NO USAR2'!$Q61-L$1)/L$2)</f>
        <v>0.6851542367</v>
      </c>
      <c r="N63" s="63">
        <v>43.0</v>
      </c>
      <c r="O63" s="68" t="str">
        <f>IF('NO USAR2'!B43="",ROW('NO USAR2'!B43),'NO USAR2'!B43)</f>
        <v>Desmond Bane</v>
      </c>
      <c r="P63" s="68">
        <f>'NO USAR2'!E44</f>
        <v>72</v>
      </c>
      <c r="Q63" s="68" t="str">
        <f>IF('NO USAR2'!C43="",ROW('NO USAR2'!N58),'NO USAR2'!C43)</f>
        <v>SG</v>
      </c>
      <c r="R63" s="65">
        <f>VLOOKUP($O63,'NO USAR1'!$A$4:$L$399,2,False)+VLOOKUP($O63,'NO USAR1'!$A$4:$L$399,3,False)+VLOOKUP($O63,'NO USAR1'!$A$4:$L$399,4,False)+VLOOKUP($O63,'NO USAR1'!$A$4:$L$399,5,False)+VLOOKUP($O63,'NO USAR1'!$A$4:$L$399,6,False)+VLOOKUP($O63,'NO USAR1'!$A$4:$L$399,7,False)+VLOOKUP($O63,'NO USAR1'!$A$4:$L$399,8,False)+VLOOKUP($O63,'NO USAR1'!$A$4:$L$399,10,False)+VLOOKUP($O63,'NO USAR1'!$A$4:$L$399,12,False)*0</f>
        <v>1.115256968</v>
      </c>
      <c r="S63" s="65">
        <f>VLOOKUP($O63,'NO USAR1'!$A$4:$L$399,2,False)*$U$19+VLOOKUP($O63,'NO USAR1'!$A$4:$L$399,3,False)*$V$19+VLOOKUP($O63,'NO USAR1'!$A$4:$L$399,4,False)*$W$19+VLOOKUP($O63,'NO USAR1'!$A$4:$L$399,5,False)*$X$19+VLOOKUP($O63,'NO USAR1'!$A$4:$L$399,6,False)*$Y$19+VLOOKUP($O63,'NO USAR1'!$A$4:$L$399,7,False)*$Z$19+VLOOKUP($O63,'NO USAR1'!$A$4:$L$399,8,False)*$AA$19+VLOOKUP($O63,'NO USAR1'!$A$4:$L$399,10,False)*$AB$19+VLOOKUP($O63,'NO USAR1'!$A$4:$L$399,12,False)*$AC$19+IF(Projections!$K$3,-AN63, IF(Projections!$J$3,-AM63,0))</f>
        <v>2.069409801</v>
      </c>
      <c r="T63" s="65">
        <f t="shared" si="1"/>
        <v>0.9541528332</v>
      </c>
      <c r="U63" s="65">
        <f>VLOOKUP($O63,'NO USAR2'!$B$2:$R$397,11,False)</f>
        <v>19</v>
      </c>
      <c r="V63" s="69">
        <f>VLOOKUP($O63,'NO USAR2'!$B$2:$R$397,10,False)</f>
        <v>3.1</v>
      </c>
      <c r="W63" s="65">
        <f>VLOOKUP($O63,'NO USAR2'!$B$2:$R$397,12,False)</f>
        <v>4.5</v>
      </c>
      <c r="X63" s="65">
        <f>VLOOKUP($O63,'NO USAR2'!$B$2:$R$397,13,False)</f>
        <v>2.8</v>
      </c>
      <c r="Y63" s="65">
        <f>VLOOKUP($O63,'NO USAR2'!$B$2:$R$397,14,False)</f>
        <v>1.2</v>
      </c>
      <c r="Z63" s="70">
        <f>VLOOKUP($O63,'NO USAR2'!$B$2:$R$397,15,False)</f>
        <v>0.4</v>
      </c>
      <c r="AA63" s="65">
        <f>100*VLOOKUP($O63,'NO USAR2'!$B$2:$R$397,7,False)</f>
        <v>46.05263158</v>
      </c>
      <c r="AB63" s="65">
        <f>100*VLOOKUP($O63,'NO USAR2'!$B$2:$R$397,9,False)</f>
        <v>90.47619048</v>
      </c>
      <c r="AC63" s="65">
        <f>VLOOKUP($O63,'NO USAR2'!$B$2:$Q$397,16,False)</f>
        <v>1.6</v>
      </c>
      <c r="AD63" s="65">
        <f>VLOOKUP($O63,'NO USAR1'!$A$4:$L$399,2,False)*$U$19</f>
        <v>0.5450797285</v>
      </c>
      <c r="AE63" s="65">
        <f>VLOOKUP($O63,'NO USAR1'!$A$4:$L$399,3,False)*$V$19</f>
        <v>1.486511122</v>
      </c>
      <c r="AF63" s="65">
        <f>VLOOKUP($O63,'NO USAR1'!$A$4:$L$399,4,False)*$W$19</f>
        <v>-0.6427337822</v>
      </c>
      <c r="AG63" s="65">
        <f>VLOOKUP($O63,'NO USAR1'!$A$4:$L$399,5,False)*$X$19</f>
        <v>-0.5147729365</v>
      </c>
      <c r="AH63" s="65">
        <f>VLOOKUP($O63,'NO USAR1'!$A$4:$L$399,6,False)*$Y$19</f>
        <v>0.8011379786</v>
      </c>
      <c r="AI63" s="65">
        <f>VLOOKUP($O63,'NO USAR1'!$A$4:$L$399,7,False)*$Z$19</f>
        <v>0</v>
      </c>
      <c r="AJ63" s="65">
        <f>VLOOKUP($O63,'NO USAR1'!$A$4:$L$399,8,False)*$AA$19</f>
        <v>0</v>
      </c>
      <c r="AK63" s="70">
        <f>VLOOKUP($O63,'NO USAR1'!$A$4:$L$399,10,False)*$AB$19</f>
        <v>0.394187691</v>
      </c>
      <c r="AL63" s="65">
        <f>VLOOKUP($O63,'NO USAR1'!$A$4:$L$399,12,False)*$AC$19</f>
        <v>0</v>
      </c>
      <c r="AM63" s="71">
        <f t="shared" si="2"/>
        <v>-0.6427337822</v>
      </c>
      <c r="AN63" s="71">
        <f t="shared" si="3"/>
        <v>-1.157506719</v>
      </c>
    </row>
    <row r="64">
      <c r="A64" t="str">
        <f>IF('NO USAR2'!B62="",ROW('NO USAR2'!B62),'NO USAR2'!B62)</f>
        <v>Brandon Clarke</v>
      </c>
      <c r="B64" s="58">
        <f>IF(TYPE($A64)=1,"",('NO USAR2'!$L62-B$1)/B$2)</f>
        <v>-0.5419820076</v>
      </c>
      <c r="C64" s="58">
        <f>IF(TYPE($A64)=1,"",('NO USAR2'!$K62-C$1)/C$2)</f>
        <v>-1.513355566</v>
      </c>
      <c r="D64" s="58">
        <f>IF(TYPE($A64)=1,"",('NO USAR2'!$M62-D$1)/D$2)</f>
        <v>0.3778047254</v>
      </c>
      <c r="E64" s="58">
        <f>IF(TYPE($A64)=1,"",('NO USAR2'!$N62-E$1)/E$2)</f>
        <v>-0.8683729178</v>
      </c>
      <c r="F64" s="58">
        <f>IF(TYPE($A64)=1,"",('NO USAR2'!$O62-F$1)/F$2)</f>
        <v>-0.6672491657</v>
      </c>
      <c r="G64" s="58">
        <f>IF(TYPE($A64)=1,"",('NO USAR2'!$P62-G$1)/G$2)</f>
        <v>1.035487484</v>
      </c>
      <c r="H64" s="58">
        <f>IF(TYPE($A64)=1,"",('NO USAR2'!$H62-H$1)/H$2*I64/$I$1)</f>
        <v>1.461869104</v>
      </c>
      <c r="I64" s="58">
        <f>IF(TYPE($A64)=1,"",IF('NO USAR2'!H62=0,0,'NO USAR2'!G62/'NO USAR2'!H62))</f>
        <v>9.7</v>
      </c>
      <c r="J64" s="59">
        <f>IF(TYPE($A64)=1,"",('NO USAR2'!$J62-J$1)/J$2*K64/$K$1)</f>
        <v>-1.16821609</v>
      </c>
      <c r="K64" s="60">
        <f>IF(TYPE($A64)=1,"",IF('NO USAR2'!J62=0,0,'NO USAR2'!I62/'NO USAR2'!J62))</f>
        <v>2.6</v>
      </c>
      <c r="L64" s="58">
        <f>IF(TYPE($A64)=1,"",-('NO USAR2'!$Q62-L$1)/L$2)</f>
        <v>1.457711933</v>
      </c>
      <c r="N64" s="2">
        <v>44.0</v>
      </c>
      <c r="O64" s="68" t="str">
        <f>IF('NO USAR2'!B51="",ROW('NO USAR2'!B51),'NO USAR2'!B51)</f>
        <v>Kyle Lowry</v>
      </c>
      <c r="P64" s="68">
        <f>'NO USAR2'!E45</f>
        <v>72</v>
      </c>
      <c r="Q64" s="68" t="str">
        <f>IF('NO USAR2'!C51="",ROW('NO USAR2'!N66),'NO USAR2'!C51)</f>
        <v>PG</v>
      </c>
      <c r="R64" s="65">
        <f>VLOOKUP($O64,'NO USAR1'!$A$4:$L$399,2,False)+VLOOKUP($O64,'NO USAR1'!$A$4:$L$399,3,False)+VLOOKUP($O64,'NO USAR1'!$A$4:$L$399,4,False)+VLOOKUP($O64,'NO USAR1'!$A$4:$L$399,5,False)+VLOOKUP($O64,'NO USAR1'!$A$4:$L$399,6,False)+VLOOKUP($O64,'NO USAR1'!$A$4:$L$399,7,False)+VLOOKUP($O64,'NO USAR1'!$A$4:$L$399,8,False)+VLOOKUP($O64,'NO USAR1'!$A$4:$L$399,10,False)+VLOOKUP($O64,'NO USAR1'!$A$4:$L$399,12,False)*0</f>
        <v>1.016174475</v>
      </c>
      <c r="S64" s="65">
        <f>VLOOKUP($O64,'NO USAR1'!$A$4:$L$399,2,False)*$U$19+VLOOKUP($O64,'NO USAR1'!$A$4:$L$399,3,False)*$V$19+VLOOKUP($O64,'NO USAR1'!$A$4:$L$399,4,False)*$W$19+VLOOKUP($O64,'NO USAR1'!$A$4:$L$399,5,False)*$X$19+VLOOKUP($O64,'NO USAR1'!$A$4:$L$399,6,False)*$Y$19+VLOOKUP($O64,'NO USAR1'!$A$4:$L$399,7,False)*$Z$19+VLOOKUP($O64,'NO USAR1'!$A$4:$L$399,8,False)*$AA$19+VLOOKUP($O64,'NO USAR1'!$A$4:$L$399,10,False)*$AB$19+VLOOKUP($O64,'NO USAR1'!$A$4:$L$399,12,False)*$AC$19+IF(Projections!$K$3,-AN64, IF(Projections!$J$3,-AM64,0))</f>
        <v>2.39787869</v>
      </c>
      <c r="T64" s="65">
        <f t="shared" si="1"/>
        <v>1.381704215</v>
      </c>
      <c r="U64" s="65">
        <f>VLOOKUP($O64,'NO USAR2'!$B$2:$R$397,11,False)</f>
        <v>14.8</v>
      </c>
      <c r="V64" s="69">
        <f>VLOOKUP($O64,'NO USAR2'!$B$2:$R$397,10,False)</f>
        <v>2.4</v>
      </c>
      <c r="W64" s="65">
        <f>VLOOKUP($O64,'NO USAR2'!$B$2:$R$397,12,False)</f>
        <v>4.6</v>
      </c>
      <c r="X64" s="65">
        <f>VLOOKUP($O64,'NO USAR2'!$B$2:$R$397,13,False)</f>
        <v>7.3</v>
      </c>
      <c r="Y64" s="65">
        <f>VLOOKUP($O64,'NO USAR2'!$B$2:$R$397,14,False)</f>
        <v>1.1</v>
      </c>
      <c r="Z64" s="70">
        <f>VLOOKUP($O64,'NO USAR2'!$B$2:$R$397,15,False)</f>
        <v>0.3</v>
      </c>
      <c r="AA64" s="65">
        <f>100*VLOOKUP($O64,'NO USAR2'!$B$2:$R$397,7,False)</f>
        <v>44.24778761</v>
      </c>
      <c r="AB64" s="65">
        <f>100*VLOOKUP($O64,'NO USAR2'!$B$2:$R$397,9,False)</f>
        <v>86.20689655</v>
      </c>
      <c r="AC64" s="65">
        <f>VLOOKUP($O64,'NO USAR2'!$B$2:$Q$397,16,False)</f>
        <v>2.8</v>
      </c>
      <c r="AD64" s="65">
        <f>VLOOKUP($O64,'NO USAR1'!$A$4:$L$399,2,False)*$U$19</f>
        <v>-0.5733166455</v>
      </c>
      <c r="AE64" s="65">
        <f>VLOOKUP($O64,'NO USAR1'!$A$4:$L$399,3,False)*$V$19</f>
        <v>0.7865422277</v>
      </c>
      <c r="AF64" s="65">
        <f>VLOOKUP($O64,'NO USAR1'!$A$4:$L$399,4,False)*$W$19</f>
        <v>-0.6019122419</v>
      </c>
      <c r="AG64" s="65">
        <f>VLOOKUP($O64,'NO USAR1'!$A$4:$L$399,5,False)*$X$19</f>
        <v>2.053346512</v>
      </c>
      <c r="AH64" s="65">
        <f>VLOOKUP($O64,'NO USAR1'!$A$4:$L$399,6,False)*$Y$19</f>
        <v>0.3923381197</v>
      </c>
      <c r="AI64" s="65">
        <f>VLOOKUP($O64,'NO USAR1'!$A$4:$L$399,7,False)*$Z$19</f>
        <v>0</v>
      </c>
      <c r="AJ64" s="65">
        <f>VLOOKUP($O64,'NO USAR1'!$A$4:$L$399,8,False)*$AA$19</f>
        <v>0</v>
      </c>
      <c r="AK64" s="70">
        <f>VLOOKUP($O64,'NO USAR1'!$A$4:$L$399,10,False)*$AB$19</f>
        <v>0.3408807176</v>
      </c>
      <c r="AL64" s="65">
        <f>VLOOKUP($O64,'NO USAR1'!$A$4:$L$399,12,False)*$AC$19</f>
        <v>0</v>
      </c>
      <c r="AM64" s="71">
        <f t="shared" si="2"/>
        <v>-0.6019122419</v>
      </c>
      <c r="AN64" s="71">
        <f t="shared" si="3"/>
        <v>-1.175228887</v>
      </c>
    </row>
    <row r="65">
      <c r="A65" t="str">
        <f>IF('NO USAR2'!B63="",ROW('NO USAR2'!B63),'NO USAR2'!B63)</f>
        <v>PJ Washington</v>
      </c>
      <c r="B65" s="58">
        <f>IF(TYPE($A65)=1,"",('NO USAR2'!$L63-B$1)/B$2)</f>
        <v>-0.6840005948</v>
      </c>
      <c r="C65" s="58">
        <f>IF(TYPE($A65)=1,"",('NO USAR2'!$K63-C$1)/C$2)</f>
        <v>0.2865644464</v>
      </c>
      <c r="D65" s="58">
        <f>IF(TYPE($A65)=1,"",('NO USAR2'!$M63-D$1)/D$2)</f>
        <v>0.05123240293</v>
      </c>
      <c r="E65" s="58">
        <f>IF(TYPE($A65)=1,"",('NO USAR2'!$N63-E$1)/E$2)</f>
        <v>-0.4118183492</v>
      </c>
      <c r="F65" s="58">
        <f>IF(TYPE($A65)=1,"",('NO USAR2'!$O63-F$1)/F$2)</f>
        <v>0.3138704957</v>
      </c>
      <c r="G65" s="58">
        <f>IF(TYPE($A65)=1,"",('NO USAR2'!$P63-G$1)/G$2)</f>
        <v>0.8294959822</v>
      </c>
      <c r="H65" s="58">
        <f>IF(TYPE($A65)=1,"",('NO USAR2'!$H63-H$1)/H$2*I65/$I$1)</f>
        <v>-0.2658257894</v>
      </c>
      <c r="I65" s="58">
        <f>IF(TYPE($A65)=1,"",IF('NO USAR2'!H63=0,0,'NO USAR2'!G63/'NO USAR2'!H63))</f>
        <v>10.7</v>
      </c>
      <c r="J65" s="59">
        <f>IF(TYPE($A65)=1,"",('NO USAR2'!$J63-J$1)/J$2*K65/$K$1)</f>
        <v>-0.4730708657</v>
      </c>
      <c r="K65" s="60">
        <f>IF(TYPE($A65)=1,"",IF('NO USAR2'!J63=0,0,'NO USAR2'!I63/'NO USAR2'!J63))</f>
        <v>1.7</v>
      </c>
      <c r="L65" s="58">
        <f>IF(TYPE($A65)=1,"",-('NO USAR2'!$Q63-L$1)/L$2)</f>
        <v>0.4644234664</v>
      </c>
      <c r="N65" s="63">
        <v>45.0</v>
      </c>
      <c r="O65" s="68" t="str">
        <f>IF('NO USAR2'!B40="",ROW('NO USAR2'!B40),'NO USAR2'!B40)</f>
        <v>Zach LaVine</v>
      </c>
      <c r="P65" s="68">
        <f>'NO USAR2'!E46</f>
        <v>70</v>
      </c>
      <c r="Q65" s="68" t="str">
        <f>IF('NO USAR2'!C40="",ROW('NO USAR2'!N55),'NO USAR2'!C40)</f>
        <v>SG/SF</v>
      </c>
      <c r="R65" s="65">
        <f>VLOOKUP($O65,'NO USAR1'!$A$4:$L$399,2,False)+VLOOKUP($O65,'NO USAR1'!$A$4:$L$399,3,False)+VLOOKUP($O65,'NO USAR1'!$A$4:$L$399,4,False)+VLOOKUP($O65,'NO USAR1'!$A$4:$L$399,5,False)+VLOOKUP($O65,'NO USAR1'!$A$4:$L$399,6,False)+VLOOKUP($O65,'NO USAR1'!$A$4:$L$399,7,False)+VLOOKUP($O65,'NO USAR1'!$A$4:$L$399,8,False)+VLOOKUP($O65,'NO USAR1'!$A$4:$L$399,10,False)+VLOOKUP($O65,'NO USAR1'!$A$4:$L$399,12,False)*0</f>
        <v>1.003263795</v>
      </c>
      <c r="S65" s="65">
        <f>VLOOKUP($O65,'NO USAR1'!$A$4:$L$399,2,False)*$U$19+VLOOKUP($O65,'NO USAR1'!$A$4:$L$399,3,False)*$V$19+VLOOKUP($O65,'NO USAR1'!$A$4:$L$399,4,False)*$W$19+VLOOKUP($O65,'NO USAR1'!$A$4:$L$399,5,False)*$X$19+VLOOKUP($O65,'NO USAR1'!$A$4:$L$399,6,False)*$Y$19+VLOOKUP($O65,'NO USAR1'!$A$4:$L$399,7,False)*$Z$19+VLOOKUP($O65,'NO USAR1'!$A$4:$L$399,8,False)*$AA$19+VLOOKUP($O65,'NO USAR1'!$A$4:$L$399,10,False)*$AB$19+VLOOKUP($O65,'NO USAR1'!$A$4:$L$399,12,False)*$AC$19+IF(Projections!$K$3,-AN65, IF(Projections!$J$3,-AM65,0))</f>
        <v>1.873203401</v>
      </c>
      <c r="T65" s="65">
        <f t="shared" si="1"/>
        <v>0.8699396065</v>
      </c>
      <c r="U65" s="65">
        <f>VLOOKUP($O65,'NO USAR2'!$B$2:$R$397,11,False)</f>
        <v>24.6</v>
      </c>
      <c r="V65" s="69">
        <f>VLOOKUP($O65,'NO USAR2'!$B$2:$R$397,10,False)</f>
        <v>2.8</v>
      </c>
      <c r="W65" s="65">
        <f>VLOOKUP($O65,'NO USAR2'!$B$2:$R$397,12,False)</f>
        <v>4.6</v>
      </c>
      <c r="X65" s="65">
        <f>VLOOKUP($O65,'NO USAR2'!$B$2:$R$397,13,False)</f>
        <v>4.5</v>
      </c>
      <c r="Y65" s="65">
        <f>VLOOKUP($O65,'NO USAR2'!$B$2:$R$397,14,False)</f>
        <v>0.6</v>
      </c>
      <c r="Z65" s="70">
        <f>VLOOKUP($O65,'NO USAR2'!$B$2:$R$397,15,False)</f>
        <v>0.3</v>
      </c>
      <c r="AA65" s="65">
        <f>100*VLOOKUP($O65,'NO USAR2'!$B$2:$R$397,7,False)</f>
        <v>48.57142857</v>
      </c>
      <c r="AB65" s="65">
        <f>100*VLOOKUP($O65,'NO USAR2'!$B$2:$R$397,9,False)</f>
        <v>83.92857143</v>
      </c>
      <c r="AC65" s="65">
        <f>VLOOKUP($O65,'NO USAR2'!$B$2:$Q$397,16,False)</f>
        <v>2.6</v>
      </c>
      <c r="AD65" s="65">
        <f>VLOOKUP($O65,'NO USAR1'!$A$4:$L$399,2,False)*$U$19</f>
        <v>2.036274894</v>
      </c>
      <c r="AE65" s="65">
        <f>VLOOKUP($O65,'NO USAR1'!$A$4:$L$399,3,False)*$V$19</f>
        <v>1.186524453</v>
      </c>
      <c r="AF65" s="65">
        <f>VLOOKUP($O65,'NO USAR1'!$A$4:$L$399,4,False)*$W$19</f>
        <v>-0.6019122419</v>
      </c>
      <c r="AG65" s="65">
        <f>VLOOKUP($O65,'NO USAR1'!$A$4:$L$399,5,False)*$X$19</f>
        <v>0.4554055219</v>
      </c>
      <c r="AH65" s="65">
        <f>VLOOKUP($O65,'NO USAR1'!$A$4:$L$399,6,False)*$Y$19</f>
        <v>-1.651661175</v>
      </c>
      <c r="AI65" s="65">
        <f>VLOOKUP($O65,'NO USAR1'!$A$4:$L$399,7,False)*$Z$19</f>
        <v>0</v>
      </c>
      <c r="AJ65" s="65">
        <f>VLOOKUP($O65,'NO USAR1'!$A$4:$L$399,8,False)*$AA$19</f>
        <v>0</v>
      </c>
      <c r="AK65" s="70">
        <f>VLOOKUP($O65,'NO USAR1'!$A$4:$L$399,10,False)*$AB$19</f>
        <v>0.4485719496</v>
      </c>
      <c r="AL65" s="65">
        <f>VLOOKUP($O65,'NO USAR1'!$A$4:$L$399,12,False)*$AC$19</f>
        <v>0</v>
      </c>
      <c r="AM65" s="71">
        <f t="shared" si="2"/>
        <v>-1.651661175</v>
      </c>
      <c r="AN65" s="71">
        <f t="shared" si="3"/>
        <v>-2.253573417</v>
      </c>
    </row>
    <row r="66">
      <c r="A66" t="str">
        <f>IF('NO USAR2'!B64="",ROW('NO USAR2'!B64),'NO USAR2'!B64)</f>
        <v>Jamal Murray</v>
      </c>
      <c r="B66" s="58">
        <f>IF(TYPE($A66)=1,"",('NO USAR2'!$L64-B$1)/B$2)</f>
        <v>0.2391202219</v>
      </c>
      <c r="C66" s="58">
        <f>IF(TYPE($A66)=1,"",('NO USAR2'!$K64-C$1)/C$2)</f>
        <v>0.7865422277</v>
      </c>
      <c r="D66" s="58">
        <f>IF(TYPE($A66)=1,"",('NO USAR2'!$M64-D$1)/D$2)</f>
        <v>-1.010127645</v>
      </c>
      <c r="E66" s="58">
        <f>IF(TYPE($A66)=1,"",('NO USAR2'!$N64-E$1)/E$2)</f>
        <v>0.2273580469</v>
      </c>
      <c r="F66" s="58">
        <f>IF(TYPE($A66)=1,"",('NO USAR2'!$O64-F$1)/F$2)</f>
        <v>-0.01316939143</v>
      </c>
      <c r="G66" s="58">
        <f>IF(TYPE($A66)=1,"",('NO USAR2'!$P64-G$1)/G$2)</f>
        <v>-0.8184360358</v>
      </c>
      <c r="H66" s="58">
        <f>IF(TYPE($A66)=1,"",('NO USAR2'!$H64-H$1)/H$2*I66/$I$1)</f>
        <v>-0.4454617003</v>
      </c>
      <c r="I66" s="58">
        <f>IF(TYPE($A66)=1,"",IF('NO USAR2'!H64=0,0,'NO USAR2'!G64/'NO USAR2'!H64))</f>
        <v>14.7</v>
      </c>
      <c r="J66" s="59">
        <f>IF(TYPE($A66)=1,"",('NO USAR2'!$J64-J$1)/J$2*K66/$K$1)</f>
        <v>0.6129161022</v>
      </c>
      <c r="K66" s="60">
        <f>IF(TYPE($A66)=1,"",IF('NO USAR2'!J64=0,0,'NO USAR2'!I64/'NO USAR2'!J64))</f>
        <v>2.8</v>
      </c>
      <c r="L66" s="58">
        <f>IF(TYPE($A66)=1,"",-('NO USAR2'!$Q64-L$1)/L$2)</f>
        <v>0.1333273109</v>
      </c>
      <c r="N66" s="63">
        <v>46.0</v>
      </c>
      <c r="O66" s="68" t="str">
        <f>IF('NO USAR2'!B35="",ROW('NO USAR2'!B35),'NO USAR2'!B35)</f>
        <v>Rudy Gobert</v>
      </c>
      <c r="P66" s="68">
        <f>'NO USAR2'!E47</f>
        <v>44</v>
      </c>
      <c r="Q66" s="68" t="str">
        <f>IF('NO USAR2'!C35="",ROW('NO USAR2'!N50),'NO USAR2'!C35)</f>
        <v>C</v>
      </c>
      <c r="R66" s="65">
        <f>VLOOKUP($O66,'NO USAR1'!$A$4:$L$399,2,False)+VLOOKUP($O66,'NO USAR1'!$A$4:$L$399,3,False)+VLOOKUP($O66,'NO USAR1'!$A$4:$L$399,4,False)+VLOOKUP($O66,'NO USAR1'!$A$4:$L$399,5,False)+VLOOKUP($O66,'NO USAR1'!$A$4:$L$399,6,False)+VLOOKUP($O66,'NO USAR1'!$A$4:$L$399,7,False)+VLOOKUP($O66,'NO USAR1'!$A$4:$L$399,8,False)+VLOOKUP($O66,'NO USAR1'!$A$4:$L$399,10,False)+VLOOKUP($O66,'NO USAR1'!$A$4:$L$399,12,False)*0</f>
        <v>0.9045867889</v>
      </c>
      <c r="S66" s="65">
        <f>VLOOKUP($O66,'NO USAR1'!$A$4:$L$399,2,False)*$U$19+VLOOKUP($O66,'NO USAR1'!$A$4:$L$399,3,False)*$V$19+VLOOKUP($O66,'NO USAR1'!$A$4:$L$399,4,False)*$W$19+VLOOKUP($O66,'NO USAR1'!$A$4:$L$399,5,False)*$X$19+VLOOKUP($O66,'NO USAR1'!$A$4:$L$399,6,False)*$Y$19+VLOOKUP($O66,'NO USAR1'!$A$4:$L$399,7,False)*$Z$19+VLOOKUP($O66,'NO USAR1'!$A$4:$L$399,8,False)*$AA$19+VLOOKUP($O66,'NO USAR1'!$A$4:$L$399,10,False)*$AB$19+VLOOKUP($O66,'NO USAR1'!$A$4:$L$399,12,False)*$AC$19+IF(Projections!$K$3,-AN66, IF(Projections!$J$3,-AM66,0))</f>
        <v>-3.553362105</v>
      </c>
      <c r="T66" s="65">
        <f t="shared" si="1"/>
        <v>-4.457948894</v>
      </c>
      <c r="U66" s="65">
        <f>VLOOKUP($O66,'NO USAR2'!$B$2:$R$397,11,False)</f>
        <v>14.8</v>
      </c>
      <c r="V66" s="69">
        <f>VLOOKUP($O66,'NO USAR2'!$B$2:$R$397,10,False)</f>
        <v>0</v>
      </c>
      <c r="W66" s="65">
        <f>VLOOKUP($O66,'NO USAR2'!$B$2:$R$397,12,False)</f>
        <v>13</v>
      </c>
      <c r="X66" s="65">
        <f>VLOOKUP($O66,'NO USAR2'!$B$2:$R$397,13,False)</f>
        <v>1.1</v>
      </c>
      <c r="Y66" s="65">
        <f>VLOOKUP($O66,'NO USAR2'!$B$2:$R$397,14,False)</f>
        <v>0.6</v>
      </c>
      <c r="Z66" s="70">
        <f>VLOOKUP($O66,'NO USAR2'!$B$2:$R$397,15,False)</f>
        <v>2</v>
      </c>
      <c r="AA66" s="65">
        <f>100*VLOOKUP($O66,'NO USAR2'!$B$2:$R$397,7,False)</f>
        <v>72</v>
      </c>
      <c r="AB66" s="65">
        <f>100*VLOOKUP($O66,'NO USAR2'!$B$2:$R$397,9,False)</f>
        <v>68.33333333</v>
      </c>
      <c r="AC66" s="65">
        <f>VLOOKUP($O66,'NO USAR2'!$B$2:$Q$397,16,False)</f>
        <v>1.8</v>
      </c>
      <c r="AD66" s="65">
        <f>VLOOKUP($O66,'NO USAR1'!$A$4:$L$399,2,False)*$U$19</f>
        <v>-0.5733166455</v>
      </c>
      <c r="AE66" s="65">
        <f>VLOOKUP($O66,'NO USAR1'!$A$4:$L$399,3,False)*$V$19</f>
        <v>-1.613351122</v>
      </c>
      <c r="AF66" s="65">
        <f>VLOOKUP($O66,'NO USAR1'!$A$4:$L$399,4,False)*$W$19</f>
        <v>2.827097144</v>
      </c>
      <c r="AG66" s="65">
        <f>VLOOKUP($O66,'NO USAR1'!$A$4:$L$399,5,False)*$X$19</f>
        <v>-1.484951395</v>
      </c>
      <c r="AH66" s="65">
        <f>VLOOKUP($O66,'NO USAR1'!$A$4:$L$399,6,False)*$Y$19</f>
        <v>-1.651661175</v>
      </c>
      <c r="AI66" s="65">
        <f>VLOOKUP($O66,'NO USAR1'!$A$4:$L$399,7,False)*$Z$19</f>
        <v>0</v>
      </c>
      <c r="AJ66" s="65">
        <f>VLOOKUP($O66,'NO USAR1'!$A$4:$L$399,8,False)*$AA$19</f>
        <v>0</v>
      </c>
      <c r="AK66" s="70">
        <f>VLOOKUP($O66,'NO USAR1'!$A$4:$L$399,10,False)*$AB$19</f>
        <v>-1.057178911</v>
      </c>
      <c r="AL66" s="65">
        <f>VLOOKUP($O66,'NO USAR1'!$A$4:$L$399,12,False)*$AC$19</f>
        <v>0</v>
      </c>
      <c r="AM66" s="71">
        <f t="shared" si="2"/>
        <v>-1.651661175</v>
      </c>
      <c r="AN66" s="71">
        <f t="shared" si="3"/>
        <v>-3.265012297</v>
      </c>
    </row>
    <row r="67">
      <c r="A67" t="str">
        <f>IF('NO USAR2'!B65="",ROW('NO USAR2'!B65),'NO USAR2'!B65)</f>
        <v>Julius Randle</v>
      </c>
      <c r="B67" s="58">
        <f>IF(TYPE($A67)=1,"",('NO USAR2'!$L65-B$1)/B$2)</f>
        <v>0.5764143664</v>
      </c>
      <c r="C67" s="58">
        <f>IF(TYPE($A67)=1,"",('NO USAR2'!$K65-C$1)/C$2)</f>
        <v>0.08657333394</v>
      </c>
      <c r="D67" s="58">
        <f>IF(TYPE($A67)=1,"",('NO USAR2'!$M65-D$1)/D$2)</f>
        <v>1.398343233</v>
      </c>
      <c r="E67" s="58">
        <f>IF(TYPE($A67)=1,"",('NO USAR2'!$N65-E$1)/E$2)</f>
        <v>0.3186689607</v>
      </c>
      <c r="F67" s="58">
        <f>IF(TYPE($A67)=1,"",('NO USAR2'!$O65-F$1)/F$2)</f>
        <v>-0.9942890529</v>
      </c>
      <c r="G67" s="58">
        <f>IF(TYPE($A67)=1,"",('NO USAR2'!$P65-G$1)/G$2)</f>
        <v>-0.4064530313</v>
      </c>
      <c r="H67" s="58">
        <f>IF(TYPE($A67)=1,"",('NO USAR2'!$H65-H$1)/H$2*I67/$I$1)</f>
        <v>-0.7752589316</v>
      </c>
      <c r="I67" s="58">
        <f>IF(TYPE($A67)=1,"",IF('NO USAR2'!H65=0,0,'NO USAR2'!G65/'NO USAR2'!H65))</f>
        <v>16.1</v>
      </c>
      <c r="J67" s="59">
        <f>IF(TYPE($A67)=1,"",('NO USAR2'!$J65-J$1)/J$2*K67/$K$1)</f>
        <v>-0.2954570155</v>
      </c>
      <c r="K67" s="60">
        <f>IF(TYPE($A67)=1,"",IF('NO USAR2'!J65=0,0,'NO USAR2'!I65/'NO USAR2'!J65))</f>
        <v>5.3</v>
      </c>
      <c r="L67" s="58">
        <f>IF(TYPE($A67)=1,"",-('NO USAR2'!$Q65-L$1)/L$2)</f>
        <v>-1.411788081</v>
      </c>
      <c r="N67" s="2">
        <v>47.0</v>
      </c>
      <c r="O67" s="68" t="str">
        <f>IF('NO USAR2'!B47="",ROW('NO USAR2'!B47),'NO USAR2'!B47)</f>
        <v>Jaren Jackson Jr.</v>
      </c>
      <c r="P67" s="68">
        <f>'NO USAR2'!E48</f>
        <v>71</v>
      </c>
      <c r="Q67" s="68" t="str">
        <f>IF('NO USAR2'!C47="",ROW('NO USAR2'!N62),'NO USAR2'!C47)</f>
        <v>PF/C</v>
      </c>
      <c r="R67" s="65">
        <f>VLOOKUP($O67,'NO USAR1'!$A$4:$L$399,2,False)+VLOOKUP($O67,'NO USAR1'!$A$4:$L$399,3,False)+VLOOKUP($O67,'NO USAR1'!$A$4:$L$399,4,False)+VLOOKUP($O67,'NO USAR1'!$A$4:$L$399,5,False)+VLOOKUP($O67,'NO USAR1'!$A$4:$L$399,6,False)+VLOOKUP($O67,'NO USAR1'!$A$4:$L$399,7,False)+VLOOKUP($O67,'NO USAR1'!$A$4:$L$399,8,False)+VLOOKUP($O67,'NO USAR1'!$A$4:$L$399,10,False)+VLOOKUP($O67,'NO USAR1'!$A$4:$L$399,12,False)*0</f>
        <v>0.8356721337</v>
      </c>
      <c r="S67" s="65">
        <f>VLOOKUP($O67,'NO USAR1'!$A$4:$L$399,2,False)*$U$19+VLOOKUP($O67,'NO USAR1'!$A$4:$L$399,3,False)*$V$19+VLOOKUP($O67,'NO USAR1'!$A$4:$L$399,4,False)*$W$19+VLOOKUP($O67,'NO USAR1'!$A$4:$L$399,5,False)*$X$19+VLOOKUP($O67,'NO USAR1'!$A$4:$L$399,6,False)*$Y$19+VLOOKUP($O67,'NO USAR1'!$A$4:$L$399,7,False)*$Z$19+VLOOKUP($O67,'NO USAR1'!$A$4:$L$399,8,False)*$AA$19+VLOOKUP($O67,'NO USAR1'!$A$4:$L$399,10,False)*$AB$19+VLOOKUP($O67,'NO USAR1'!$A$4:$L$399,12,False)*$AC$19+IF(Projections!$K$3,-AN67, IF(Projections!$J$3,-AM67,0))</f>
        <v>-1.968912698</v>
      </c>
      <c r="T67" s="65">
        <f t="shared" si="1"/>
        <v>-2.804584832</v>
      </c>
      <c r="U67" s="65">
        <f>VLOOKUP($O67,'NO USAR2'!$B$2:$R$397,11,False)</f>
        <v>16.3</v>
      </c>
      <c r="V67" s="69">
        <f>VLOOKUP($O67,'NO USAR2'!$B$2:$R$397,10,False)</f>
        <v>1.6</v>
      </c>
      <c r="W67" s="65">
        <f>VLOOKUP($O67,'NO USAR2'!$B$2:$R$397,12,False)</f>
        <v>5.9</v>
      </c>
      <c r="X67" s="65">
        <f>VLOOKUP($O67,'NO USAR2'!$B$2:$R$397,13,False)</f>
        <v>1.1</v>
      </c>
      <c r="Y67" s="65">
        <f>VLOOKUP($O67,'NO USAR2'!$B$2:$R$397,14,False)</f>
        <v>0.9</v>
      </c>
      <c r="Z67" s="70">
        <f>VLOOKUP($O67,'NO USAR2'!$B$2:$R$397,15,False)</f>
        <v>2.2</v>
      </c>
      <c r="AA67" s="65">
        <f>100*VLOOKUP($O67,'NO USAR2'!$B$2:$R$397,7,False)</f>
        <v>42.7480916</v>
      </c>
      <c r="AB67" s="65">
        <f>100*VLOOKUP($O67,'NO USAR2'!$B$2:$R$397,9,False)</f>
        <v>81.81818182</v>
      </c>
      <c r="AC67" s="65">
        <f>VLOOKUP($O67,'NO USAR2'!$B$2:$Q$397,16,False)</f>
        <v>1.7</v>
      </c>
      <c r="AD67" s="65">
        <f>VLOOKUP($O67,'NO USAR1'!$A$4:$L$399,2,False)*$U$19</f>
        <v>-0.1738893691</v>
      </c>
      <c r="AE67" s="65">
        <f>VLOOKUP($O67,'NO USAR1'!$A$4:$L$399,3,False)*$V$19</f>
        <v>-0.01342222232</v>
      </c>
      <c r="AF67" s="65">
        <f>VLOOKUP($O67,'NO USAR1'!$A$4:$L$399,4,False)*$W$19</f>
        <v>-0.07123221798</v>
      </c>
      <c r="AG67" s="65">
        <f>VLOOKUP($O67,'NO USAR1'!$A$4:$L$399,5,False)*$X$19</f>
        <v>-1.484951395</v>
      </c>
      <c r="AH67" s="65">
        <f>VLOOKUP($O67,'NO USAR1'!$A$4:$L$399,6,False)*$Y$19</f>
        <v>-0.4252615982</v>
      </c>
      <c r="AI67" s="65">
        <f>VLOOKUP($O67,'NO USAR1'!$A$4:$L$399,7,False)*$Z$19</f>
        <v>0</v>
      </c>
      <c r="AJ67" s="65">
        <f>VLOOKUP($O67,'NO USAR1'!$A$4:$L$399,8,False)*$AA$19</f>
        <v>0</v>
      </c>
      <c r="AK67" s="70">
        <f>VLOOKUP($O67,'NO USAR1'!$A$4:$L$399,10,False)*$AB$19</f>
        <v>0.1998441044</v>
      </c>
      <c r="AL67" s="65">
        <f>VLOOKUP($O67,'NO USAR1'!$A$4:$L$399,12,False)*$AC$19</f>
        <v>0</v>
      </c>
      <c r="AM67" s="71">
        <f t="shared" si="2"/>
        <v>-1.484951395</v>
      </c>
      <c r="AN67" s="71">
        <f t="shared" si="3"/>
        <v>-1.910212993</v>
      </c>
    </row>
    <row r="68">
      <c r="A68" t="str">
        <f>IF('NO USAR2'!B66="",ROW('NO USAR2'!B66),'NO USAR2'!B66)</f>
        <v>Brandon Ingram</v>
      </c>
      <c r="B68" s="58">
        <f>IF(TYPE($A68)=1,"",('NO USAR2'!$L66-B$1)/B$2)</f>
        <v>1.091231745</v>
      </c>
      <c r="C68" s="58">
        <f>IF(TYPE($A68)=1,"",('NO USAR2'!$K66-C$1)/C$2)</f>
        <v>-0.2134133348</v>
      </c>
      <c r="D68" s="58">
        <f>IF(TYPE($A68)=1,"",('NO USAR2'!$M66-D$1)/D$2)</f>
        <v>-0.07123221798</v>
      </c>
      <c r="E68" s="58">
        <f>IF(TYPE($A68)=1,"",('NO USAR2'!$N66-E$1)/E$2)</f>
        <v>0.4556353313</v>
      </c>
      <c r="F68" s="58">
        <f>IF(TYPE($A68)=1,"",('NO USAR2'!$O66-F$1)/F$2)</f>
        <v>-1.32132894</v>
      </c>
      <c r="G68" s="58">
        <f>IF(TYPE($A68)=1,"",('NO USAR2'!$P66-G$1)/G$2)</f>
        <v>-0.4064530313</v>
      </c>
      <c r="H68" s="58">
        <f>IF(TYPE($A68)=1,"",('NO USAR2'!$H66-H$1)/H$2*I68/$I$1)</f>
        <v>-0.6303448602</v>
      </c>
      <c r="I68" s="58">
        <f>IF(TYPE($A68)=1,"",IF('NO USAR2'!H66=0,0,'NO USAR2'!G66/'NO USAR2'!H66))</f>
        <v>18.3</v>
      </c>
      <c r="J68" s="59">
        <f>IF(TYPE($A68)=1,"",('NO USAR2'!$J66-J$1)/J$2*K68/$K$1)</f>
        <v>0.5151486205</v>
      </c>
      <c r="K68" s="60">
        <f>IF(TYPE($A68)=1,"",IF('NO USAR2'!J66=0,0,'NO USAR2'!I66/'NO USAR2'!J66))</f>
        <v>6</v>
      </c>
      <c r="L68" s="58">
        <f>IF(TYPE($A68)=1,"",-('NO USAR2'!$Q66-L$1)/L$2)</f>
        <v>-0.8599611555</v>
      </c>
      <c r="N68" s="63">
        <v>48.0</v>
      </c>
      <c r="O68" s="68" t="str">
        <f>IF('NO USAR2'!B55="",ROW('NO USAR2'!B55),'NO USAR2'!B55)</f>
        <v>De'Aaron Fox</v>
      </c>
      <c r="P68" s="68">
        <f>'NO USAR2'!E49</f>
        <v>70</v>
      </c>
      <c r="Q68" s="68" t="str">
        <f>IF('NO USAR2'!C55="",ROW('NO USAR2'!N70),'NO USAR2'!C55)</f>
        <v>PG</v>
      </c>
      <c r="R68" s="65">
        <f>VLOOKUP($O68,'NO USAR1'!$A$4:$L$399,2,False)+VLOOKUP($O68,'NO USAR1'!$A$4:$L$399,3,False)+VLOOKUP($O68,'NO USAR1'!$A$4:$L$399,4,False)+VLOOKUP($O68,'NO USAR1'!$A$4:$L$399,5,False)+VLOOKUP($O68,'NO USAR1'!$A$4:$L$399,6,False)+VLOOKUP($O68,'NO USAR1'!$A$4:$L$399,7,False)+VLOOKUP($O68,'NO USAR1'!$A$4:$L$399,8,False)+VLOOKUP($O68,'NO USAR1'!$A$4:$L$399,10,False)+VLOOKUP($O68,'NO USAR1'!$A$4:$L$399,12,False)*0</f>
        <v>0.5227268136</v>
      </c>
      <c r="S68" s="65">
        <f>VLOOKUP($O68,'NO USAR1'!$A$4:$L$399,2,False)*$U$19+VLOOKUP($O68,'NO USAR1'!$A$4:$L$399,3,False)*$V$19+VLOOKUP($O68,'NO USAR1'!$A$4:$L$399,4,False)*$W$19+VLOOKUP($O68,'NO USAR1'!$A$4:$L$399,5,False)*$X$19+VLOOKUP($O68,'NO USAR1'!$A$4:$L$399,6,False)*$Y$19+VLOOKUP($O68,'NO USAR1'!$A$4:$L$399,7,False)*$Z$19+VLOOKUP($O68,'NO USAR1'!$A$4:$L$399,8,False)*$AA$19+VLOOKUP($O68,'NO USAR1'!$A$4:$L$399,10,False)*$AB$19+VLOOKUP($O68,'NO USAR1'!$A$4:$L$399,12,False)*$AC$19+IF(Projections!$K$3,-AN68, IF(Projections!$J$3,-AM68,0))</f>
        <v>2.914372343</v>
      </c>
      <c r="T68" s="65">
        <f t="shared" si="1"/>
        <v>2.391645529</v>
      </c>
      <c r="U68" s="65">
        <f>VLOOKUP($O68,'NO USAR2'!$B$2:$R$397,11,False)</f>
        <v>24</v>
      </c>
      <c r="V68" s="69">
        <f>VLOOKUP($O68,'NO USAR2'!$B$2:$R$397,10,False)</f>
        <v>1.5</v>
      </c>
      <c r="W68" s="65">
        <f>VLOOKUP($O68,'NO USAR2'!$B$2:$R$397,12,False)</f>
        <v>4</v>
      </c>
      <c r="X68" s="65">
        <f>VLOOKUP($O68,'NO USAR2'!$B$2:$R$397,13,False)</f>
        <v>6.5</v>
      </c>
      <c r="Y68" s="65">
        <f>VLOOKUP($O68,'NO USAR2'!$B$2:$R$397,14,False)</f>
        <v>1.2</v>
      </c>
      <c r="Z68" s="70">
        <f>VLOOKUP($O68,'NO USAR2'!$B$2:$R$397,15,False)</f>
        <v>0.4</v>
      </c>
      <c r="AA68" s="65">
        <f>100*VLOOKUP($O68,'NO USAR2'!$B$2:$R$397,7,False)</f>
        <v>47.61904762</v>
      </c>
      <c r="AB68" s="65">
        <f>100*VLOOKUP($O68,'NO USAR2'!$B$2:$R$397,9,False)</f>
        <v>75</v>
      </c>
      <c r="AC68" s="65">
        <f>VLOOKUP($O68,'NO USAR2'!$B$2:$Q$397,16,False)</f>
        <v>2.9</v>
      </c>
      <c r="AD68" s="65">
        <f>VLOOKUP($O68,'NO USAR1'!$A$4:$L$399,2,False)*$U$19</f>
        <v>1.876503983</v>
      </c>
      <c r="AE68" s="65">
        <f>VLOOKUP($O68,'NO USAR1'!$A$4:$L$399,3,False)*$V$19</f>
        <v>-0.1134177786</v>
      </c>
      <c r="AF68" s="65">
        <f>VLOOKUP($O68,'NO USAR1'!$A$4:$L$399,4,False)*$W$19</f>
        <v>-0.8468414838</v>
      </c>
      <c r="AG68" s="65">
        <f>VLOOKUP($O68,'NO USAR1'!$A$4:$L$399,5,False)*$X$19</f>
        <v>1.596791943</v>
      </c>
      <c r="AH68" s="65">
        <f>VLOOKUP($O68,'NO USAR1'!$A$4:$L$399,6,False)*$Y$19</f>
        <v>0.8011379786</v>
      </c>
      <c r="AI68" s="65">
        <f>VLOOKUP($O68,'NO USAR1'!$A$4:$L$399,7,False)*$Z$19</f>
        <v>0</v>
      </c>
      <c r="AJ68" s="65">
        <f>VLOOKUP($O68,'NO USAR1'!$A$4:$L$399,8,False)*$AA$19</f>
        <v>0</v>
      </c>
      <c r="AK68" s="70">
        <f>VLOOKUP($O68,'NO USAR1'!$A$4:$L$399,10,False)*$AB$19</f>
        <v>-0.3998023002</v>
      </c>
      <c r="AL68" s="65">
        <f>VLOOKUP($O68,'NO USAR1'!$A$4:$L$399,12,False)*$AC$19</f>
        <v>0</v>
      </c>
      <c r="AM68" s="71">
        <f t="shared" si="2"/>
        <v>-0.8468414838</v>
      </c>
      <c r="AN68" s="71">
        <f t="shared" si="3"/>
        <v>-1.246643784</v>
      </c>
    </row>
    <row r="69">
      <c r="A69" t="str">
        <f>IF('NO USAR2'!B67="",ROW('NO USAR2'!B67),'NO USAR2'!B67)</f>
        <v>Tyler Herro</v>
      </c>
      <c r="B69" s="58">
        <f>IF(TYPE($A69)=1,"",('NO USAR2'!$L67-B$1)/B$2)</f>
        <v>0.7894422472</v>
      </c>
      <c r="C69" s="58">
        <f>IF(TYPE($A69)=1,"",('NO USAR2'!$K67-C$1)/C$2)</f>
        <v>1.086528896</v>
      </c>
      <c r="D69" s="58">
        <f>IF(TYPE($A69)=1,"",('NO USAR2'!$M67-D$1)/D$2)</f>
        <v>-0.3569830001</v>
      </c>
      <c r="E69" s="58">
        <f>IF(TYPE($A69)=1,"",('NO USAR2'!$N67-E$1)/E$2)</f>
        <v>0.2273580469</v>
      </c>
      <c r="F69" s="58">
        <f>IF(TYPE($A69)=1,"",('NO USAR2'!$O67-F$1)/F$2)</f>
        <v>-0.9942890529</v>
      </c>
      <c r="G69" s="58">
        <f>IF(TYPE($A69)=1,"",('NO USAR2'!$P67-G$1)/G$2)</f>
        <v>-1.23041904</v>
      </c>
      <c r="H69" s="58">
        <f>IF(TYPE($A69)=1,"",('NO USAR2'!$H67-H$1)/H$2*I69/$I$1)</f>
        <v>-0.9863783373</v>
      </c>
      <c r="I69" s="58">
        <f>IF(TYPE($A69)=1,"",IF('NO USAR2'!H67=0,0,'NO USAR2'!G67/'NO USAR2'!H67))</f>
        <v>17.7</v>
      </c>
      <c r="J69" s="59">
        <f>IF(TYPE($A69)=1,"",('NO USAR2'!$J67-J$1)/J$2*K69/$K$1)</f>
        <v>1.0259881</v>
      </c>
      <c r="K69" s="60">
        <f>IF(TYPE($A69)=1,"",IF('NO USAR2'!J67=0,0,'NO USAR2'!I67/'NO USAR2'!J67))</f>
        <v>3.4</v>
      </c>
      <c r="L69" s="58">
        <f>IF(TYPE($A69)=1,"",-('NO USAR2'!$Q67-L$1)/L$2)</f>
        <v>-0.7495957703</v>
      </c>
      <c r="N69" s="63">
        <v>49.0</v>
      </c>
      <c r="O69" s="68" t="str">
        <f>IF('NO USAR2'!B37="",ROW('NO USAR2'!B37),'NO USAR2'!B37)</f>
        <v>Jarrett Allen</v>
      </c>
      <c r="P69" s="68">
        <f>'NO USAR2'!E50</f>
        <v>74</v>
      </c>
      <c r="Q69" s="68" t="str">
        <f>IF('NO USAR2'!C37="",ROW('NO USAR2'!N52),'NO USAR2'!C37)</f>
        <v>C</v>
      </c>
      <c r="R69" s="65">
        <f>VLOOKUP($O69,'NO USAR1'!$A$4:$L$399,2,False)+VLOOKUP($O69,'NO USAR1'!$A$4:$L$399,3,False)+VLOOKUP($O69,'NO USAR1'!$A$4:$L$399,4,False)+VLOOKUP($O69,'NO USAR1'!$A$4:$L$399,5,False)+VLOOKUP($O69,'NO USAR1'!$A$4:$L$399,6,False)+VLOOKUP($O69,'NO USAR1'!$A$4:$L$399,7,False)+VLOOKUP($O69,'NO USAR1'!$A$4:$L$399,8,False)+VLOOKUP($O69,'NO USAR1'!$A$4:$L$399,10,False)+VLOOKUP($O69,'NO USAR1'!$A$4:$L$399,12,False)*0</f>
        <v>0.5126655665</v>
      </c>
      <c r="S69" s="65">
        <f>VLOOKUP($O69,'NO USAR1'!$A$4:$L$399,2,False)*$U$19+VLOOKUP($O69,'NO USAR1'!$A$4:$L$399,3,False)*$V$19+VLOOKUP($O69,'NO USAR1'!$A$4:$L$399,4,False)*$W$19+VLOOKUP($O69,'NO USAR1'!$A$4:$L$399,5,False)*$X$19+VLOOKUP($O69,'NO USAR1'!$A$4:$L$399,6,False)*$Y$19+VLOOKUP($O69,'NO USAR1'!$A$4:$L$399,7,False)*$Z$19+VLOOKUP($O69,'NO USAR1'!$A$4:$L$399,8,False)*$AA$19+VLOOKUP($O69,'NO USAR1'!$A$4:$L$399,10,False)*$AB$19+VLOOKUP($O69,'NO USAR1'!$A$4:$L$399,12,False)*$AC$19+IF(Projections!$K$3,-AN69, IF(Projections!$J$3,-AM69,0))</f>
        <v>-2.688061422</v>
      </c>
      <c r="T69" s="65">
        <f t="shared" si="1"/>
        <v>-3.200726988</v>
      </c>
      <c r="U69" s="65">
        <f>VLOOKUP($O69,'NO USAR2'!$B$2:$R$397,11,False)</f>
        <v>15.9</v>
      </c>
      <c r="V69" s="69">
        <f>VLOOKUP($O69,'NO USAR2'!$B$2:$R$397,10,False)</f>
        <v>0</v>
      </c>
      <c r="W69" s="65">
        <f>VLOOKUP($O69,'NO USAR2'!$B$2:$R$397,12,False)</f>
        <v>10.4</v>
      </c>
      <c r="X69" s="65">
        <f>VLOOKUP($O69,'NO USAR2'!$B$2:$R$397,13,False)</f>
        <v>1.6</v>
      </c>
      <c r="Y69" s="65">
        <f>VLOOKUP($O69,'NO USAR2'!$B$2:$R$397,14,False)</f>
        <v>0.8</v>
      </c>
      <c r="Z69" s="70">
        <f>VLOOKUP($O69,'NO USAR2'!$B$2:$R$397,15,False)</f>
        <v>1.3</v>
      </c>
      <c r="AA69" s="65">
        <f>100*VLOOKUP($O69,'NO USAR2'!$B$2:$R$397,7,False)</f>
        <v>66.32653061</v>
      </c>
      <c r="AB69" s="65">
        <f>100*VLOOKUP($O69,'NO USAR2'!$B$2:$R$397,9,False)</f>
        <v>71.42857143</v>
      </c>
      <c r="AC69" s="65">
        <f>VLOOKUP($O69,'NO USAR2'!$B$2:$Q$397,16,False)</f>
        <v>1.7</v>
      </c>
      <c r="AD69" s="65">
        <f>VLOOKUP($O69,'NO USAR1'!$A$4:$L$399,2,False)*$U$19</f>
        <v>-0.2804033095</v>
      </c>
      <c r="AE69" s="65">
        <f>VLOOKUP($O69,'NO USAR1'!$A$4:$L$399,3,False)*$V$19</f>
        <v>-1.613351122</v>
      </c>
      <c r="AF69" s="65">
        <f>VLOOKUP($O69,'NO USAR1'!$A$4:$L$399,4,False)*$W$19</f>
        <v>1.765737096</v>
      </c>
      <c r="AG69" s="65">
        <f>VLOOKUP($O69,'NO USAR1'!$A$4:$L$399,5,False)*$X$19</f>
        <v>-1.199604789</v>
      </c>
      <c r="AH69" s="65">
        <f>VLOOKUP($O69,'NO USAR1'!$A$4:$L$399,6,False)*$Y$19</f>
        <v>-0.8340614572</v>
      </c>
      <c r="AI69" s="65">
        <f>VLOOKUP($O69,'NO USAR1'!$A$4:$L$399,7,False)*$Z$19</f>
        <v>0</v>
      </c>
      <c r="AJ69" s="65">
        <f>VLOOKUP($O69,'NO USAR1'!$A$4:$L$399,8,False)*$AA$19</f>
        <v>0</v>
      </c>
      <c r="AK69" s="70">
        <f>VLOOKUP($O69,'NO USAR1'!$A$4:$L$399,10,False)*$AB$19</f>
        <v>-0.5263778391</v>
      </c>
      <c r="AL69" s="65">
        <f>VLOOKUP($O69,'NO USAR1'!$A$4:$L$399,12,False)*$AC$19</f>
        <v>0</v>
      </c>
      <c r="AM69" s="71">
        <f t="shared" si="2"/>
        <v>-1.613351122</v>
      </c>
      <c r="AN69" s="71">
        <f t="shared" si="3"/>
        <v>-2.812955912</v>
      </c>
    </row>
    <row r="70">
      <c r="A70" t="str">
        <f>IF('NO USAR2'!B68="",ROW('NO USAR2'!B68),'NO USAR2'!B68)</f>
        <v>Draymond Green</v>
      </c>
      <c r="B70" s="58">
        <f>IF(TYPE($A70)=1,"",('NO USAR2'!$L68-B$1)/B$2)</f>
        <v>-1.660378382</v>
      </c>
      <c r="C70" s="58">
        <f>IF(TYPE($A70)=1,"",('NO USAR2'!$K68-C$1)/C$2)</f>
        <v>-1.213368897</v>
      </c>
      <c r="D70" s="58">
        <f>IF(TYPE($A70)=1,"",('NO USAR2'!$M68-D$1)/D$2)</f>
        <v>0.5002693463</v>
      </c>
      <c r="E70" s="58">
        <f>IF(TYPE($A70)=1,"",('NO USAR2'!$N68-E$1)/E$2)</f>
        <v>1.414399925</v>
      </c>
      <c r="F70" s="58">
        <f>IF(TYPE($A70)=1,"",('NO USAR2'!$O68-F$1)/F$2)</f>
        <v>0.96795027</v>
      </c>
      <c r="G70" s="58">
        <f>IF(TYPE($A70)=1,"",('NO USAR2'!$P68-G$1)/G$2)</f>
        <v>0.62350448</v>
      </c>
      <c r="H70" s="58">
        <f>IF(TYPE($A70)=1,"",('NO USAR2'!$H68-H$1)/H$2*I70/$I$1)</f>
        <v>0.1328004008</v>
      </c>
      <c r="I70" s="58">
        <f>IF(TYPE($A70)=1,"",IF('NO USAR2'!H68=0,0,'NO USAR2'!G68/'NO USAR2'!H68))</f>
        <v>5.7</v>
      </c>
      <c r="J70" s="59">
        <f>IF(TYPE($A70)=1,"",('NO USAR2'!$J68-J$1)/J$2*K70/$K$1)</f>
        <v>-0.9239114773</v>
      </c>
      <c r="K70" s="60">
        <f>IF(TYPE($A70)=1,"",IF('NO USAR2'!J68=0,0,'NO USAR2'!I68/'NO USAR2'!J68))</f>
        <v>2</v>
      </c>
      <c r="L70" s="58">
        <f>IF(TYPE($A70)=1,"",-('NO USAR2'!$Q68-L$1)/L$2)</f>
        <v>-1.080691926</v>
      </c>
      <c r="N70" s="2">
        <v>50.0</v>
      </c>
      <c r="O70" s="68" t="str">
        <f>IF('NO USAR2'!B52="",ROW('NO USAR2'!B52),'NO USAR2'!B52)</f>
        <v>Evan Mobley</v>
      </c>
      <c r="P70" s="68">
        <f>'NO USAR2'!E51</f>
        <v>65</v>
      </c>
      <c r="Q70" s="68" t="str">
        <f>IF('NO USAR2'!C52="",ROW('NO USAR2'!N67),'NO USAR2'!C52)</f>
        <v>PF/C</v>
      </c>
      <c r="R70" s="65">
        <f>VLOOKUP($O70,'NO USAR1'!$A$4:$L$399,2,False)+VLOOKUP($O70,'NO USAR1'!$A$4:$L$399,3,False)+VLOOKUP($O70,'NO USAR1'!$A$4:$L$399,4,False)+VLOOKUP($O70,'NO USAR1'!$A$4:$L$399,5,False)+VLOOKUP($O70,'NO USAR1'!$A$4:$L$399,6,False)+VLOOKUP($O70,'NO USAR1'!$A$4:$L$399,7,False)+VLOOKUP($O70,'NO USAR1'!$A$4:$L$399,8,False)+VLOOKUP($O70,'NO USAR1'!$A$4:$L$399,10,False)+VLOOKUP($O70,'NO USAR1'!$A$4:$L$399,12,False)*0</f>
        <v>0.2041219971</v>
      </c>
      <c r="S70" s="65">
        <f>VLOOKUP($O70,'NO USAR1'!$A$4:$L$399,2,False)*$U$19+VLOOKUP($O70,'NO USAR1'!$A$4:$L$399,3,False)*$V$19+VLOOKUP($O70,'NO USAR1'!$A$4:$L$399,4,False)*$W$19+VLOOKUP($O70,'NO USAR1'!$A$4:$L$399,5,False)*$X$19+VLOOKUP($O70,'NO USAR1'!$A$4:$L$399,6,False)*$Y$19+VLOOKUP($O70,'NO USAR1'!$A$4:$L$399,7,False)*$Z$19+VLOOKUP($O70,'NO USAR1'!$A$4:$L$399,8,False)*$AA$19+VLOOKUP($O70,'NO USAR1'!$A$4:$L$399,10,False)*$AB$19+VLOOKUP($O70,'NO USAR1'!$A$4:$L$399,12,False)*$AC$19+IF(Projections!$K$3,-AN70, IF(Projections!$J$3,-AM70,0))</f>
        <v>-2.269393829</v>
      </c>
      <c r="T70" s="65">
        <f t="shared" si="1"/>
        <v>-2.473515826</v>
      </c>
      <c r="U70" s="65">
        <f>VLOOKUP($O70,'NO USAR2'!$B$2:$R$397,11,False)</f>
        <v>16.3</v>
      </c>
      <c r="V70" s="69">
        <f>VLOOKUP($O70,'NO USAR2'!$B$2:$R$397,10,False)</f>
        <v>0.4</v>
      </c>
      <c r="W70" s="65">
        <f>VLOOKUP($O70,'NO USAR2'!$B$2:$R$397,12,False)</f>
        <v>8.9</v>
      </c>
      <c r="X70" s="65">
        <f>VLOOKUP($O70,'NO USAR2'!$B$2:$R$397,13,False)</f>
        <v>2.7</v>
      </c>
      <c r="Y70" s="65">
        <f>VLOOKUP($O70,'NO USAR2'!$B$2:$R$397,14,False)</f>
        <v>0.8</v>
      </c>
      <c r="Z70" s="70">
        <f>VLOOKUP($O70,'NO USAR2'!$B$2:$R$397,15,False)</f>
        <v>1.9</v>
      </c>
      <c r="AA70" s="65">
        <f>100*VLOOKUP($O70,'NO USAR2'!$B$2:$R$397,7,False)</f>
        <v>50.76923077</v>
      </c>
      <c r="AB70" s="65">
        <f>100*VLOOKUP($O70,'NO USAR2'!$B$2:$R$397,9,False)</f>
        <v>69.23076923</v>
      </c>
      <c r="AC70" s="65">
        <f>VLOOKUP($O70,'NO USAR2'!$B$2:$Q$397,16,False)</f>
        <v>2</v>
      </c>
      <c r="AD70" s="65">
        <f>VLOOKUP($O70,'NO USAR1'!$A$4:$L$399,2,False)*$U$19</f>
        <v>-0.1738893691</v>
      </c>
      <c r="AE70" s="65">
        <f>VLOOKUP($O70,'NO USAR1'!$A$4:$L$399,3,False)*$V$19</f>
        <v>-1.213368897</v>
      </c>
      <c r="AF70" s="65">
        <f>VLOOKUP($O70,'NO USAR1'!$A$4:$L$399,4,False)*$W$19</f>
        <v>1.153413991</v>
      </c>
      <c r="AG70" s="65">
        <f>VLOOKUP($O70,'NO USAR1'!$A$4:$L$399,5,False)*$X$19</f>
        <v>-0.5718422575</v>
      </c>
      <c r="AH70" s="65">
        <f>VLOOKUP($O70,'NO USAR1'!$A$4:$L$399,6,False)*$Y$19</f>
        <v>-0.8340614572</v>
      </c>
      <c r="AI70" s="65">
        <f>VLOOKUP($O70,'NO USAR1'!$A$4:$L$399,7,False)*$Z$19</f>
        <v>0</v>
      </c>
      <c r="AJ70" s="65">
        <f>VLOOKUP($O70,'NO USAR1'!$A$4:$L$399,8,False)*$AA$19</f>
        <v>0</v>
      </c>
      <c r="AK70" s="70">
        <f>VLOOKUP($O70,'NO USAR1'!$A$4:$L$399,10,False)*$AB$19</f>
        <v>-0.6296458386</v>
      </c>
      <c r="AL70" s="65">
        <f>VLOOKUP($O70,'NO USAR1'!$A$4:$L$399,12,False)*$AC$19</f>
        <v>0</v>
      </c>
      <c r="AM70" s="71">
        <f t="shared" si="2"/>
        <v>-1.213368897</v>
      </c>
      <c r="AN70" s="71">
        <f t="shared" si="3"/>
        <v>-2.047430355</v>
      </c>
    </row>
    <row r="71">
      <c r="A71" t="str">
        <f>IF('NO USAR2'!B69="",ROW('NO USAR2'!B69),'NO USAR2'!B69)</f>
        <v>OG Anunoby</v>
      </c>
      <c r="B71" s="58">
        <f>IF(TYPE($A71)=1,"",('NO USAR2'!$L69-B$1)/B$2)</f>
        <v>0.09710163469</v>
      </c>
      <c r="C71" s="58">
        <f>IF(TYPE($A71)=1,"",('NO USAR2'!$K69-C$1)/C$2)</f>
        <v>0.886537784</v>
      </c>
      <c r="D71" s="58">
        <f>IF(TYPE($A71)=1,"",('NO USAR2'!$M69-D$1)/D$2)</f>
        <v>-0.1936968389</v>
      </c>
      <c r="E71" s="58">
        <f>IF(TYPE($A71)=1,"",('NO USAR2'!$N69-E$1)/E$2)</f>
        <v>-0.457473806</v>
      </c>
      <c r="F71" s="58">
        <f>IF(TYPE($A71)=1,"",('NO USAR2'!$O69-F$1)/F$2)</f>
        <v>1.294990157</v>
      </c>
      <c r="G71" s="58">
        <f>IF(TYPE($A71)=1,"",('NO USAR2'!$P69-G$1)/G$2)</f>
        <v>-0.4064530313</v>
      </c>
      <c r="H71" s="58">
        <f>IF(TYPE($A71)=1,"",('NO USAR2'!$H69-H$1)/H$2*I71/$I$1)</f>
        <v>-0.8503395918</v>
      </c>
      <c r="I71" s="58">
        <f>IF(TYPE($A71)=1,"",IF('NO USAR2'!H69=0,0,'NO USAR2'!G69/'NO USAR2'!H69))</f>
        <v>14.8</v>
      </c>
      <c r="J71" s="59">
        <f>IF(TYPE($A71)=1,"",('NO USAR2'!$J69-J$1)/J$2*K71/$K$1)</f>
        <v>-0.5108394795</v>
      </c>
      <c r="K71" s="60">
        <f>IF(TYPE($A71)=1,"",IF('NO USAR2'!J69=0,0,'NO USAR2'!I69/'NO USAR2'!J69))</f>
        <v>2.6</v>
      </c>
      <c r="L71" s="58">
        <f>IF(TYPE($A71)=1,"",-('NO USAR2'!$Q69-L$1)/L$2)</f>
        <v>0.3540580812</v>
      </c>
      <c r="N71" s="63">
        <v>51.0</v>
      </c>
      <c r="O71" s="68" t="str">
        <f>IF('NO USAR2'!B39="",ROW('NO USAR2'!B39),'NO USAR2'!B39)</f>
        <v>Deandre Ayton</v>
      </c>
      <c r="P71" s="68">
        <f>'NO USAR2'!E52</f>
        <v>74</v>
      </c>
      <c r="Q71" s="68" t="str">
        <f>IF('NO USAR2'!C39="",ROW('NO USAR2'!N54),'NO USAR2'!C39)</f>
        <v>C</v>
      </c>
      <c r="R71" s="65">
        <f>VLOOKUP($O71,'NO USAR1'!$A$4:$L$399,2,False)+VLOOKUP($O71,'NO USAR1'!$A$4:$L$399,3,False)+VLOOKUP($O71,'NO USAR1'!$A$4:$L$399,4,False)+VLOOKUP($O71,'NO USAR1'!$A$4:$L$399,5,False)+VLOOKUP($O71,'NO USAR1'!$A$4:$L$399,6,False)+VLOOKUP($O71,'NO USAR1'!$A$4:$L$399,7,False)+VLOOKUP($O71,'NO USAR1'!$A$4:$L$399,8,False)+VLOOKUP($O71,'NO USAR1'!$A$4:$L$399,10,False)+VLOOKUP($O71,'NO USAR1'!$A$4:$L$399,12,False)*0</f>
        <v>0.1550183564</v>
      </c>
      <c r="S71" s="65">
        <f>VLOOKUP($O71,'NO USAR1'!$A$4:$L$399,2,False)*$U$19+VLOOKUP($O71,'NO USAR1'!$A$4:$L$399,3,False)*$V$19+VLOOKUP($O71,'NO USAR1'!$A$4:$L$399,4,False)*$W$19+VLOOKUP($O71,'NO USAR1'!$A$4:$L$399,5,False)*$X$19+VLOOKUP($O71,'NO USAR1'!$A$4:$L$399,6,False)*$Y$19+VLOOKUP($O71,'NO USAR1'!$A$4:$L$399,7,False)*$Z$19+VLOOKUP($O71,'NO USAR1'!$A$4:$L$399,8,False)*$AA$19+VLOOKUP($O71,'NO USAR1'!$A$4:$L$399,10,False)*$AB$19+VLOOKUP($O71,'NO USAR1'!$A$4:$L$399,12,False)*$AC$19+IF(Projections!$K$3,-AN71, IF(Projections!$J$3,-AM71,0))</f>
        <v>-2.074685653</v>
      </c>
      <c r="T71" s="65">
        <f t="shared" si="1"/>
        <v>-2.22970401</v>
      </c>
      <c r="U71" s="65">
        <f>VLOOKUP($O71,'NO USAR2'!$B$2:$R$397,11,False)</f>
        <v>18.1</v>
      </c>
      <c r="V71" s="69">
        <f>VLOOKUP($O71,'NO USAR2'!$B$2:$R$397,10,False)</f>
        <v>0.1</v>
      </c>
      <c r="W71" s="65">
        <f>VLOOKUP($O71,'NO USAR2'!$B$2:$R$397,12,False)</f>
        <v>10.7</v>
      </c>
      <c r="X71" s="65">
        <f>VLOOKUP($O71,'NO USAR2'!$B$2:$R$397,13,False)</f>
        <v>1.5</v>
      </c>
      <c r="Y71" s="65">
        <f>VLOOKUP($O71,'NO USAR2'!$B$2:$R$397,14,False)</f>
        <v>0.7</v>
      </c>
      <c r="Z71" s="70">
        <f>VLOOKUP($O71,'NO USAR2'!$B$2:$R$397,15,False)</f>
        <v>0.7</v>
      </c>
      <c r="AA71" s="65">
        <f>100*VLOOKUP($O71,'NO USAR2'!$B$2:$R$397,7,False)</f>
        <v>62.99212598</v>
      </c>
      <c r="AB71" s="65">
        <f>100*VLOOKUP($O71,'NO USAR2'!$B$2:$R$397,9,False)</f>
        <v>73.07692308</v>
      </c>
      <c r="AC71" s="65">
        <f>VLOOKUP($O71,'NO USAR2'!$B$2:$Q$397,16,False)</f>
        <v>1.7</v>
      </c>
      <c r="AD71" s="65">
        <f>VLOOKUP($O71,'NO USAR1'!$A$4:$L$399,2,False)*$U$19</f>
        <v>0.3054233626</v>
      </c>
      <c r="AE71" s="65">
        <f>VLOOKUP($O71,'NO USAR1'!$A$4:$L$399,3,False)*$V$19</f>
        <v>-1.513355566</v>
      </c>
      <c r="AF71" s="65">
        <f>VLOOKUP($O71,'NO USAR1'!$A$4:$L$399,4,False)*$W$19</f>
        <v>1.888201717</v>
      </c>
      <c r="AG71" s="65">
        <f>VLOOKUP($O71,'NO USAR1'!$A$4:$L$399,5,False)*$X$19</f>
        <v>-1.25667411</v>
      </c>
      <c r="AH71" s="65">
        <f>VLOOKUP($O71,'NO USAR1'!$A$4:$L$399,6,False)*$Y$19</f>
        <v>-1.242861316</v>
      </c>
      <c r="AI71" s="65">
        <f>VLOOKUP($O71,'NO USAR1'!$A$4:$L$399,7,False)*$Z$19</f>
        <v>0</v>
      </c>
      <c r="AJ71" s="65">
        <f>VLOOKUP($O71,'NO USAR1'!$A$4:$L$399,8,False)*$AA$19</f>
        <v>0</v>
      </c>
      <c r="AK71" s="70">
        <f>VLOOKUP($O71,'NO USAR1'!$A$4:$L$399,10,False)*$AB$19</f>
        <v>-0.2554197398</v>
      </c>
      <c r="AL71" s="65">
        <f>VLOOKUP($O71,'NO USAR1'!$A$4:$L$399,12,False)*$AC$19</f>
        <v>0</v>
      </c>
      <c r="AM71" s="71">
        <f t="shared" si="2"/>
        <v>-1.513355566</v>
      </c>
      <c r="AN71" s="71">
        <f t="shared" si="3"/>
        <v>-2.770029677</v>
      </c>
    </row>
    <row r="72">
      <c r="A72" t="str">
        <f>IF('NO USAR2'!B70="",ROW('NO USAR2'!B70),'NO USAR2'!B70)</f>
        <v>Devin Vassell</v>
      </c>
      <c r="B72" s="58">
        <f>IF(TYPE($A72)=1,"",('NO USAR2'!$L70-B$1)/B$2)</f>
        <v>-0.2046878631</v>
      </c>
      <c r="C72" s="58">
        <f>IF(TYPE($A72)=1,"",('NO USAR2'!$K70-C$1)/C$2)</f>
        <v>0.5865511152</v>
      </c>
      <c r="D72" s="58">
        <f>IF(TYPE($A72)=1,"",('NO USAR2'!$M70-D$1)/D$2)</f>
        <v>-0.4386260807</v>
      </c>
      <c r="E72" s="58">
        <f>IF(TYPE($A72)=1,"",('NO USAR2'!$N70-E$1)/E$2)</f>
        <v>-0.5944401766</v>
      </c>
      <c r="F72" s="58">
        <f>IF(TYPE($A72)=1,"",('NO USAR2'!$O70-F$1)/F$2)</f>
        <v>0.3138704957</v>
      </c>
      <c r="G72" s="58">
        <f>IF(TYPE($A72)=1,"",('NO USAR2'!$P70-G$1)/G$2)</f>
        <v>0.005529973215</v>
      </c>
      <c r="H72" s="58">
        <f>IF(TYPE($A72)=1,"",('NO USAR2'!$H70-H$1)/H$2*I72/$I$1)</f>
        <v>-0.633972937</v>
      </c>
      <c r="I72" s="58">
        <f>IF(TYPE($A72)=1,"",IF('NO USAR2'!H70=0,0,'NO USAR2'!G70/'NO USAR2'!H70))</f>
        <v>13.6</v>
      </c>
      <c r="J72" s="59">
        <f>IF(TYPE($A72)=1,"",('NO USAR2'!$J70-J$1)/J$2*K72/$K$1)</f>
        <v>0.444148717</v>
      </c>
      <c r="K72" s="60">
        <f>IF(TYPE($A72)=1,"",IF('NO USAR2'!J70=0,0,'NO USAR2'!I70/'NO USAR2'!J70))</f>
        <v>1.6</v>
      </c>
      <c r="L72" s="58">
        <f>IF(TYPE($A72)=1,"",-('NO USAR2'!$Q70-L$1)/L$2)</f>
        <v>1.236981163</v>
      </c>
      <c r="N72" s="63">
        <v>52.0</v>
      </c>
      <c r="O72" s="68" t="str">
        <f>IF('NO USAR2'!B53="",ROW('NO USAR2'!B53),'NO USAR2'!B53)</f>
        <v>Jordan Poole</v>
      </c>
      <c r="P72" s="68">
        <f>'NO USAR2'!E53</f>
        <v>77</v>
      </c>
      <c r="Q72" s="68" t="str">
        <f>IF('NO USAR2'!C53="",ROW('NO USAR2'!N68),'NO USAR2'!C53)</f>
        <v>PG/SF</v>
      </c>
      <c r="R72" s="65">
        <f>VLOOKUP($O72,'NO USAR1'!$A$4:$L$399,2,False)+VLOOKUP($O72,'NO USAR1'!$A$4:$L$399,3,False)+VLOOKUP($O72,'NO USAR1'!$A$4:$L$399,4,False)+VLOOKUP($O72,'NO USAR1'!$A$4:$L$399,5,False)+VLOOKUP($O72,'NO USAR1'!$A$4:$L$399,6,False)+VLOOKUP($O72,'NO USAR1'!$A$4:$L$399,7,False)+VLOOKUP($O72,'NO USAR1'!$A$4:$L$399,8,False)+VLOOKUP($O72,'NO USAR1'!$A$4:$L$399,10,False)+VLOOKUP($O72,'NO USAR1'!$A$4:$L$399,12,False)*0</f>
        <v>0.1249003655</v>
      </c>
      <c r="S72" s="65">
        <f>VLOOKUP($O72,'NO USAR1'!$A$4:$L$399,2,False)*$U$19+VLOOKUP($O72,'NO USAR1'!$A$4:$L$399,3,False)*$V$19+VLOOKUP($O72,'NO USAR1'!$A$4:$L$399,4,False)*$W$19+VLOOKUP($O72,'NO USAR1'!$A$4:$L$399,5,False)*$X$19+VLOOKUP($O72,'NO USAR1'!$A$4:$L$399,6,False)*$Y$19+VLOOKUP($O72,'NO USAR1'!$A$4:$L$399,7,False)*$Z$19+VLOOKUP($O72,'NO USAR1'!$A$4:$L$399,8,False)*$AA$19+VLOOKUP($O72,'NO USAR1'!$A$4:$L$399,10,False)*$AB$19+VLOOKUP($O72,'NO USAR1'!$A$4:$L$399,12,False)*$AC$19+IF(Projections!$K$3,-AN72, IF(Projections!$J$3,-AM72,0))</f>
        <v>0.9465293533</v>
      </c>
      <c r="T72" s="65">
        <f t="shared" si="1"/>
        <v>0.8216289878</v>
      </c>
      <c r="U72" s="65">
        <f>VLOOKUP($O72,'NO USAR2'!$B$2:$R$397,11,False)</f>
        <v>19.1</v>
      </c>
      <c r="V72" s="69">
        <f>VLOOKUP($O72,'NO USAR2'!$B$2:$R$397,10,False)</f>
        <v>2.9</v>
      </c>
      <c r="W72" s="65">
        <f>VLOOKUP($O72,'NO USAR2'!$B$2:$R$397,12,False)</f>
        <v>3.5</v>
      </c>
      <c r="X72" s="65">
        <f>VLOOKUP($O72,'NO USAR2'!$B$2:$R$397,13,False)</f>
        <v>4.1</v>
      </c>
      <c r="Y72" s="65">
        <f>VLOOKUP($O72,'NO USAR2'!$B$2:$R$397,14,False)</f>
        <v>0.8</v>
      </c>
      <c r="Z72" s="70">
        <f>VLOOKUP($O72,'NO USAR2'!$B$2:$R$397,15,False)</f>
        <v>0.3</v>
      </c>
      <c r="AA72" s="65">
        <f>100*VLOOKUP($O72,'NO USAR2'!$B$2:$R$397,7,False)</f>
        <v>44.82758621</v>
      </c>
      <c r="AB72" s="65">
        <f>100*VLOOKUP($O72,'NO USAR2'!$B$2:$R$397,9,False)</f>
        <v>91.66666667</v>
      </c>
      <c r="AC72" s="65">
        <f>VLOOKUP($O72,'NO USAR2'!$B$2:$Q$397,16,False)</f>
        <v>2.6</v>
      </c>
      <c r="AD72" s="65">
        <f>VLOOKUP($O72,'NO USAR1'!$A$4:$L$399,2,False)*$U$19</f>
        <v>0.5717082136</v>
      </c>
      <c r="AE72" s="65">
        <f>VLOOKUP($O72,'NO USAR1'!$A$4:$L$399,3,False)*$V$19</f>
        <v>1.286520009</v>
      </c>
      <c r="AF72" s="65">
        <f>VLOOKUP($O72,'NO USAR1'!$A$4:$L$399,4,False)*$W$19</f>
        <v>-1.050949185</v>
      </c>
      <c r="AG72" s="65">
        <f>VLOOKUP($O72,'NO USAR1'!$A$4:$L$399,5,False)*$X$19</f>
        <v>0.2271282376</v>
      </c>
      <c r="AH72" s="65">
        <f>VLOOKUP($O72,'NO USAR1'!$A$4:$L$399,6,False)*$Y$19</f>
        <v>-0.8340614572</v>
      </c>
      <c r="AI72" s="65">
        <f>VLOOKUP($O72,'NO USAR1'!$A$4:$L$399,7,False)*$Z$19</f>
        <v>0</v>
      </c>
      <c r="AJ72" s="65">
        <f>VLOOKUP($O72,'NO USAR1'!$A$4:$L$399,8,False)*$AA$19</f>
        <v>0</v>
      </c>
      <c r="AK72" s="70">
        <f>VLOOKUP($O72,'NO USAR1'!$A$4:$L$399,10,False)*$AB$19</f>
        <v>0.7461835356</v>
      </c>
      <c r="AL72" s="65">
        <f>VLOOKUP($O72,'NO USAR1'!$A$4:$L$399,12,False)*$AC$19</f>
        <v>0</v>
      </c>
      <c r="AM72" s="71">
        <f t="shared" si="2"/>
        <v>-1.050949185</v>
      </c>
      <c r="AN72" s="71">
        <f t="shared" si="3"/>
        <v>-1.885010642</v>
      </c>
    </row>
    <row r="73">
      <c r="A73" t="str">
        <f>IF('NO USAR2'!B71="",ROW('NO USAR2'!B71),'NO USAR2'!B71)</f>
        <v>Tobias Harris</v>
      </c>
      <c r="B73" s="58">
        <f>IF(TYPE($A73)=1,"",('NO USAR2'!$L71-B$1)/B$2)</f>
        <v>-0.02716462909</v>
      </c>
      <c r="C73" s="58">
        <f>IF(TYPE($A73)=1,"",('NO USAR2'!$K71-C$1)/C$2)</f>
        <v>-0.2134133348</v>
      </c>
      <c r="D73" s="58">
        <f>IF(TYPE($A73)=1,"",('NO USAR2'!$M71-D$1)/D$2)</f>
        <v>0.2145185641</v>
      </c>
      <c r="E73" s="58">
        <f>IF(TYPE($A73)=1,"",('NO USAR2'!$N71-E$1)/E$2)</f>
        <v>-0.137885608</v>
      </c>
      <c r="F73" s="58">
        <f>IF(TYPE($A73)=1,"",('NO USAR2'!$O71-F$1)/F$2)</f>
        <v>-1.32132894</v>
      </c>
      <c r="G73" s="58">
        <f>IF(TYPE($A73)=1,"",('NO USAR2'!$P71-G$1)/G$2)</f>
        <v>-0.200461529</v>
      </c>
      <c r="H73" s="58">
        <f>IF(TYPE($A73)=1,"",('NO USAR2'!$H71-H$1)/H$2*I73/$I$1)</f>
        <v>0.003013356757</v>
      </c>
      <c r="I73" s="58">
        <f>IF(TYPE($A73)=1,"",IF('NO USAR2'!H71=0,0,'NO USAR2'!G71/'NO USAR2'!H71))</f>
        <v>13.5</v>
      </c>
      <c r="J73" s="59">
        <f>IF(TYPE($A73)=1,"",('NO USAR2'!$J71-J$1)/J$2*K73/$K$1)</f>
        <v>0.5440707692</v>
      </c>
      <c r="K73" s="60">
        <f>IF(TYPE($A73)=1,"",IF('NO USAR2'!J71=0,0,'NO USAR2'!I71/'NO USAR2'!J71))</f>
        <v>2.7</v>
      </c>
      <c r="L73" s="58">
        <f>IF(TYPE($A73)=1,"",-('NO USAR2'!$Q71-L$1)/L$2)</f>
        <v>0.5747888516</v>
      </c>
      <c r="N73" s="2">
        <v>53.0</v>
      </c>
      <c r="O73" s="68" t="str">
        <f>IF('NO USAR2'!B58="",ROW('NO USAR2'!B58),'NO USAR2'!B58)</f>
        <v>CJ McCollum</v>
      </c>
      <c r="P73" s="68">
        <f>'NO USAR2'!E54</f>
        <v>72</v>
      </c>
      <c r="Q73" s="68" t="str">
        <f>IF('NO USAR2'!C58="",ROW('NO USAR2'!N73),'NO USAR2'!C58)</f>
        <v>SG</v>
      </c>
      <c r="R73" s="65">
        <f>VLOOKUP($O73,'NO USAR1'!$A$4:$L$399,2,False)+VLOOKUP($O73,'NO USAR1'!$A$4:$L$399,3,False)+VLOOKUP($O73,'NO USAR1'!$A$4:$L$399,4,False)+VLOOKUP($O73,'NO USAR1'!$A$4:$L$399,5,False)+VLOOKUP($O73,'NO USAR1'!$A$4:$L$399,6,False)+VLOOKUP($O73,'NO USAR1'!$A$4:$L$399,7,False)+VLOOKUP($O73,'NO USAR1'!$A$4:$L$399,8,False)+VLOOKUP($O73,'NO USAR1'!$A$4:$L$399,10,False)+VLOOKUP($O73,'NO USAR1'!$A$4:$L$399,12,False)*0</f>
        <v>0.08399904688</v>
      </c>
      <c r="S73" s="65">
        <f>VLOOKUP($O73,'NO USAR1'!$A$4:$L$399,2,False)*$U$19+VLOOKUP($O73,'NO USAR1'!$A$4:$L$399,3,False)*$V$19+VLOOKUP($O73,'NO USAR1'!$A$4:$L$399,4,False)*$W$19+VLOOKUP($O73,'NO USAR1'!$A$4:$L$399,5,False)*$X$19+VLOOKUP($O73,'NO USAR1'!$A$4:$L$399,6,False)*$Y$19+VLOOKUP($O73,'NO USAR1'!$A$4:$L$399,7,False)*$Z$19+VLOOKUP($O73,'NO USAR1'!$A$4:$L$399,8,False)*$AA$19+VLOOKUP($O73,'NO USAR1'!$A$4:$L$399,10,False)*$AB$19+VLOOKUP($O73,'NO USAR1'!$A$4:$L$399,12,False)*$AC$19+IF(Projections!$K$3,-AN73, IF(Projections!$J$3,-AM73,0))</f>
        <v>2.408759941</v>
      </c>
      <c r="T73" s="65">
        <f t="shared" si="1"/>
        <v>2.324760894</v>
      </c>
      <c r="U73" s="65">
        <f>VLOOKUP($O73,'NO USAR2'!$B$2:$R$397,11,False)</f>
        <v>22.6</v>
      </c>
      <c r="V73" s="69">
        <f>VLOOKUP($O73,'NO USAR2'!$B$2:$R$397,10,False)</f>
        <v>3</v>
      </c>
      <c r="W73" s="65">
        <f>VLOOKUP($O73,'NO USAR2'!$B$2:$R$397,12,False)</f>
        <v>4.5</v>
      </c>
      <c r="X73" s="65">
        <f>VLOOKUP($O73,'NO USAR2'!$B$2:$R$397,13,False)</f>
        <v>4.2</v>
      </c>
      <c r="Y73" s="65">
        <f>VLOOKUP($O73,'NO USAR2'!$B$2:$R$397,14,False)</f>
        <v>1.1</v>
      </c>
      <c r="Z73" s="70">
        <f>VLOOKUP($O73,'NO USAR2'!$B$2:$R$397,15,False)</f>
        <v>0.4</v>
      </c>
      <c r="AA73" s="65">
        <f>100*VLOOKUP($O73,'NO USAR2'!$B$2:$R$397,7,False)</f>
        <v>46.35416667</v>
      </c>
      <c r="AB73" s="65">
        <f>100*VLOOKUP($O73,'NO USAR2'!$B$2:$R$397,9,False)</f>
        <v>67.85714286</v>
      </c>
      <c r="AC73" s="65">
        <f>VLOOKUP($O73,'NO USAR2'!$B$2:$Q$397,16,False)</f>
        <v>2</v>
      </c>
      <c r="AD73" s="65">
        <f>VLOOKUP($O73,'NO USAR1'!$A$4:$L$399,2,False)*$U$19</f>
        <v>1.503705192</v>
      </c>
      <c r="AE73" s="65">
        <f>VLOOKUP($O73,'NO USAR1'!$A$4:$L$399,3,False)*$V$19</f>
        <v>1.386515565</v>
      </c>
      <c r="AF73" s="65">
        <f>VLOOKUP($O73,'NO USAR1'!$A$4:$L$399,4,False)*$W$19</f>
        <v>-0.6427337822</v>
      </c>
      <c r="AG73" s="65">
        <f>VLOOKUP($O73,'NO USAR1'!$A$4:$L$399,5,False)*$X$19</f>
        <v>0.2841975587</v>
      </c>
      <c r="AH73" s="65">
        <f>VLOOKUP($O73,'NO USAR1'!$A$4:$L$399,6,False)*$Y$19</f>
        <v>0.3923381197</v>
      </c>
      <c r="AI73" s="65">
        <f>VLOOKUP($O73,'NO USAR1'!$A$4:$L$399,7,False)*$Z$19</f>
        <v>0</v>
      </c>
      <c r="AJ73" s="65">
        <f>VLOOKUP($O73,'NO USAR1'!$A$4:$L$399,8,False)*$AA$19</f>
        <v>0</v>
      </c>
      <c r="AK73" s="70">
        <f>VLOOKUP($O73,'NO USAR1'!$A$4:$L$399,10,False)*$AB$19</f>
        <v>-0.515262712</v>
      </c>
      <c r="AL73" s="65">
        <f>VLOOKUP($O73,'NO USAR1'!$A$4:$L$399,12,False)*$AC$19</f>
        <v>0</v>
      </c>
      <c r="AM73" s="71">
        <f t="shared" si="2"/>
        <v>-0.6427337822</v>
      </c>
      <c r="AN73" s="71">
        <f t="shared" si="3"/>
        <v>-1.157996494</v>
      </c>
    </row>
    <row r="74">
      <c r="A74" t="str">
        <f>IF('NO USAR2'!B72="",ROW('NO USAR2'!B72),'NO USAR2'!B72)</f>
        <v>D'Angelo Russell</v>
      </c>
      <c r="B74" s="58">
        <f>IF(TYPE($A74)=1,"",('NO USAR2'!$L72-B$1)/B$2)</f>
        <v>0.1326062815</v>
      </c>
      <c r="C74" s="58">
        <f>IF(TYPE($A74)=1,"",('NO USAR2'!$K72-C$1)/C$2)</f>
        <v>0.9865333402</v>
      </c>
      <c r="D74" s="58">
        <f>IF(TYPE($A74)=1,"",('NO USAR2'!$M72-D$1)/D$2)</f>
        <v>-1.091770726</v>
      </c>
      <c r="E74" s="58">
        <f>IF(TYPE($A74)=1,"",('NO USAR2'!$N72-E$1)/E$2)</f>
        <v>1.505710839</v>
      </c>
      <c r="F74" s="58">
        <f>IF(TYPE($A74)=1,"",('NO USAR2'!$O72-F$1)/F$2)</f>
        <v>-0.01316939143</v>
      </c>
      <c r="G74" s="58">
        <f>IF(TYPE($A74)=1,"",('NO USAR2'!$P72-G$1)/G$2)</f>
        <v>-0.8184360358</v>
      </c>
      <c r="H74" s="58">
        <f>IF(TYPE($A74)=1,"",('NO USAR2'!$H72-H$1)/H$2*I74/$I$1)</f>
        <v>-1.147034156</v>
      </c>
      <c r="I74" s="58">
        <f>IF(TYPE($A74)=1,"",IF('NO USAR2'!H72=0,0,'NO USAR2'!G72/'NO USAR2'!H72))</f>
        <v>14.3</v>
      </c>
      <c r="J74" s="59">
        <f>IF(TYPE($A74)=1,"",('NO USAR2'!$J72-J$1)/J$2*K74/$K$1)</f>
        <v>-0.01338378909</v>
      </c>
      <c r="K74" s="60">
        <f>IF(TYPE($A74)=1,"",IF('NO USAR2'!J72=0,0,'NO USAR2'!I72/'NO USAR2'!J72))</f>
        <v>3.8</v>
      </c>
      <c r="L74" s="58">
        <f>IF(TYPE($A74)=1,"",-('NO USAR2'!$Q72-L$1)/L$2)</f>
        <v>-0.6392303852</v>
      </c>
      <c r="N74" s="63">
        <v>54.0</v>
      </c>
      <c r="O74" s="68" t="str">
        <f>IF('NO USAR2'!B50="",ROW('NO USAR2'!B50),'NO USAR2'!B50)</f>
        <v>Jonas Valanciunas</v>
      </c>
      <c r="P74" s="68">
        <f>'NO USAR2'!E55</f>
        <v>67</v>
      </c>
      <c r="Q74" s="68" t="str">
        <f>IF('NO USAR2'!C50="",ROW('NO USAR2'!N65),'NO USAR2'!C50)</f>
        <v>C</v>
      </c>
      <c r="R74" s="65">
        <f>VLOOKUP($O74,'NO USAR1'!$A$4:$L$399,2,False)+VLOOKUP($O74,'NO USAR1'!$A$4:$L$399,3,False)+VLOOKUP($O74,'NO USAR1'!$A$4:$L$399,4,False)+VLOOKUP($O74,'NO USAR1'!$A$4:$L$399,5,False)+VLOOKUP($O74,'NO USAR1'!$A$4:$L$399,6,False)+VLOOKUP($O74,'NO USAR1'!$A$4:$L$399,7,False)+VLOOKUP($O74,'NO USAR1'!$A$4:$L$399,8,False)+VLOOKUP($O74,'NO USAR1'!$A$4:$L$399,10,False)+VLOOKUP($O74,'NO USAR1'!$A$4:$L$399,12,False)*0</f>
        <v>0.00796223881</v>
      </c>
      <c r="S74" s="65">
        <f>VLOOKUP($O74,'NO USAR1'!$A$4:$L$399,2,False)*$U$19+VLOOKUP($O74,'NO USAR1'!$A$4:$L$399,3,False)*$V$19+VLOOKUP($O74,'NO USAR1'!$A$4:$L$399,4,False)*$W$19+VLOOKUP($O74,'NO USAR1'!$A$4:$L$399,5,False)*$X$19+VLOOKUP($O74,'NO USAR1'!$A$4:$L$399,6,False)*$Y$19+VLOOKUP($O74,'NO USAR1'!$A$4:$L$399,7,False)*$Z$19+VLOOKUP($O74,'NO USAR1'!$A$4:$L$399,8,False)*$AA$19+VLOOKUP($O74,'NO USAR1'!$A$4:$L$399,10,False)*$AB$19+VLOOKUP($O74,'NO USAR1'!$A$4:$L$399,12,False)*$AC$19+IF(Projections!$K$3,-AN74, IF(Projections!$J$3,-AM74,0))</f>
        <v>-1.636898951</v>
      </c>
      <c r="T74" s="65">
        <f t="shared" si="1"/>
        <v>-1.64486119</v>
      </c>
      <c r="U74" s="65">
        <f>VLOOKUP($O74,'NO USAR2'!$B$2:$R$397,11,False)</f>
        <v>16.8</v>
      </c>
      <c r="V74" s="69">
        <f>VLOOKUP($O74,'NO USAR2'!$B$2:$R$397,10,False)</f>
        <v>0.8</v>
      </c>
      <c r="W74" s="65">
        <f>VLOOKUP($O74,'NO USAR2'!$B$2:$R$397,12,False)</f>
        <v>10.7</v>
      </c>
      <c r="X74" s="65">
        <f>VLOOKUP($O74,'NO USAR2'!$B$2:$R$397,13,False)</f>
        <v>1.7</v>
      </c>
      <c r="Y74" s="65">
        <f>VLOOKUP($O74,'NO USAR2'!$B$2:$R$397,14,False)</f>
        <v>0.6</v>
      </c>
      <c r="Z74" s="70">
        <f>VLOOKUP($O74,'NO USAR2'!$B$2:$R$397,15,False)</f>
        <v>0.8</v>
      </c>
      <c r="AA74" s="65">
        <f>100*VLOOKUP($O74,'NO USAR2'!$B$2:$R$397,7,False)</f>
        <v>54.16666667</v>
      </c>
      <c r="AB74" s="65">
        <f>100*VLOOKUP($O74,'NO USAR2'!$B$2:$R$397,9,False)</f>
        <v>81.08108108</v>
      </c>
      <c r="AC74" s="65">
        <f>VLOOKUP($O74,'NO USAR2'!$B$2:$Q$397,16,False)</f>
        <v>2.3</v>
      </c>
      <c r="AD74" s="65">
        <f>VLOOKUP($O74,'NO USAR1'!$A$4:$L$399,2,False)*$U$19</f>
        <v>-0.04074694364</v>
      </c>
      <c r="AE74" s="65">
        <f>VLOOKUP($O74,'NO USAR1'!$A$4:$L$399,3,False)*$V$19</f>
        <v>-0.8133866724</v>
      </c>
      <c r="AF74" s="65">
        <f>VLOOKUP($O74,'NO USAR1'!$A$4:$L$399,4,False)*$W$19</f>
        <v>1.888201717</v>
      </c>
      <c r="AG74" s="65">
        <f>VLOOKUP($O74,'NO USAR1'!$A$4:$L$399,5,False)*$X$19</f>
        <v>-1.142535468</v>
      </c>
      <c r="AH74" s="65">
        <f>VLOOKUP($O74,'NO USAR1'!$A$4:$L$399,6,False)*$Y$19</f>
        <v>-1.651661175</v>
      </c>
      <c r="AI74" s="65">
        <f>VLOOKUP($O74,'NO USAR1'!$A$4:$L$399,7,False)*$Z$19</f>
        <v>0</v>
      </c>
      <c r="AJ74" s="65">
        <f>VLOOKUP($O74,'NO USAR1'!$A$4:$L$399,8,False)*$AA$19</f>
        <v>0</v>
      </c>
      <c r="AK74" s="70">
        <f>VLOOKUP($O74,'NO USAR1'!$A$4:$L$399,10,False)*$AB$19</f>
        <v>0.1232295916</v>
      </c>
      <c r="AL74" s="65">
        <f>VLOOKUP($O74,'NO USAR1'!$A$4:$L$399,12,False)*$AC$19</f>
        <v>0</v>
      </c>
      <c r="AM74" s="71">
        <f t="shared" si="2"/>
        <v>-1.651661175</v>
      </c>
      <c r="AN74" s="71">
        <f t="shared" si="3"/>
        <v>-2.794196643</v>
      </c>
    </row>
    <row r="75">
      <c r="A75" t="str">
        <f>IF('NO USAR2'!B73="",ROW('NO USAR2'!B73),'NO USAR2'!B73)</f>
        <v>Ivica Zubac</v>
      </c>
      <c r="B75" s="58">
        <f>IF(TYPE($A75)=1,"",('NO USAR2'!$L73-B$1)/B$2)</f>
        <v>-0.8437715053</v>
      </c>
      <c r="C75" s="58">
        <f>IF(TYPE($A75)=1,"",('NO USAR2'!$K73-C$1)/C$2)</f>
        <v>-1.613351122</v>
      </c>
      <c r="D75" s="58">
        <f>IF(TYPE($A75)=1,"",('NO USAR2'!$M73-D$1)/D$2)</f>
        <v>1.235057072</v>
      </c>
      <c r="E75" s="58">
        <f>IF(TYPE($A75)=1,"",('NO USAR2'!$N73-E$1)/E$2)</f>
        <v>-0.8227174609</v>
      </c>
      <c r="F75" s="58">
        <f>IF(TYPE($A75)=1,"",('NO USAR2'!$O73-F$1)/F$2)</f>
        <v>-1.32132894</v>
      </c>
      <c r="G75" s="58">
        <f>IF(TYPE($A75)=1,"",('NO USAR2'!$P73-G$1)/G$2)</f>
        <v>1.035487484</v>
      </c>
      <c r="H75" s="58">
        <f>IF(TYPE($A75)=1,"",('NO USAR2'!$H73-H$1)/H$2*I75/$I$1)</f>
        <v>1.260239745</v>
      </c>
      <c r="I75" s="58">
        <f>IF(TYPE($A75)=1,"",IF('NO USAR2'!H73=0,0,'NO USAR2'!G73/'NO USAR2'!H73))</f>
        <v>7.6</v>
      </c>
      <c r="J75" s="59">
        <f>IF(TYPE($A75)=1,"",('NO USAR2'!$J73-J$1)/J$2*K75/$K$1)</f>
        <v>-0.5486080933</v>
      </c>
      <c r="K75" s="60">
        <f>IF(TYPE($A75)=1,"",IF('NO USAR2'!J73=0,0,'NO USAR2'!I73/'NO USAR2'!J73))</f>
        <v>3.5</v>
      </c>
      <c r="L75" s="58">
        <f>IF(TYPE($A75)=1,"",-('NO USAR2'!$Q73-L$1)/L$2)</f>
        <v>0.2436926961</v>
      </c>
      <c r="N75" s="63">
        <v>55.0</v>
      </c>
      <c r="O75" s="68" t="str">
        <f>IF('NO USAR2'!B81="",ROW('NO USAR2'!B81),'NO USAR2'!B81)</f>
        <v>Marcus Smart</v>
      </c>
      <c r="P75" s="68">
        <f>'NO USAR2'!E56</f>
        <v>74</v>
      </c>
      <c r="Q75" s="68" t="str">
        <f>IF('NO USAR2'!C81="",ROW('NO USAR2'!N96),'NO USAR2'!C81)</f>
        <v>PG/SF</v>
      </c>
      <c r="R75" s="65">
        <f>VLOOKUP($O75,'NO USAR1'!$A$4:$L$399,2,False)+VLOOKUP($O75,'NO USAR1'!$A$4:$L$399,3,False)+VLOOKUP($O75,'NO USAR1'!$A$4:$L$399,4,False)+VLOOKUP($O75,'NO USAR1'!$A$4:$L$399,5,False)+VLOOKUP($O75,'NO USAR1'!$A$4:$L$399,6,False)+VLOOKUP($O75,'NO USAR1'!$A$4:$L$399,7,False)+VLOOKUP($O75,'NO USAR1'!$A$4:$L$399,8,False)+VLOOKUP($O75,'NO USAR1'!$A$4:$L$399,10,False)+VLOOKUP($O75,'NO USAR1'!$A$4:$L$399,12,False)*0</f>
        <v>-0.05632904544</v>
      </c>
      <c r="S75" s="65">
        <f>VLOOKUP($O75,'NO USAR1'!$A$4:$L$399,2,False)*$U$19+VLOOKUP($O75,'NO USAR1'!$A$4:$L$399,3,False)*$V$19+VLOOKUP($O75,'NO USAR1'!$A$4:$L$399,4,False)*$W$19+VLOOKUP($O75,'NO USAR1'!$A$4:$L$399,5,False)*$X$19+VLOOKUP($O75,'NO USAR1'!$A$4:$L$399,6,False)*$Y$19+VLOOKUP($O75,'NO USAR1'!$A$4:$L$399,7,False)*$Z$19+VLOOKUP($O75,'NO USAR1'!$A$4:$L$399,8,False)*$AA$19+VLOOKUP($O75,'NO USAR1'!$A$4:$L$399,10,False)*$AB$19+VLOOKUP($O75,'NO USAR1'!$A$4:$L$399,12,False)*$AC$19+IF(Projections!$K$3,-AN75, IF(Projections!$J$3,-AM75,0))</f>
        <v>1.801659551</v>
      </c>
      <c r="T75" s="65">
        <f t="shared" si="1"/>
        <v>1.857988597</v>
      </c>
      <c r="U75" s="65">
        <f>VLOOKUP($O75,'NO USAR2'!$B$2:$R$397,11,False)</f>
        <v>11.7</v>
      </c>
      <c r="V75" s="69">
        <f>VLOOKUP($O75,'NO USAR2'!$B$2:$R$397,10,False)</f>
        <v>1.6</v>
      </c>
      <c r="W75" s="65">
        <f>VLOOKUP($O75,'NO USAR2'!$B$2:$R$397,12,False)</f>
        <v>3.8</v>
      </c>
      <c r="X75" s="65">
        <f>VLOOKUP($O75,'NO USAR2'!$B$2:$R$397,13,False)</f>
        <v>5.8</v>
      </c>
      <c r="Y75" s="65">
        <f>VLOOKUP($O75,'NO USAR2'!$B$2:$R$397,14,False)</f>
        <v>1.7</v>
      </c>
      <c r="Z75" s="70">
        <f>VLOOKUP($O75,'NO USAR2'!$B$2:$R$397,15,False)</f>
        <v>0.3</v>
      </c>
      <c r="AA75" s="65">
        <f>100*VLOOKUP($O75,'NO USAR2'!$B$2:$R$397,7,False)</f>
        <v>42</v>
      </c>
      <c r="AB75" s="65">
        <f>100*VLOOKUP($O75,'NO USAR2'!$B$2:$R$397,9,False)</f>
        <v>81.81818182</v>
      </c>
      <c r="AC75" s="65">
        <f>VLOOKUP($O75,'NO USAR2'!$B$2:$Q$397,16,False)</f>
        <v>2.2</v>
      </c>
      <c r="AD75" s="65">
        <f>VLOOKUP($O75,'NO USAR1'!$A$4:$L$399,2,False)*$U$19</f>
        <v>-1.398799683</v>
      </c>
      <c r="AE75" s="65">
        <f>VLOOKUP($O75,'NO USAR1'!$A$4:$L$399,3,False)*$V$19</f>
        <v>-0.01342222232</v>
      </c>
      <c r="AF75" s="65">
        <f>VLOOKUP($O75,'NO USAR1'!$A$4:$L$399,4,False)*$W$19</f>
        <v>-0.9284845644</v>
      </c>
      <c r="AG75" s="65">
        <f>VLOOKUP($O75,'NO USAR1'!$A$4:$L$399,5,False)*$X$19</f>
        <v>1.197306696</v>
      </c>
      <c r="AH75" s="65">
        <f>VLOOKUP($O75,'NO USAR1'!$A$4:$L$399,6,False)*$Y$19</f>
        <v>2.845137273</v>
      </c>
      <c r="AI75" s="65">
        <f>VLOOKUP($O75,'NO USAR1'!$A$4:$L$399,7,False)*$Z$19</f>
        <v>0</v>
      </c>
      <c r="AJ75" s="65">
        <f>VLOOKUP($O75,'NO USAR1'!$A$4:$L$399,8,False)*$AA$19</f>
        <v>0</v>
      </c>
      <c r="AK75" s="70">
        <f>VLOOKUP($O75,'NO USAR1'!$A$4:$L$399,10,False)*$AB$19</f>
        <v>0.09992205219</v>
      </c>
      <c r="AL75" s="65">
        <f>VLOOKUP($O75,'NO USAR1'!$A$4:$L$399,12,False)*$AC$19</f>
        <v>0</v>
      </c>
      <c r="AM75" s="71">
        <f t="shared" si="2"/>
        <v>-1.398799683</v>
      </c>
      <c r="AN75" s="71">
        <f t="shared" si="3"/>
        <v>-2.327284248</v>
      </c>
    </row>
    <row r="76">
      <c r="A76" t="str">
        <f>IF('NO USAR2'!B74="",ROW('NO USAR2'!B74),'NO USAR2'!B74)</f>
        <v>Onyeka Okongwu</v>
      </c>
      <c r="B76" s="58">
        <f>IF(TYPE($A76)=1,"",('NO USAR2'!$L74-B$1)/B$2)</f>
        <v>-1.163313326</v>
      </c>
      <c r="C76" s="58">
        <f>IF(TYPE($A76)=1,"",('NO USAR2'!$K74-C$1)/C$2)</f>
        <v>-1.613351122</v>
      </c>
      <c r="D76" s="58">
        <f>IF(TYPE($A76)=1,"",('NO USAR2'!$M74-D$1)/D$2)</f>
        <v>0.2553401045</v>
      </c>
      <c r="E76" s="58">
        <f>IF(TYPE($A76)=1,"",('NO USAR2'!$N74-E$1)/E$2)</f>
        <v>-1.096650202</v>
      </c>
      <c r="F76" s="58">
        <f>IF(TYPE($A76)=1,"",('NO USAR2'!$O74-F$1)/F$2)</f>
        <v>-0.9942890529</v>
      </c>
      <c r="G76" s="58">
        <f>IF(TYPE($A76)=1,"",('NO USAR2'!$P74-G$1)/G$2)</f>
        <v>1.653461991</v>
      </c>
      <c r="H76" s="58">
        <f>IF(TYPE($A76)=1,"",('NO USAR2'!$H74-H$1)/H$2*I76/$I$1)</f>
        <v>1.187782709</v>
      </c>
      <c r="I76" s="58">
        <f>IF(TYPE($A76)=1,"",IF('NO USAR2'!H74=0,0,'NO USAR2'!G74/'NO USAR2'!H74))</f>
        <v>6.5</v>
      </c>
      <c r="J76" s="59">
        <f>IF(TYPE($A76)=1,"",('NO USAR2'!$J74-J$1)/J$2*K76/$K$1)</f>
        <v>-0.1821511743</v>
      </c>
      <c r="K76" s="60">
        <f>IF(TYPE($A76)=1,"",IF('NO USAR2'!J74=0,0,'NO USAR2'!I74/'NO USAR2'!J74))</f>
        <v>2.6</v>
      </c>
      <c r="L76" s="58">
        <f>IF(TYPE($A76)=1,"",-('NO USAR2'!$Q74-L$1)/L$2)</f>
        <v>1.126615777</v>
      </c>
      <c r="N76" s="2">
        <v>56.0</v>
      </c>
      <c r="O76" s="68" t="str">
        <f>IF('NO USAR2'!B65="",ROW('NO USAR2'!B65),'NO USAR2'!B65)</f>
        <v>Julius Randle</v>
      </c>
      <c r="P76" s="68">
        <f>'NO USAR2'!E57</f>
        <v>80</v>
      </c>
      <c r="Q76" s="68" t="str">
        <f>IF('NO USAR2'!C65="",ROW('NO USAR2'!N80),'NO USAR2'!C65)</f>
        <v>PF</v>
      </c>
      <c r="R76" s="65">
        <f>VLOOKUP($O76,'NO USAR1'!$A$4:$L$399,2,False)+VLOOKUP($O76,'NO USAR1'!$A$4:$L$399,3,False)+VLOOKUP($O76,'NO USAR1'!$A$4:$L$399,4,False)+VLOOKUP($O76,'NO USAR1'!$A$4:$L$399,5,False)+VLOOKUP($O76,'NO USAR1'!$A$4:$L$399,6,False)+VLOOKUP($O76,'NO USAR1'!$A$4:$L$399,7,False)+VLOOKUP($O76,'NO USAR1'!$A$4:$L$399,8,False)+VLOOKUP($O76,'NO USAR1'!$A$4:$L$399,10,False)+VLOOKUP($O76,'NO USAR1'!$A$4:$L$399,12,False)*0</f>
        <v>-0.09145813732</v>
      </c>
      <c r="S76" s="65">
        <f>VLOOKUP($O76,'NO USAR1'!$A$4:$L$399,2,False)*$U$19+VLOOKUP($O76,'NO USAR1'!$A$4:$L$399,3,False)*$V$19+VLOOKUP($O76,'NO USAR1'!$A$4:$L$399,4,False)*$W$19+VLOOKUP($O76,'NO USAR1'!$A$4:$L$399,5,False)*$X$19+VLOOKUP($O76,'NO USAR1'!$A$4:$L$399,6,False)*$Y$19+VLOOKUP($O76,'NO USAR1'!$A$4:$L$399,7,False)*$Z$19+VLOOKUP($O76,'NO USAR1'!$A$4:$L$399,8,False)*$AA$19+VLOOKUP($O76,'NO USAR1'!$A$4:$L$399,10,False)*$AB$19+VLOOKUP($O76,'NO USAR1'!$A$4:$L$399,12,False)*$AC$19+IF(Projections!$K$3,-AN76, IF(Projections!$J$3,-AM76,0))</f>
        <v>1.357284493</v>
      </c>
      <c r="T76" s="65">
        <f t="shared" si="1"/>
        <v>1.448742631</v>
      </c>
      <c r="U76" s="65">
        <f>VLOOKUP($O76,'NO USAR2'!$B$2:$R$397,11,False)</f>
        <v>20.2</v>
      </c>
      <c r="V76" s="69">
        <f>VLOOKUP($O76,'NO USAR2'!$B$2:$R$397,10,False)</f>
        <v>1.7</v>
      </c>
      <c r="W76" s="65">
        <f>VLOOKUP($O76,'NO USAR2'!$B$2:$R$397,12,False)</f>
        <v>9.5</v>
      </c>
      <c r="X76" s="65">
        <f>VLOOKUP($O76,'NO USAR2'!$B$2:$R$397,13,False)</f>
        <v>4.4</v>
      </c>
      <c r="Y76" s="65">
        <f>VLOOKUP($O76,'NO USAR2'!$B$2:$R$397,14,False)</f>
        <v>0.7</v>
      </c>
      <c r="Z76" s="70">
        <f>VLOOKUP($O76,'NO USAR2'!$B$2:$R$397,15,False)</f>
        <v>0.5</v>
      </c>
      <c r="AA76" s="65">
        <f>100*VLOOKUP($O76,'NO USAR2'!$B$2:$R$397,7,False)</f>
        <v>44.72049689</v>
      </c>
      <c r="AB76" s="65">
        <f>100*VLOOKUP($O76,'NO USAR2'!$B$2:$R$397,9,False)</f>
        <v>77.35849057</v>
      </c>
      <c r="AC76" s="65">
        <f>VLOOKUP($O76,'NO USAR2'!$B$2:$Q$397,16,False)</f>
        <v>3.3</v>
      </c>
      <c r="AD76" s="65">
        <f>VLOOKUP($O76,'NO USAR1'!$A$4:$L$399,2,False)*$U$19</f>
        <v>0.8646215496</v>
      </c>
      <c r="AE76" s="65">
        <f>VLOOKUP($O76,'NO USAR1'!$A$4:$L$399,3,False)*$V$19</f>
        <v>0.08657333394</v>
      </c>
      <c r="AF76" s="65">
        <f>VLOOKUP($O76,'NO USAR1'!$A$4:$L$399,4,False)*$W$19</f>
        <v>1.398343233</v>
      </c>
      <c r="AG76" s="65">
        <f>VLOOKUP($O76,'NO USAR1'!$A$4:$L$399,5,False)*$X$19</f>
        <v>0.3983362008</v>
      </c>
      <c r="AH76" s="65">
        <f>VLOOKUP($O76,'NO USAR1'!$A$4:$L$399,6,False)*$Y$19</f>
        <v>-1.242861316</v>
      </c>
      <c r="AI76" s="65">
        <f>VLOOKUP($O76,'NO USAR1'!$A$4:$L$399,7,False)*$Z$19</f>
        <v>0</v>
      </c>
      <c r="AJ76" s="65">
        <f>VLOOKUP($O76,'NO USAR1'!$A$4:$L$399,8,False)*$AA$19</f>
        <v>0</v>
      </c>
      <c r="AK76" s="70">
        <f>VLOOKUP($O76,'NO USAR1'!$A$4:$L$399,10,False)*$AB$19</f>
        <v>-0.1477285078</v>
      </c>
      <c r="AL76" s="65">
        <f>VLOOKUP($O76,'NO USAR1'!$A$4:$L$399,12,False)*$AC$19</f>
        <v>0</v>
      </c>
      <c r="AM76" s="71">
        <f t="shared" si="2"/>
        <v>-1.242861316</v>
      </c>
      <c r="AN76" s="71">
        <f t="shared" si="3"/>
        <v>-1.390589824</v>
      </c>
    </row>
    <row r="77">
      <c r="A77" t="str">
        <f>IF('NO USAR2'!B75="",ROW('NO USAR2'!B75),'NO USAR2'!B75)</f>
        <v>Zion Williamson</v>
      </c>
      <c r="B77" s="58">
        <f>IF(TYPE($A77)=1,"",('NO USAR2'!$L75-B$1)/B$2)</f>
        <v>1.517287506</v>
      </c>
      <c r="C77" s="58">
        <f>IF(TYPE($A77)=1,"",('NO USAR2'!$K75-C$1)/C$2)</f>
        <v>-1.41336001</v>
      </c>
      <c r="D77" s="58">
        <f>IF(TYPE($A77)=1,"",('NO USAR2'!$M75-D$1)/D$2)</f>
        <v>0.5002693463</v>
      </c>
      <c r="E77" s="58">
        <f>IF(TYPE($A77)=1,"",('NO USAR2'!$N75-E$1)/E$2)</f>
        <v>-0.2748519786</v>
      </c>
      <c r="F77" s="58">
        <f>IF(TYPE($A77)=1,"",('NO USAR2'!$O75-F$1)/F$2)</f>
        <v>-0.6672491657</v>
      </c>
      <c r="G77" s="58">
        <f>IF(TYPE($A77)=1,"",('NO USAR2'!$P75-G$1)/G$2)</f>
        <v>-0.4064530313</v>
      </c>
      <c r="H77" s="58">
        <f>IF(TYPE($A77)=1,"",('NO USAR2'!$H75-H$1)/H$2*I77/$I$1)</f>
        <v>1.837272406</v>
      </c>
      <c r="I77" s="58">
        <f>IF(TYPE($A77)=1,"",IF('NO USAR2'!H75=0,0,'NO USAR2'!G75/'NO USAR2'!H75))</f>
        <v>16.2</v>
      </c>
      <c r="J77" s="59">
        <f>IF(TYPE($A77)=1,"",('NO USAR2'!$J75-J$1)/J$2*K77/$K$1)</f>
        <v>-2.487506635</v>
      </c>
      <c r="K77" s="60">
        <f>IF(TYPE($A77)=1,"",IF('NO USAR2'!J75=0,0,'NO USAR2'!I75/'NO USAR2'!J75))</f>
        <v>8.8</v>
      </c>
      <c r="L77" s="58">
        <f>IF(TYPE($A77)=1,"",-('NO USAR2'!$Q75-L$1)/L$2)</f>
        <v>-0.7495957703</v>
      </c>
      <c r="N77" s="63">
        <v>57.0</v>
      </c>
      <c r="O77" s="68" t="str">
        <f>IF('NO USAR2'!B69="",ROW('NO USAR2'!B69),'NO USAR2'!B69)</f>
        <v>OG Anunoby</v>
      </c>
      <c r="P77" s="68">
        <f>'NO USAR2'!E58</f>
        <v>69</v>
      </c>
      <c r="Q77" s="68" t="str">
        <f>IF('NO USAR2'!C69="",ROW('NO USAR2'!N84),'NO USAR2'!C69)</f>
        <v>SF</v>
      </c>
      <c r="R77" s="65">
        <f>VLOOKUP($O77,'NO USAR1'!$A$4:$L$399,2,False)+VLOOKUP($O77,'NO USAR1'!$A$4:$L$399,3,False)+VLOOKUP($O77,'NO USAR1'!$A$4:$L$399,4,False)+VLOOKUP($O77,'NO USAR1'!$A$4:$L$399,5,False)+VLOOKUP($O77,'NO USAR1'!$A$4:$L$399,6,False)+VLOOKUP($O77,'NO USAR1'!$A$4:$L$399,7,False)+VLOOKUP($O77,'NO USAR1'!$A$4:$L$399,8,False)+VLOOKUP($O77,'NO USAR1'!$A$4:$L$399,10,False)+VLOOKUP($O77,'NO USAR1'!$A$4:$L$399,12,False)*0</f>
        <v>-0.1401731717</v>
      </c>
      <c r="S77" s="65">
        <f>VLOOKUP($O77,'NO USAR1'!$A$4:$L$399,2,False)*$U$19+VLOOKUP($O77,'NO USAR1'!$A$4:$L$399,3,False)*$V$19+VLOOKUP($O77,'NO USAR1'!$A$4:$L$399,4,False)*$W$19+VLOOKUP($O77,'NO USAR1'!$A$4:$L$399,5,False)*$X$19+VLOOKUP($O77,'NO USAR1'!$A$4:$L$399,6,False)*$Y$19+VLOOKUP($O77,'NO USAR1'!$A$4:$L$399,7,False)*$Z$19+VLOOKUP($O77,'NO USAR1'!$A$4:$L$399,8,False)*$AA$19+VLOOKUP($O77,'NO USAR1'!$A$4:$L$399,10,False)*$AB$19+VLOOKUP($O77,'NO USAR1'!$A$4:$L$399,12,False)*$AC$19+IF(Projections!$K$3,-AN77, IF(Projections!$J$3,-AM77,0))</f>
        <v>1.629969096</v>
      </c>
      <c r="T77" s="65">
        <f t="shared" si="1"/>
        <v>1.770142268</v>
      </c>
      <c r="U77" s="65">
        <f>VLOOKUP($O77,'NO USAR2'!$B$2:$R$397,11,False)</f>
        <v>17.5</v>
      </c>
      <c r="V77" s="69">
        <f>VLOOKUP($O77,'NO USAR2'!$B$2:$R$397,10,False)</f>
        <v>2.5</v>
      </c>
      <c r="W77" s="65">
        <f>VLOOKUP($O77,'NO USAR2'!$B$2:$R$397,12,False)</f>
        <v>5.6</v>
      </c>
      <c r="X77" s="65">
        <f>VLOOKUP($O77,'NO USAR2'!$B$2:$R$397,13,False)</f>
        <v>2.7</v>
      </c>
      <c r="Y77" s="65">
        <f>VLOOKUP($O77,'NO USAR2'!$B$2:$R$397,14,False)</f>
        <v>1.4</v>
      </c>
      <c r="Z77" s="70">
        <f>VLOOKUP($O77,'NO USAR2'!$B$2:$R$397,15,False)</f>
        <v>0.5</v>
      </c>
      <c r="AA77" s="65">
        <f>100*VLOOKUP($O77,'NO USAR2'!$B$2:$R$397,7,False)</f>
        <v>43.91891892</v>
      </c>
      <c r="AB77" s="65">
        <f>100*VLOOKUP($O77,'NO USAR2'!$B$2:$R$397,9,False)</f>
        <v>73.07692308</v>
      </c>
      <c r="AC77" s="65">
        <f>VLOOKUP($O77,'NO USAR2'!$B$2:$Q$397,16,False)</f>
        <v>1.7</v>
      </c>
      <c r="AD77" s="65">
        <f>VLOOKUP($O77,'NO USAR1'!$A$4:$L$399,2,False)*$U$19</f>
        <v>0.145652452</v>
      </c>
      <c r="AE77" s="65">
        <f>VLOOKUP($O77,'NO USAR1'!$A$4:$L$399,3,False)*$V$19</f>
        <v>0.886537784</v>
      </c>
      <c r="AF77" s="65">
        <f>VLOOKUP($O77,'NO USAR1'!$A$4:$L$399,4,False)*$W$19</f>
        <v>-0.1936968389</v>
      </c>
      <c r="AG77" s="65">
        <f>VLOOKUP($O77,'NO USAR1'!$A$4:$L$399,5,False)*$X$19</f>
        <v>-0.5718422575</v>
      </c>
      <c r="AH77" s="65">
        <f>VLOOKUP($O77,'NO USAR1'!$A$4:$L$399,6,False)*$Y$19</f>
        <v>1.618737696</v>
      </c>
      <c r="AI77" s="65">
        <f>VLOOKUP($O77,'NO USAR1'!$A$4:$L$399,7,False)*$Z$19</f>
        <v>0</v>
      </c>
      <c r="AJ77" s="65">
        <f>VLOOKUP($O77,'NO USAR1'!$A$4:$L$399,8,False)*$AA$19</f>
        <v>0</v>
      </c>
      <c r="AK77" s="70">
        <f>VLOOKUP($O77,'NO USAR1'!$A$4:$L$399,10,False)*$AB$19</f>
        <v>-0.2554197398</v>
      </c>
      <c r="AL77" s="65">
        <f>VLOOKUP($O77,'NO USAR1'!$A$4:$L$399,12,False)*$AC$19</f>
        <v>0</v>
      </c>
      <c r="AM77" s="71">
        <f t="shared" si="2"/>
        <v>-0.5718422575</v>
      </c>
      <c r="AN77" s="71">
        <f t="shared" si="3"/>
        <v>-0.8272619973</v>
      </c>
    </row>
    <row r="78">
      <c r="A78" t="str">
        <f>IF('NO USAR2'!B76="",ROW('NO USAR2'!B76),'NO USAR2'!B76)</f>
        <v>Jerami Grant</v>
      </c>
      <c r="B78" s="58">
        <f>IF(TYPE($A78)=1,"",('NO USAR2'!$L76-B$1)/B$2)</f>
        <v>-0.1336785695</v>
      </c>
      <c r="C78" s="58">
        <f>IF(TYPE($A78)=1,"",('NO USAR2'!$K76-C$1)/C$2)</f>
        <v>0.08657333394</v>
      </c>
      <c r="D78" s="58">
        <f>IF(TYPE($A78)=1,"",('NO USAR2'!$M76-D$1)/D$2)</f>
        <v>-0.8060199435</v>
      </c>
      <c r="E78" s="58">
        <f>IF(TYPE($A78)=1,"",('NO USAR2'!$N76-E$1)/E$2)</f>
        <v>-0.7314065472</v>
      </c>
      <c r="F78" s="58">
        <f>IF(TYPE($A78)=1,"",('NO USAR2'!$O76-F$1)/F$2)</f>
        <v>-0.01316939143</v>
      </c>
      <c r="G78" s="58">
        <f>IF(TYPE($A78)=1,"",('NO USAR2'!$P76-G$1)/G$2)</f>
        <v>0.8294959822</v>
      </c>
      <c r="H78" s="58">
        <f>IF(TYPE($A78)=1,"",('NO USAR2'!$H76-H$1)/H$2*I78/$I$1)</f>
        <v>-0.5851285225</v>
      </c>
      <c r="I78" s="58">
        <f>IF(TYPE($A78)=1,"",IF('NO USAR2'!H76=0,0,'NO USAR2'!G76/'NO USAR2'!H76))</f>
        <v>12.9</v>
      </c>
      <c r="J78" s="59">
        <f>IF(TYPE($A78)=1,"",('NO USAR2'!$J76-J$1)/J$2*K78/$K$1)</f>
        <v>0.5063021555</v>
      </c>
      <c r="K78" s="60">
        <f>IF(TYPE($A78)=1,"",IF('NO USAR2'!J76=0,0,'NO USAR2'!I76/'NO USAR2'!J76))</f>
        <v>3.6</v>
      </c>
      <c r="L78" s="58">
        <f>IF(TYPE($A78)=1,"",-('NO USAR2'!$Q76-L$1)/L$2)</f>
        <v>0.02296192577</v>
      </c>
      <c r="N78" s="63">
        <v>58.0</v>
      </c>
      <c r="O78" s="68" t="str">
        <f>IF('NO USAR2'!B68="",ROW('NO USAR2'!B68),'NO USAR2'!B68)</f>
        <v>Draymond Green</v>
      </c>
      <c r="P78" s="68">
        <f>'NO USAR2'!E59</f>
        <v>74</v>
      </c>
      <c r="Q78" s="68" t="str">
        <f>IF('NO USAR2'!C68="",ROW('NO USAR2'!N83),'NO USAR2'!C68)</f>
        <v>PF</v>
      </c>
      <c r="R78" s="65">
        <f>VLOOKUP($O78,'NO USAR1'!$A$4:$L$399,2,False)+VLOOKUP($O78,'NO USAR1'!$A$4:$L$399,3,False)+VLOOKUP($O78,'NO USAR1'!$A$4:$L$399,4,False)+VLOOKUP($O78,'NO USAR1'!$A$4:$L$399,5,False)+VLOOKUP($O78,'NO USAR1'!$A$4:$L$399,6,False)+VLOOKUP($O78,'NO USAR1'!$A$4:$L$399,7,False)+VLOOKUP($O78,'NO USAR1'!$A$4:$L$399,8,False)+VLOOKUP($O78,'NO USAR1'!$A$4:$L$399,10,False)+VLOOKUP($O78,'NO USAR1'!$A$4:$L$399,12,False)*0</f>
        <v>-0.1587343339</v>
      </c>
      <c r="S78" s="65">
        <f>VLOOKUP($O78,'NO USAR1'!$A$4:$L$399,2,False)*$U$19+VLOOKUP($O78,'NO USAR1'!$A$4:$L$399,3,False)*$V$19+VLOOKUP($O78,'NO USAR1'!$A$4:$L$399,4,False)*$W$19+VLOOKUP($O78,'NO USAR1'!$A$4:$L$399,5,False)*$X$19+VLOOKUP($O78,'NO USAR1'!$A$4:$L$399,6,False)*$Y$19+VLOOKUP($O78,'NO USAR1'!$A$4:$L$399,7,False)*$Z$19+VLOOKUP($O78,'NO USAR1'!$A$4:$L$399,8,False)*$AA$19+VLOOKUP($O78,'NO USAR1'!$A$4:$L$399,10,False)*$AB$19+VLOOKUP($O78,'NO USAR1'!$A$4:$L$399,12,False)*$AC$19+IF(Projections!$K$3,-AN78, IF(Projections!$J$3,-AM78,0))</f>
        <v>-0.6876851179</v>
      </c>
      <c r="T78" s="65">
        <f t="shared" si="1"/>
        <v>-0.528950784</v>
      </c>
      <c r="U78" s="65">
        <f>VLOOKUP($O78,'NO USAR2'!$B$2:$R$397,11,False)</f>
        <v>7.6</v>
      </c>
      <c r="V78" s="69">
        <f>VLOOKUP($O78,'NO USAR2'!$B$2:$R$397,10,False)</f>
        <v>0.4</v>
      </c>
      <c r="W78" s="65">
        <f>VLOOKUP($O78,'NO USAR2'!$B$2:$R$397,12,False)</f>
        <v>7.3</v>
      </c>
      <c r="X78" s="65">
        <f>VLOOKUP($O78,'NO USAR2'!$B$2:$R$397,13,False)</f>
        <v>6.8</v>
      </c>
      <c r="Y78" s="65">
        <f>VLOOKUP($O78,'NO USAR2'!$B$2:$R$397,14,False)</f>
        <v>1.3</v>
      </c>
      <c r="Z78" s="70">
        <f>VLOOKUP($O78,'NO USAR2'!$B$2:$R$397,15,False)</f>
        <v>1</v>
      </c>
      <c r="AA78" s="65">
        <f>100*VLOOKUP($O78,'NO USAR2'!$B$2:$R$397,7,False)</f>
        <v>50.87719298</v>
      </c>
      <c r="AB78" s="65">
        <f>100*VLOOKUP($O78,'NO USAR2'!$B$2:$R$397,9,False)</f>
        <v>65</v>
      </c>
      <c r="AC78" s="65">
        <f>VLOOKUP($O78,'NO USAR2'!$B$2:$Q$397,16,False)</f>
        <v>3</v>
      </c>
      <c r="AD78" s="65">
        <f>VLOOKUP($O78,'NO USAR1'!$A$4:$L$399,2,False)*$U$19</f>
        <v>-2.490567572</v>
      </c>
      <c r="AE78" s="65">
        <f>VLOOKUP($O78,'NO USAR1'!$A$4:$L$399,3,False)*$V$19</f>
        <v>-1.213368897</v>
      </c>
      <c r="AF78" s="65">
        <f>VLOOKUP($O78,'NO USAR1'!$A$4:$L$399,4,False)*$W$19</f>
        <v>0.5002693463</v>
      </c>
      <c r="AG78" s="65">
        <f>VLOOKUP($O78,'NO USAR1'!$A$4:$L$399,5,False)*$X$19</f>
        <v>1.767999907</v>
      </c>
      <c r="AH78" s="65">
        <f>VLOOKUP($O78,'NO USAR1'!$A$4:$L$399,6,False)*$Y$19</f>
        <v>1.209937838</v>
      </c>
      <c r="AI78" s="65">
        <f>VLOOKUP($O78,'NO USAR1'!$A$4:$L$399,7,False)*$Z$19</f>
        <v>0</v>
      </c>
      <c r="AJ78" s="65">
        <f>VLOOKUP($O78,'NO USAR1'!$A$4:$L$399,8,False)*$AA$19</f>
        <v>0</v>
      </c>
      <c r="AK78" s="70">
        <f>VLOOKUP($O78,'NO USAR1'!$A$4:$L$399,10,False)*$AB$19</f>
        <v>-0.4619557387</v>
      </c>
      <c r="AL78" s="65">
        <f>VLOOKUP($O78,'NO USAR1'!$A$4:$L$399,12,False)*$AC$19</f>
        <v>0</v>
      </c>
      <c r="AM78" s="71">
        <f t="shared" si="2"/>
        <v>-2.490567572</v>
      </c>
      <c r="AN78" s="71">
        <f t="shared" si="3"/>
        <v>-3.70393647</v>
      </c>
    </row>
    <row r="79">
      <c r="A79" t="str">
        <f>IF('NO USAR2'!B77="",ROW('NO USAR2'!B77),'NO USAR2'!B77)</f>
        <v>Wendell Carter Jr.</v>
      </c>
      <c r="B79" s="58">
        <f>IF(TYPE($A79)=1,"",('NO USAR2'!$L77-B$1)/B$2)</f>
        <v>-0.382211097</v>
      </c>
      <c r="C79" s="58">
        <f>IF(TYPE($A79)=1,"",('NO USAR2'!$K77-C$1)/C$2)</f>
        <v>-0.6133955598</v>
      </c>
      <c r="D79" s="58">
        <f>IF(TYPE($A79)=1,"",('NO USAR2'!$M77-D$1)/D$2)</f>
        <v>1.561629394</v>
      </c>
      <c r="E79" s="58">
        <f>IF(TYPE($A79)=1,"",('NO USAR2'!$N77-E$1)/E$2)</f>
        <v>-0.5944401766</v>
      </c>
      <c r="F79" s="58">
        <f>IF(TYPE($A79)=1,"",('NO USAR2'!$O77-F$1)/F$2)</f>
        <v>-1.32132894</v>
      </c>
      <c r="G79" s="58">
        <f>IF(TYPE($A79)=1,"",('NO USAR2'!$P77-G$1)/G$2)</f>
        <v>0.005529973215</v>
      </c>
      <c r="H79" s="58">
        <f>IF(TYPE($A79)=1,"",('NO USAR2'!$H77-H$1)/H$2*I79/$I$1)</f>
        <v>0.4924619546</v>
      </c>
      <c r="I79" s="58">
        <f>IF(TYPE($A79)=1,"",IF('NO USAR2'!H77=0,0,'NO USAR2'!G77/'NO USAR2'!H77))</f>
        <v>11</v>
      </c>
      <c r="J79" s="59">
        <f>IF(TYPE($A79)=1,"",('NO USAR2'!$J77-J$1)/J$2*K79/$K$1)</f>
        <v>-0.8239894252</v>
      </c>
      <c r="K79" s="60">
        <f>IF(TYPE($A79)=1,"",IF('NO USAR2'!J77=0,0,'NO USAR2'!I77/'NO USAR2'!J77))</f>
        <v>3.1</v>
      </c>
      <c r="L79" s="58">
        <f>IF(TYPE($A79)=1,"",-('NO USAR2'!$Q77-L$1)/L$2)</f>
        <v>0.1333273109</v>
      </c>
      <c r="N79" s="2">
        <v>59.0</v>
      </c>
      <c r="O79" s="68" t="str">
        <f>IF('NO USAR2'!B56="",ROW('NO USAR2'!B56),'NO USAR2'!B56)</f>
        <v>Scottie Barnes</v>
      </c>
      <c r="P79" s="68">
        <f>'NO USAR2'!E60</f>
        <v>60</v>
      </c>
      <c r="Q79" s="68" t="str">
        <f>IF('NO USAR2'!C56="",ROW('NO USAR2'!N71),'NO USAR2'!C56)</f>
        <v>SF/PF</v>
      </c>
      <c r="R79" s="65">
        <f>VLOOKUP($O79,'NO USAR1'!$A$4:$L$399,2,False)+VLOOKUP($O79,'NO USAR1'!$A$4:$L$399,3,False)+VLOOKUP($O79,'NO USAR1'!$A$4:$L$399,4,False)+VLOOKUP($O79,'NO USAR1'!$A$4:$L$399,5,False)+VLOOKUP($O79,'NO USAR1'!$A$4:$L$399,6,False)+VLOOKUP($O79,'NO USAR1'!$A$4:$L$399,7,False)+VLOOKUP($O79,'NO USAR1'!$A$4:$L$399,8,False)+VLOOKUP($O79,'NO USAR1'!$A$4:$L$399,10,False)+VLOOKUP($O79,'NO USAR1'!$A$4:$L$399,12,False)*0</f>
        <v>-0.2033494655</v>
      </c>
      <c r="S79" s="65">
        <f>VLOOKUP($O79,'NO USAR1'!$A$4:$L$399,2,False)*$U$19+VLOOKUP($O79,'NO USAR1'!$A$4:$L$399,3,False)*$V$19+VLOOKUP($O79,'NO USAR1'!$A$4:$L$399,4,False)*$W$19+VLOOKUP($O79,'NO USAR1'!$A$4:$L$399,5,False)*$X$19+VLOOKUP($O79,'NO USAR1'!$A$4:$L$399,6,False)*$Y$19+VLOOKUP($O79,'NO USAR1'!$A$4:$L$399,7,False)*$Z$19+VLOOKUP($O79,'NO USAR1'!$A$4:$L$399,8,False)*$AA$19+VLOOKUP($O79,'NO USAR1'!$A$4:$L$399,10,False)*$AB$19+VLOOKUP($O79,'NO USAR1'!$A$4:$L$399,12,False)*$AC$19+IF(Projections!$K$3,-AN79, IF(Projections!$J$3,-AM79,0))</f>
        <v>0.06145952941</v>
      </c>
      <c r="T79" s="65">
        <f t="shared" si="1"/>
        <v>0.2648089949</v>
      </c>
      <c r="U79" s="65">
        <f>VLOOKUP($O79,'NO USAR2'!$B$2:$R$397,11,False)</f>
        <v>16.8</v>
      </c>
      <c r="V79" s="69">
        <f>VLOOKUP($O79,'NO USAR2'!$B$2:$R$397,10,False)</f>
        <v>1</v>
      </c>
      <c r="W79" s="65">
        <f>VLOOKUP($O79,'NO USAR2'!$B$2:$R$397,12,False)</f>
        <v>7.7</v>
      </c>
      <c r="X79" s="65">
        <f>VLOOKUP($O79,'NO USAR2'!$B$2:$R$397,13,False)</f>
        <v>3.6</v>
      </c>
      <c r="Y79" s="65">
        <f>VLOOKUP($O79,'NO USAR2'!$B$2:$R$397,14,False)</f>
        <v>1.1</v>
      </c>
      <c r="Z79" s="70">
        <f>VLOOKUP($O79,'NO USAR2'!$B$2:$R$397,15,False)</f>
        <v>0.7</v>
      </c>
      <c r="AA79" s="65">
        <f>100*VLOOKUP($O79,'NO USAR2'!$B$2:$R$397,7,False)</f>
        <v>49.27536232</v>
      </c>
      <c r="AB79" s="65">
        <f>100*VLOOKUP($O79,'NO USAR2'!$B$2:$R$397,9,False)</f>
        <v>73.33333333</v>
      </c>
      <c r="AC79" s="65">
        <f>VLOOKUP($O79,'NO USAR2'!$B$2:$Q$397,16,False)</f>
        <v>1.8</v>
      </c>
      <c r="AD79" s="65">
        <f>VLOOKUP($O79,'NO USAR1'!$A$4:$L$399,2,False)*$U$19</f>
        <v>-0.04074694364</v>
      </c>
      <c r="AE79" s="65">
        <f>VLOOKUP($O79,'NO USAR1'!$A$4:$L$399,3,False)*$V$19</f>
        <v>-0.6133955598</v>
      </c>
      <c r="AF79" s="65">
        <f>VLOOKUP($O79,'NO USAR1'!$A$4:$L$399,4,False)*$W$19</f>
        <v>0.6635555075</v>
      </c>
      <c r="AG79" s="65">
        <f>VLOOKUP($O79,'NO USAR1'!$A$4:$L$399,5,False)*$X$19</f>
        <v>-0.05821836781</v>
      </c>
      <c r="AH79" s="65">
        <f>VLOOKUP($O79,'NO USAR1'!$A$4:$L$399,6,False)*$Y$19</f>
        <v>0.3923381197</v>
      </c>
      <c r="AI79" s="65">
        <f>VLOOKUP($O79,'NO USAR1'!$A$4:$L$399,7,False)*$Z$19</f>
        <v>0</v>
      </c>
      <c r="AJ79" s="65">
        <f>VLOOKUP($O79,'NO USAR1'!$A$4:$L$399,8,False)*$AA$19</f>
        <v>0</v>
      </c>
      <c r="AK79" s="70">
        <f>VLOOKUP($O79,'NO USAR1'!$A$4:$L$399,10,False)*$AB$19</f>
        <v>-0.2820732264</v>
      </c>
      <c r="AL79" s="65">
        <f>VLOOKUP($O79,'NO USAR1'!$A$4:$L$399,12,False)*$AC$19</f>
        <v>0</v>
      </c>
      <c r="AM79" s="71">
        <f t="shared" si="2"/>
        <v>-0.6133955598</v>
      </c>
      <c r="AN79" s="71">
        <f t="shared" si="3"/>
        <v>-0.8954687863</v>
      </c>
    </row>
    <row r="80">
      <c r="A80" t="str">
        <f>IF('NO USAR2'!B78="",ROW('NO USAR2'!B78),'NO USAR2'!B78)</f>
        <v>Lauri Markkanen</v>
      </c>
      <c r="B80" s="58">
        <f>IF(TYPE($A80)=1,"",('NO USAR2'!$L78-B$1)/B$2)</f>
        <v>0.1326062815</v>
      </c>
      <c r="C80" s="58">
        <f>IF(TYPE($A80)=1,"",('NO USAR2'!$K78-C$1)/C$2)</f>
        <v>0.886537784</v>
      </c>
      <c r="D80" s="58">
        <f>IF(TYPE($A80)=1,"",('NO USAR2'!$M78-D$1)/D$2)</f>
        <v>0.1328754835</v>
      </c>
      <c r="E80" s="58">
        <f>IF(TYPE($A80)=1,"",('NO USAR2'!$N78-E$1)/E$2)</f>
        <v>-1.005339288</v>
      </c>
      <c r="F80" s="58">
        <f>IF(TYPE($A80)=1,"",('NO USAR2'!$O78-F$1)/F$2)</f>
        <v>-0.6672491657</v>
      </c>
      <c r="G80" s="58">
        <f>IF(TYPE($A80)=1,"",('NO USAR2'!$P78-G$1)/G$2)</f>
        <v>-0.4064530313</v>
      </c>
      <c r="H80" s="58">
        <f>IF(TYPE($A80)=1,"",('NO USAR2'!$H78-H$1)/H$2*I80/$I$1)</f>
        <v>-0.6828173516</v>
      </c>
      <c r="I80" s="58">
        <f>IF(TYPE($A80)=1,"",IF('NO USAR2'!H78=0,0,'NO USAR2'!G78/'NO USAR2'!H78))</f>
        <v>14.3</v>
      </c>
      <c r="J80" s="59">
        <f>IF(TYPE($A80)=1,"",('NO USAR2'!$J78-J$1)/J$2*K80/$K$1)</f>
        <v>0.6817614352</v>
      </c>
      <c r="K80" s="60">
        <f>IF(TYPE($A80)=1,"",IF('NO USAR2'!J78=0,0,'NO USAR2'!I78/'NO USAR2'!J78))</f>
        <v>2.9</v>
      </c>
      <c r="L80" s="58">
        <f>IF(TYPE($A80)=1,"",-('NO USAR2'!$Q78-L$1)/L$2)</f>
        <v>0.905885007</v>
      </c>
      <c r="N80" s="63">
        <v>60.0</v>
      </c>
      <c r="O80" s="68" t="str">
        <f>IF('NO USAR2'!B60="",ROW('NO USAR2'!B60),'NO USAR2'!B60)</f>
        <v>Gordon Hayward</v>
      </c>
      <c r="P80" s="68">
        <f>'NO USAR2'!E61</f>
        <v>61</v>
      </c>
      <c r="Q80" s="68" t="str">
        <f>IF('NO USAR2'!C60="",ROW('NO USAR2'!N75),'NO USAR2'!C60)</f>
        <v>SF</v>
      </c>
      <c r="R80" s="65">
        <f>VLOOKUP($O80,'NO USAR1'!$A$4:$L$399,2,False)+VLOOKUP($O80,'NO USAR1'!$A$4:$L$399,3,False)+VLOOKUP($O80,'NO USAR1'!$A$4:$L$399,4,False)+VLOOKUP($O80,'NO USAR1'!$A$4:$L$399,5,False)+VLOOKUP($O80,'NO USAR1'!$A$4:$L$399,6,False)+VLOOKUP($O80,'NO USAR1'!$A$4:$L$399,7,False)+VLOOKUP($O80,'NO USAR1'!$A$4:$L$399,8,False)+VLOOKUP($O80,'NO USAR1'!$A$4:$L$399,10,False)+VLOOKUP($O80,'NO USAR1'!$A$4:$L$399,12,False)*0</f>
        <v>-0.3023880558</v>
      </c>
      <c r="S80" s="65">
        <f>VLOOKUP($O80,'NO USAR1'!$A$4:$L$399,2,False)*$U$19+VLOOKUP($O80,'NO USAR1'!$A$4:$L$399,3,False)*$V$19+VLOOKUP($O80,'NO USAR1'!$A$4:$L$399,4,False)*$W$19+VLOOKUP($O80,'NO USAR1'!$A$4:$L$399,5,False)*$X$19+VLOOKUP($O80,'NO USAR1'!$A$4:$L$399,6,False)*$Y$19+VLOOKUP($O80,'NO USAR1'!$A$4:$L$399,7,False)*$Z$19+VLOOKUP($O80,'NO USAR1'!$A$4:$L$399,8,False)*$AA$19+VLOOKUP($O80,'NO USAR1'!$A$4:$L$399,10,False)*$AB$19+VLOOKUP($O80,'NO USAR1'!$A$4:$L$399,12,False)*$AC$19+IF(Projections!$K$3,-AN80, IF(Projections!$J$3,-AM80,0))</f>
        <v>0.4697259564</v>
      </c>
      <c r="T80" s="65">
        <f t="shared" si="1"/>
        <v>0.7721140123</v>
      </c>
      <c r="U80" s="65">
        <f>VLOOKUP($O80,'NO USAR2'!$B$2:$R$397,11,False)</f>
        <v>18</v>
      </c>
      <c r="V80" s="69">
        <f>VLOOKUP($O80,'NO USAR2'!$B$2:$R$397,10,False)</f>
        <v>2</v>
      </c>
      <c r="W80" s="65">
        <f>VLOOKUP($O80,'NO USAR2'!$B$2:$R$397,12,False)</f>
        <v>4.7</v>
      </c>
      <c r="X80" s="65">
        <f>VLOOKUP($O80,'NO USAR2'!$B$2:$R$397,13,False)</f>
        <v>3.7</v>
      </c>
      <c r="Y80" s="65">
        <f>VLOOKUP($O80,'NO USAR2'!$B$2:$R$397,14,False)</f>
        <v>1</v>
      </c>
      <c r="Z80" s="70">
        <f>VLOOKUP($O80,'NO USAR2'!$B$2:$R$397,15,False)</f>
        <v>0.4</v>
      </c>
      <c r="AA80" s="65">
        <f>100*VLOOKUP($O80,'NO USAR2'!$B$2:$R$397,7,False)</f>
        <v>46.09929078</v>
      </c>
      <c r="AB80" s="65">
        <f>100*VLOOKUP($O80,'NO USAR2'!$B$2:$R$397,9,False)</f>
        <v>85.71428571</v>
      </c>
      <c r="AC80" s="65">
        <f>VLOOKUP($O80,'NO USAR2'!$B$2:$Q$397,16,False)</f>
        <v>1.7</v>
      </c>
      <c r="AD80" s="65">
        <f>VLOOKUP($O80,'NO USAR1'!$A$4:$L$399,2,False)*$U$19</f>
        <v>0.2787948775</v>
      </c>
      <c r="AE80" s="65">
        <f>VLOOKUP($O80,'NO USAR1'!$A$4:$L$399,3,False)*$V$19</f>
        <v>0.3865600027</v>
      </c>
      <c r="AF80" s="65">
        <f>VLOOKUP($O80,'NO USAR1'!$A$4:$L$399,4,False)*$W$19</f>
        <v>-0.5610907016</v>
      </c>
      <c r="AG80" s="65">
        <f>VLOOKUP($O80,'NO USAR1'!$A$4:$L$399,5,False)*$X$19</f>
        <v>-0.001149046733</v>
      </c>
      <c r="AH80" s="65">
        <f>VLOOKUP($O80,'NO USAR1'!$A$4:$L$399,6,False)*$Y$19</f>
        <v>-0.01646173929</v>
      </c>
      <c r="AI80" s="65">
        <f>VLOOKUP($O80,'NO USAR1'!$A$4:$L$399,7,False)*$Z$19</f>
        <v>0</v>
      </c>
      <c r="AJ80" s="65">
        <f>VLOOKUP($O80,'NO USAR1'!$A$4:$L$399,8,False)*$AA$19</f>
        <v>0</v>
      </c>
      <c r="AK80" s="70">
        <f>VLOOKUP($O80,'NO USAR1'!$A$4:$L$399,10,False)*$AB$19</f>
        <v>0.3830725639</v>
      </c>
      <c r="AL80" s="65">
        <f>VLOOKUP($O80,'NO USAR1'!$A$4:$L$399,12,False)*$AC$19</f>
        <v>0</v>
      </c>
      <c r="AM80" s="71">
        <f t="shared" si="2"/>
        <v>-0.5610907016</v>
      </c>
      <c r="AN80" s="71">
        <f t="shared" si="3"/>
        <v>-0.5775524409</v>
      </c>
    </row>
    <row r="81">
      <c r="A81" t="str">
        <f>IF('NO USAR2'!B79="",ROW('NO USAR2'!B79),'NO USAR2'!B79)</f>
        <v>Keegan Murray</v>
      </c>
      <c r="B81" s="58">
        <f>IF(TYPE($A81)=1,"",('NO USAR2'!$L79-B$1)/B$2)</f>
        <v>-0.1336785695</v>
      </c>
      <c r="C81" s="58">
        <f>IF(TYPE($A81)=1,"",('NO USAR2'!$K79-C$1)/C$2)</f>
        <v>-0.3134088911</v>
      </c>
      <c r="D81" s="58">
        <f>IF(TYPE($A81)=1,"",('NO USAR2'!$M79-D$1)/D$2)</f>
        <v>-0.03041067768</v>
      </c>
      <c r="E81" s="58">
        <f>IF(TYPE($A81)=1,"",('NO USAR2'!$N79-E$1)/E$2)</f>
        <v>-1.233616573</v>
      </c>
      <c r="F81" s="58">
        <f>IF(TYPE($A81)=1,"",('NO USAR2'!$O79-F$1)/F$2)</f>
        <v>-0.9942890529</v>
      </c>
      <c r="G81" s="58">
        <f>IF(TYPE($A81)=1,"",('NO USAR2'!$P79-G$1)/G$2)</f>
        <v>0.62350448</v>
      </c>
      <c r="H81" s="58">
        <f>IF(TYPE($A81)=1,"",('NO USAR2'!$H79-H$1)/H$2*I81/$I$1)</f>
        <v>0.327563339</v>
      </c>
      <c r="I81" s="58">
        <f>IF(TYPE($A81)=1,"",IF('NO USAR2'!H79=0,0,'NO USAR2'!G79/'NO USAR2'!H79))</f>
        <v>11.7</v>
      </c>
      <c r="J81" s="59">
        <f>IF(TYPE($A81)=1,"",('NO USAR2'!$J79-J$1)/J$2*K81/$K$1)</f>
        <v>-0.4109174273</v>
      </c>
      <c r="K81" s="60">
        <f>IF(TYPE($A81)=1,"",IF('NO USAR2'!J79=0,0,'NO USAR2'!I79/'NO USAR2'!J79))</f>
        <v>3.7</v>
      </c>
      <c r="L81" s="58">
        <f>IF(TYPE($A81)=1,"",-('NO USAR2'!$Q79-L$1)/L$2)</f>
        <v>1.126615777</v>
      </c>
      <c r="N81" s="63">
        <v>61.0</v>
      </c>
      <c r="O81" s="68" t="str">
        <f>IF('NO USAR2'!B63="",ROW('NO USAR2'!B63),'NO USAR2'!B63)</f>
        <v>PJ Washington</v>
      </c>
      <c r="P81" s="68">
        <f>'NO USAR2'!E62</f>
        <v>70</v>
      </c>
      <c r="Q81" s="68" t="str">
        <f>IF('NO USAR2'!C63="",ROW('NO USAR2'!N78),'NO USAR2'!C63)</f>
        <v>PF/C</v>
      </c>
      <c r="R81" s="65">
        <f>VLOOKUP($O81,'NO USAR1'!$A$4:$L$399,2,False)+VLOOKUP($O81,'NO USAR1'!$A$4:$L$399,3,False)+VLOOKUP($O81,'NO USAR1'!$A$4:$L$399,4,False)+VLOOKUP($O81,'NO USAR1'!$A$4:$L$399,5,False)+VLOOKUP($O81,'NO USAR1'!$A$4:$L$399,6,False)+VLOOKUP($O81,'NO USAR1'!$A$4:$L$399,7,False)+VLOOKUP($O81,'NO USAR1'!$A$4:$L$399,8,False)+VLOOKUP($O81,'NO USAR1'!$A$4:$L$399,10,False)+VLOOKUP($O81,'NO USAR1'!$A$4:$L$399,12,False)*0</f>
        <v>-0.3535522718</v>
      </c>
      <c r="S81" s="65">
        <f>VLOOKUP($O81,'NO USAR1'!$A$4:$L$399,2,False)*$U$19+VLOOKUP($O81,'NO USAR1'!$A$4:$L$399,3,False)*$V$19+VLOOKUP($O81,'NO USAR1'!$A$4:$L$399,4,False)*$W$19+VLOOKUP($O81,'NO USAR1'!$A$4:$L$399,5,False)*$X$19+VLOOKUP($O81,'NO USAR1'!$A$4:$L$399,6,False)*$Y$19+VLOOKUP($O81,'NO USAR1'!$A$4:$L$399,7,False)*$Z$19+VLOOKUP($O81,'NO USAR1'!$A$4:$L$399,8,False)*$AA$19+VLOOKUP($O81,'NO USAR1'!$A$4:$L$399,10,False)*$AB$19+VLOOKUP($O81,'NO USAR1'!$A$4:$L$399,12,False)*$AC$19+IF(Projections!$K$3,-AN81, IF(Projections!$J$3,-AM81,0))</f>
        <v>-1.047174292</v>
      </c>
      <c r="T81" s="65">
        <f t="shared" si="1"/>
        <v>-0.6936220207</v>
      </c>
      <c r="U81" s="65">
        <f>VLOOKUP($O81,'NO USAR2'!$B$2:$R$397,11,False)</f>
        <v>13.1</v>
      </c>
      <c r="V81" s="69">
        <f>VLOOKUP($O81,'NO USAR2'!$B$2:$R$397,10,False)</f>
        <v>1.9</v>
      </c>
      <c r="W81" s="65">
        <f>VLOOKUP($O81,'NO USAR2'!$B$2:$R$397,12,False)</f>
        <v>6.2</v>
      </c>
      <c r="X81" s="65">
        <f>VLOOKUP($O81,'NO USAR2'!$B$2:$R$397,13,False)</f>
        <v>2.8</v>
      </c>
      <c r="Y81" s="65">
        <f>VLOOKUP($O81,'NO USAR2'!$B$2:$R$397,14,False)</f>
        <v>1.1</v>
      </c>
      <c r="Z81" s="70">
        <f>VLOOKUP($O81,'NO USAR2'!$B$2:$R$397,15,False)</f>
        <v>1.1</v>
      </c>
      <c r="AA81" s="65">
        <f>100*VLOOKUP($O81,'NO USAR2'!$B$2:$R$397,7,False)</f>
        <v>46.72897196</v>
      </c>
      <c r="AB81" s="65">
        <f>100*VLOOKUP($O81,'NO USAR2'!$B$2:$R$397,9,False)</f>
        <v>70.58823529</v>
      </c>
      <c r="AC81" s="65">
        <f>VLOOKUP($O81,'NO USAR2'!$B$2:$Q$397,16,False)</f>
        <v>1.6</v>
      </c>
      <c r="AD81" s="65">
        <f>VLOOKUP($O81,'NO USAR1'!$A$4:$L$399,2,False)*$U$19</f>
        <v>-1.026000892</v>
      </c>
      <c r="AE81" s="65">
        <f>VLOOKUP($O81,'NO USAR1'!$A$4:$L$399,3,False)*$V$19</f>
        <v>0.2865644464</v>
      </c>
      <c r="AF81" s="65">
        <f>VLOOKUP($O81,'NO USAR1'!$A$4:$L$399,4,False)*$W$19</f>
        <v>0.05123240293</v>
      </c>
      <c r="AG81" s="65">
        <f>VLOOKUP($O81,'NO USAR1'!$A$4:$L$399,5,False)*$X$19</f>
        <v>-0.5147729365</v>
      </c>
      <c r="AH81" s="65">
        <f>VLOOKUP($O81,'NO USAR1'!$A$4:$L$399,6,False)*$Y$19</f>
        <v>0.3923381197</v>
      </c>
      <c r="AI81" s="65">
        <f>VLOOKUP($O81,'NO USAR1'!$A$4:$L$399,7,False)*$Z$19</f>
        <v>0</v>
      </c>
      <c r="AJ81" s="65">
        <f>VLOOKUP($O81,'NO USAR1'!$A$4:$L$399,8,False)*$AA$19</f>
        <v>0</v>
      </c>
      <c r="AK81" s="70">
        <f>VLOOKUP($O81,'NO USAR1'!$A$4:$L$399,10,False)*$AB$19</f>
        <v>-0.2365354329</v>
      </c>
      <c r="AL81" s="65">
        <f>VLOOKUP($O81,'NO USAR1'!$A$4:$L$399,12,False)*$AC$19</f>
        <v>0</v>
      </c>
      <c r="AM81" s="71">
        <f t="shared" si="2"/>
        <v>-1.026000892</v>
      </c>
      <c r="AN81" s="71">
        <f t="shared" si="3"/>
        <v>-1.540773829</v>
      </c>
    </row>
    <row r="82">
      <c r="A82" t="str">
        <f>IF('NO USAR2'!B80="",ROW('NO USAR2'!B80),'NO USAR2'!B80)</f>
        <v>Al Horford</v>
      </c>
      <c r="B82" s="58">
        <f>IF(TYPE($A82)=1,"",('NO USAR2'!$L80-B$1)/B$2)</f>
        <v>-1.269827267</v>
      </c>
      <c r="C82" s="58">
        <f>IF(TYPE($A82)=1,"",('NO USAR2'!$K80-C$1)/C$2)</f>
        <v>-0.4134044473</v>
      </c>
      <c r="D82" s="58">
        <f>IF(TYPE($A82)=1,"",('NO USAR2'!$M80-D$1)/D$2)</f>
        <v>0.3369831851</v>
      </c>
      <c r="E82" s="58">
        <f>IF(TYPE($A82)=1,"",('NO USAR2'!$N80-E$1)/E$2)</f>
        <v>-0.2291965217</v>
      </c>
      <c r="F82" s="58">
        <f>IF(TYPE($A82)=1,"",('NO USAR2'!$O80-F$1)/F$2)</f>
        <v>-0.9942890529</v>
      </c>
      <c r="G82" s="58">
        <f>IF(TYPE($A82)=1,"",('NO USAR2'!$P80-G$1)/G$2)</f>
        <v>0.8294959822</v>
      </c>
      <c r="H82" s="58">
        <f>IF(TYPE($A82)=1,"",('NO USAR2'!$H80-H$1)/H$2*I82/$I$1)</f>
        <v>-0.1865023323</v>
      </c>
      <c r="I82" s="58">
        <f>IF(TYPE($A82)=1,"",IF('NO USAR2'!H80=0,0,'NO USAR2'!G80/'NO USAR2'!H80))</f>
        <v>7.9</v>
      </c>
      <c r="J82" s="59">
        <f>IF(TYPE($A82)=1,"",('NO USAR2'!$J80-J$1)/J$2*K82/$K$1)</f>
        <v>-0.02223025415</v>
      </c>
      <c r="K82" s="60">
        <f>IF(TYPE($A82)=1,"",IF('NO USAR2'!J80=0,0,'NO USAR2'!I80/'NO USAR2'!J80))</f>
        <v>1.4</v>
      </c>
      <c r="L82" s="58">
        <f>IF(TYPE($A82)=1,"",-('NO USAR2'!$Q80-L$1)/L$2)</f>
        <v>1.236981163</v>
      </c>
      <c r="N82" s="2">
        <v>62.0</v>
      </c>
      <c r="O82" s="68" t="str">
        <f>IF('NO USAR2'!B64="",ROW('NO USAR2'!B64),'NO USAR2'!B64)</f>
        <v>Jamal Murray</v>
      </c>
      <c r="P82" s="68">
        <f>'NO USAR2'!E63</f>
        <v>72</v>
      </c>
      <c r="Q82" s="68" t="str">
        <f>IF('NO USAR2'!C64="",ROW('NO USAR2'!N79),'NO USAR2'!C64)</f>
        <v>PG</v>
      </c>
      <c r="R82" s="65">
        <f>VLOOKUP($O82,'NO USAR1'!$A$4:$L$399,2,False)+VLOOKUP($O82,'NO USAR1'!$A$4:$L$399,3,False)+VLOOKUP($O82,'NO USAR1'!$A$4:$L$399,4,False)+VLOOKUP($O82,'NO USAR1'!$A$4:$L$399,5,False)+VLOOKUP($O82,'NO USAR1'!$A$4:$L$399,6,False)+VLOOKUP($O82,'NO USAR1'!$A$4:$L$399,7,False)+VLOOKUP($O82,'NO USAR1'!$A$4:$L$399,8,False)+VLOOKUP($O82,'NO USAR1'!$A$4:$L$399,10,False)+VLOOKUP($O82,'NO USAR1'!$A$4:$L$399,12,False)*0</f>
        <v>-0.4212581737</v>
      </c>
      <c r="S82" s="65">
        <f>VLOOKUP($O82,'NO USAR1'!$A$4:$L$399,2,False)*$U$19+VLOOKUP($O82,'NO USAR1'!$A$4:$L$399,3,False)*$V$19+VLOOKUP($O82,'NO USAR1'!$A$4:$L$399,4,False)*$W$19+VLOOKUP($O82,'NO USAR1'!$A$4:$L$399,5,False)*$X$19+VLOOKUP($O82,'NO USAR1'!$A$4:$L$399,6,False)*$Y$19+VLOOKUP($O82,'NO USAR1'!$A$4:$L$399,7,False)*$Z$19+VLOOKUP($O82,'NO USAR1'!$A$4:$L$399,8,False)*$AA$19+VLOOKUP($O82,'NO USAR1'!$A$4:$L$399,10,False)*$AB$19+VLOOKUP($O82,'NO USAR1'!$A$4:$L$399,12,False)*$AC$19+IF(Projections!$K$3,-AN82, IF(Projections!$J$3,-AM82,0))</f>
        <v>0.709288786</v>
      </c>
      <c r="T82" s="65">
        <f t="shared" si="1"/>
        <v>1.13054696</v>
      </c>
      <c r="U82" s="65">
        <f>VLOOKUP($O82,'NO USAR2'!$B$2:$R$397,11,False)</f>
        <v>18.3</v>
      </c>
      <c r="V82" s="69">
        <f>VLOOKUP($O82,'NO USAR2'!$B$2:$R$397,10,False)</f>
        <v>2.4</v>
      </c>
      <c r="W82" s="65">
        <f>VLOOKUP($O82,'NO USAR2'!$B$2:$R$397,12,False)</f>
        <v>3.6</v>
      </c>
      <c r="X82" s="65">
        <f>VLOOKUP($O82,'NO USAR2'!$B$2:$R$397,13,False)</f>
        <v>4.2</v>
      </c>
      <c r="Y82" s="65">
        <f>VLOOKUP($O82,'NO USAR2'!$B$2:$R$397,14,False)</f>
        <v>1</v>
      </c>
      <c r="Z82" s="70">
        <f>VLOOKUP($O82,'NO USAR2'!$B$2:$R$397,15,False)</f>
        <v>0.3</v>
      </c>
      <c r="AA82" s="65">
        <f>100*VLOOKUP($O82,'NO USAR2'!$B$2:$R$397,7,False)</f>
        <v>46.2585034</v>
      </c>
      <c r="AB82" s="65">
        <f>100*VLOOKUP($O82,'NO USAR2'!$B$2:$R$397,9,False)</f>
        <v>85.71428571</v>
      </c>
      <c r="AC82" s="65">
        <f>VLOOKUP($O82,'NO USAR2'!$B$2:$Q$397,16,False)</f>
        <v>1.9</v>
      </c>
      <c r="AD82" s="65">
        <f>VLOOKUP($O82,'NO USAR1'!$A$4:$L$399,2,False)*$U$19</f>
        <v>0.3586803328</v>
      </c>
      <c r="AE82" s="65">
        <f>VLOOKUP($O82,'NO USAR1'!$A$4:$L$399,3,False)*$V$19</f>
        <v>0.7865422277</v>
      </c>
      <c r="AF82" s="65">
        <f>VLOOKUP($O82,'NO USAR1'!$A$4:$L$399,4,False)*$W$19</f>
        <v>-1.010127645</v>
      </c>
      <c r="AG82" s="65">
        <f>VLOOKUP($O82,'NO USAR1'!$A$4:$L$399,5,False)*$X$19</f>
        <v>0.2841975587</v>
      </c>
      <c r="AH82" s="65">
        <f>VLOOKUP($O82,'NO USAR1'!$A$4:$L$399,6,False)*$Y$19</f>
        <v>-0.01646173929</v>
      </c>
      <c r="AI82" s="65">
        <f>VLOOKUP($O82,'NO USAR1'!$A$4:$L$399,7,False)*$Z$19</f>
        <v>0</v>
      </c>
      <c r="AJ82" s="65">
        <f>VLOOKUP($O82,'NO USAR1'!$A$4:$L$399,8,False)*$AA$19</f>
        <v>0</v>
      </c>
      <c r="AK82" s="70">
        <f>VLOOKUP($O82,'NO USAR1'!$A$4:$L$399,10,False)*$AB$19</f>
        <v>0.3064580511</v>
      </c>
      <c r="AL82" s="65">
        <f>VLOOKUP($O82,'NO USAR1'!$A$4:$L$399,12,False)*$AC$19</f>
        <v>0</v>
      </c>
      <c r="AM82" s="71">
        <f t="shared" si="2"/>
        <v>-1.010127645</v>
      </c>
      <c r="AN82" s="71">
        <f t="shared" si="3"/>
        <v>-1.026589384</v>
      </c>
    </row>
    <row r="83">
      <c r="A83" t="str">
        <f>IF('NO USAR2'!B81="",ROW('NO USAR2'!B81),'NO USAR2'!B81)</f>
        <v>Marcus Smart</v>
      </c>
      <c r="B83" s="58">
        <f>IF(TYPE($A83)=1,"",('NO USAR2'!$L81-B$1)/B$2)</f>
        <v>-0.9325331223</v>
      </c>
      <c r="C83" s="58">
        <f>IF(TYPE($A83)=1,"",('NO USAR2'!$K81-C$1)/C$2)</f>
        <v>-0.01342222232</v>
      </c>
      <c r="D83" s="58">
        <f>IF(TYPE($A83)=1,"",('NO USAR2'!$M81-D$1)/D$2)</f>
        <v>-0.9284845644</v>
      </c>
      <c r="E83" s="58">
        <f>IF(TYPE($A83)=1,"",('NO USAR2'!$N81-E$1)/E$2)</f>
        <v>0.9578453568</v>
      </c>
      <c r="F83" s="58">
        <f>IF(TYPE($A83)=1,"",('NO USAR2'!$O81-F$1)/F$2)</f>
        <v>2.276109819</v>
      </c>
      <c r="G83" s="58">
        <f>IF(TYPE($A83)=1,"",('NO USAR2'!$P81-G$1)/G$2)</f>
        <v>-0.8184360358</v>
      </c>
      <c r="H83" s="58">
        <f>IF(TYPE($A83)=1,"",('NO USAR2'!$H81-H$1)/H$2*I83/$I$1)</f>
        <v>-0.7972523804</v>
      </c>
      <c r="I83" s="58">
        <f>IF(TYPE($A83)=1,"",IF('NO USAR2'!H81=0,0,'NO USAR2'!G81/'NO USAR2'!H81))</f>
        <v>10</v>
      </c>
      <c r="J83" s="59">
        <f>IF(TYPE($A83)=1,"",('NO USAR2'!$J81-J$1)/J$2*K83/$K$1)</f>
        <v>0.1998441044</v>
      </c>
      <c r="K83" s="60">
        <f>IF(TYPE($A83)=1,"",IF('NO USAR2'!J81=0,0,'NO USAR2'!I81/'NO USAR2'!J81))</f>
        <v>2.2</v>
      </c>
      <c r="L83" s="58">
        <f>IF(TYPE($A83)=1,"",-('NO USAR2'!$Q81-L$1)/L$2)</f>
        <v>-0.1977688445</v>
      </c>
      <c r="N83" s="63">
        <v>63.0</v>
      </c>
      <c r="O83" s="68" t="str">
        <f>IF('NO USAR2'!B86="",ROW('NO USAR2'!B86),'NO USAR2'!B86)</f>
        <v>Ben Simmons</v>
      </c>
      <c r="P83" s="68">
        <f>'NO USAR2'!E64</f>
        <v>62</v>
      </c>
      <c r="Q83" s="68" t="str">
        <f>IF('NO USAR2'!C86="",ROW('NO USAR2'!N101),'NO USAR2'!C86)</f>
        <v>PG</v>
      </c>
      <c r="R83" s="65">
        <f>VLOOKUP($O83,'NO USAR1'!$A$4:$L$399,2,False)+VLOOKUP($O83,'NO USAR1'!$A$4:$L$399,3,False)+VLOOKUP($O83,'NO USAR1'!$A$4:$L$399,4,False)+VLOOKUP($O83,'NO USAR1'!$A$4:$L$399,5,False)+VLOOKUP($O83,'NO USAR1'!$A$4:$L$399,6,False)+VLOOKUP($O83,'NO USAR1'!$A$4:$L$399,7,False)+VLOOKUP($O83,'NO USAR1'!$A$4:$L$399,8,False)+VLOOKUP($O83,'NO USAR1'!$A$4:$L$399,10,False)+VLOOKUP($O83,'NO USAR1'!$A$4:$L$399,12,False)*0</f>
        <v>-0.4294659189</v>
      </c>
      <c r="S83" s="65">
        <f>VLOOKUP($O83,'NO USAR1'!$A$4:$L$399,2,False)*$U$19+VLOOKUP($O83,'NO USAR1'!$A$4:$L$399,3,False)*$V$19+VLOOKUP($O83,'NO USAR1'!$A$4:$L$399,4,False)*$W$19+VLOOKUP($O83,'NO USAR1'!$A$4:$L$399,5,False)*$X$19+VLOOKUP($O83,'NO USAR1'!$A$4:$L$399,6,False)*$Y$19+VLOOKUP($O83,'NO USAR1'!$A$4:$L$399,7,False)*$Z$19+VLOOKUP($O83,'NO USAR1'!$A$4:$L$399,8,False)*$AA$19+VLOOKUP($O83,'NO USAR1'!$A$4:$L$399,10,False)*$AB$19+VLOOKUP($O83,'NO USAR1'!$A$4:$L$399,12,False)*$AC$19+IF(Projections!$K$3,-AN83, IF(Projections!$J$3,-AM83,0))</f>
        <v>0.6279830919</v>
      </c>
      <c r="T83" s="65">
        <f t="shared" si="1"/>
        <v>1.057449011</v>
      </c>
      <c r="U83" s="65">
        <f>VLOOKUP($O83,'NO USAR2'!$B$2:$R$397,11,False)</f>
        <v>13.4</v>
      </c>
      <c r="V83" s="69">
        <f>VLOOKUP($O83,'NO USAR2'!$B$2:$R$397,10,False)</f>
        <v>0.1</v>
      </c>
      <c r="W83" s="65">
        <f>VLOOKUP($O83,'NO USAR2'!$B$2:$R$397,12,False)</f>
        <v>7.3</v>
      </c>
      <c r="X83" s="65">
        <f>VLOOKUP($O83,'NO USAR2'!$B$2:$R$397,13,False)</f>
        <v>6</v>
      </c>
      <c r="Y83" s="65">
        <f>VLOOKUP($O83,'NO USAR2'!$B$2:$R$397,14,False)</f>
        <v>1.5</v>
      </c>
      <c r="Z83" s="70">
        <f>VLOOKUP($O83,'NO USAR2'!$B$2:$R$397,15,False)</f>
        <v>0.6</v>
      </c>
      <c r="AA83" s="65">
        <f>100*VLOOKUP($O83,'NO USAR2'!$B$2:$R$397,7,False)</f>
        <v>51</v>
      </c>
      <c r="AB83" s="65">
        <f>100*VLOOKUP($O83,'NO USAR2'!$B$2:$R$397,9,False)</f>
        <v>68.88888889</v>
      </c>
      <c r="AC83" s="65">
        <f>VLOOKUP($O83,'NO USAR2'!$B$2:$Q$397,16,False)</f>
        <v>3.1</v>
      </c>
      <c r="AD83" s="65">
        <f>VLOOKUP($O83,'NO USAR1'!$A$4:$L$399,2,False)*$U$19</f>
        <v>-0.9461154369</v>
      </c>
      <c r="AE83" s="65">
        <f>VLOOKUP($O83,'NO USAR1'!$A$4:$L$399,3,False)*$V$19</f>
        <v>-1.513355566</v>
      </c>
      <c r="AF83" s="65">
        <f>VLOOKUP($O83,'NO USAR1'!$A$4:$L$399,4,False)*$W$19</f>
        <v>0.5002693463</v>
      </c>
      <c r="AG83" s="65">
        <f>VLOOKUP($O83,'NO USAR1'!$A$4:$L$399,5,False)*$X$19</f>
        <v>1.311445338</v>
      </c>
      <c r="AH83" s="65">
        <f>VLOOKUP($O83,'NO USAR1'!$A$4:$L$399,6,False)*$Y$19</f>
        <v>2.027537555</v>
      </c>
      <c r="AI83" s="65">
        <f>VLOOKUP($O83,'NO USAR1'!$A$4:$L$399,7,False)*$Z$19</f>
        <v>0</v>
      </c>
      <c r="AJ83" s="65">
        <f>VLOOKUP($O83,'NO USAR1'!$A$4:$L$399,8,False)*$AA$19</f>
        <v>0</v>
      </c>
      <c r="AK83" s="70">
        <f>VLOOKUP($O83,'NO USAR1'!$A$4:$L$399,10,False)*$AB$19</f>
        <v>-0.7517981449</v>
      </c>
      <c r="AL83" s="65">
        <f>VLOOKUP($O83,'NO USAR1'!$A$4:$L$399,12,False)*$AC$19</f>
        <v>0</v>
      </c>
      <c r="AM83" s="71">
        <f t="shared" si="2"/>
        <v>-1.513355566</v>
      </c>
      <c r="AN83" s="71">
        <f t="shared" si="3"/>
        <v>-2.459471003</v>
      </c>
    </row>
    <row r="84">
      <c r="A84" t="str">
        <f>IF('NO USAR2'!B82="",ROW('NO USAR2'!B82),'NO USAR2'!B82)</f>
        <v>Jalen Brunson</v>
      </c>
      <c r="B84" s="58">
        <f>IF(TYPE($A84)=1,"",('NO USAR2'!$L82-B$1)/B$2)</f>
        <v>0.1148539581</v>
      </c>
      <c r="C84" s="58">
        <f>IF(TYPE($A84)=1,"",('NO USAR2'!$K82-C$1)/C$2)</f>
        <v>-0.3134088911</v>
      </c>
      <c r="D84" s="58">
        <f>IF(TYPE($A84)=1,"",('NO USAR2'!$M82-D$1)/D$2)</f>
        <v>-1.010127645</v>
      </c>
      <c r="E84" s="58">
        <f>IF(TYPE($A84)=1,"",('NO USAR2'!$N82-E$1)/E$2)</f>
        <v>1.277433555</v>
      </c>
      <c r="F84" s="58">
        <f>IF(TYPE($A84)=1,"",('NO USAR2'!$O82-F$1)/F$2)</f>
        <v>-0.3402092786</v>
      </c>
      <c r="G84" s="58">
        <f>IF(TYPE($A84)=1,"",('NO USAR2'!$P82-G$1)/G$2)</f>
        <v>-1.436410543</v>
      </c>
      <c r="H84" s="58">
        <f>IF(TYPE($A84)=1,"",('NO USAR2'!$H82-H$1)/H$2*I84/$I$1)</f>
        <v>-0.2159769226</v>
      </c>
      <c r="I84" s="58">
        <f>IF(TYPE($A84)=1,"",IF('NO USAR2'!H82=0,0,'NO USAR2'!G82/'NO USAR2'!H82))</f>
        <v>14.5</v>
      </c>
      <c r="J84" s="59">
        <f>IF(TYPE($A84)=1,"",('NO USAR2'!$J82-J$1)/J$2*K84/$K$1)</f>
        <v>0.4219184629</v>
      </c>
      <c r="K84" s="60">
        <f>IF(TYPE($A84)=1,"",IF('NO USAR2'!J82=0,0,'NO USAR2'!I82/'NO USAR2'!J82))</f>
        <v>3</v>
      </c>
      <c r="L84" s="58">
        <f>IF(TYPE($A84)=1,"",-('NO USAR2'!$Q82-L$1)/L$2)</f>
        <v>0.3540580812</v>
      </c>
      <c r="N84" s="63">
        <v>64.0</v>
      </c>
      <c r="O84" s="68" t="str">
        <f>IF('NO USAR2'!B61="",ROW('NO USAR2'!B61),'NO USAR2'!B61)</f>
        <v>Michael Porter Jr.</v>
      </c>
      <c r="P84" s="68">
        <f>'NO USAR2'!E65</f>
        <v>72</v>
      </c>
      <c r="Q84" s="68" t="str">
        <f>IF('NO USAR2'!C61="",ROW('NO USAR2'!N76),'NO USAR2'!C61)</f>
        <v>SF</v>
      </c>
      <c r="R84" s="65">
        <f>VLOOKUP($O84,'NO USAR1'!$A$4:$L$399,2,False)+VLOOKUP($O84,'NO USAR1'!$A$4:$L$399,3,False)+VLOOKUP($O84,'NO USAR1'!$A$4:$L$399,4,False)+VLOOKUP($O84,'NO USAR1'!$A$4:$L$399,5,False)+VLOOKUP($O84,'NO USAR1'!$A$4:$L$399,6,False)+VLOOKUP($O84,'NO USAR1'!$A$4:$L$399,7,False)+VLOOKUP($O84,'NO USAR1'!$A$4:$L$399,8,False)+VLOOKUP($O84,'NO USAR1'!$A$4:$L$399,10,False)+VLOOKUP($O84,'NO USAR1'!$A$4:$L$399,12,False)*0</f>
        <v>-0.4376296326</v>
      </c>
      <c r="S84" s="65">
        <f>VLOOKUP($O84,'NO USAR1'!$A$4:$L$399,2,False)*$U$19+VLOOKUP($O84,'NO USAR1'!$A$4:$L$399,3,False)*$V$19+VLOOKUP($O84,'NO USAR1'!$A$4:$L$399,4,False)*$W$19+VLOOKUP($O84,'NO USAR1'!$A$4:$L$399,5,False)*$X$19+VLOOKUP($O84,'NO USAR1'!$A$4:$L$399,6,False)*$Y$19+VLOOKUP($O84,'NO USAR1'!$A$4:$L$399,7,False)*$Z$19+VLOOKUP($O84,'NO USAR1'!$A$4:$L$399,8,False)*$AA$19+VLOOKUP($O84,'NO USAR1'!$A$4:$L$399,10,False)*$AB$19+VLOOKUP($O84,'NO USAR1'!$A$4:$L$399,12,False)*$AC$19+IF(Projections!$K$3,-AN84, IF(Projections!$J$3,-AM84,0))</f>
        <v>-0.5508592564</v>
      </c>
      <c r="T84" s="65">
        <f t="shared" si="1"/>
        <v>-0.1132296238</v>
      </c>
      <c r="U84" s="65">
        <f>VLOOKUP($O84,'NO USAR2'!$B$2:$R$397,11,False)</f>
        <v>17</v>
      </c>
      <c r="V84" s="69">
        <f>VLOOKUP($O84,'NO USAR2'!$B$2:$R$397,10,False)</f>
        <v>1.9</v>
      </c>
      <c r="W84" s="65">
        <f>VLOOKUP($O84,'NO USAR2'!$B$2:$R$397,12,False)</f>
        <v>6.7</v>
      </c>
      <c r="X84" s="65">
        <f>VLOOKUP($O84,'NO USAR2'!$B$2:$R$397,13,False)</f>
        <v>1.8</v>
      </c>
      <c r="Y84" s="65">
        <f>VLOOKUP($O84,'NO USAR2'!$B$2:$R$397,14,False)</f>
        <v>1</v>
      </c>
      <c r="Z84" s="70">
        <f>VLOOKUP($O84,'NO USAR2'!$B$2:$R$397,15,False)</f>
        <v>0.7</v>
      </c>
      <c r="AA84" s="65">
        <f>100*VLOOKUP($O84,'NO USAR2'!$B$2:$R$397,7,False)</f>
        <v>48.22695035</v>
      </c>
      <c r="AB84" s="65">
        <f>100*VLOOKUP($O84,'NO USAR2'!$B$2:$R$397,9,False)</f>
        <v>78.94736842</v>
      </c>
      <c r="AC84" s="65">
        <f>VLOOKUP($O84,'NO USAR2'!$B$2:$Q$397,16,False)</f>
        <v>1.4</v>
      </c>
      <c r="AD84" s="65">
        <f>VLOOKUP($O84,'NO USAR1'!$A$4:$L$399,2,False)*$U$19</f>
        <v>0.01251002655</v>
      </c>
      <c r="AE84" s="65">
        <f>VLOOKUP($O84,'NO USAR1'!$A$4:$L$399,3,False)*$V$19</f>
        <v>0.2865644464</v>
      </c>
      <c r="AF84" s="65">
        <f>VLOOKUP($O84,'NO USAR1'!$A$4:$L$399,4,False)*$W$19</f>
        <v>0.2553401045</v>
      </c>
      <c r="AG84" s="65">
        <f>VLOOKUP($O84,'NO USAR1'!$A$4:$L$399,5,False)*$X$19</f>
        <v>-1.085466147</v>
      </c>
      <c r="AH84" s="65">
        <f>VLOOKUP($O84,'NO USAR1'!$A$4:$L$399,6,False)*$Y$19</f>
        <v>-0.01646173929</v>
      </c>
      <c r="AI84" s="65">
        <f>VLOOKUP($O84,'NO USAR1'!$A$4:$L$399,7,False)*$Z$19</f>
        <v>0</v>
      </c>
      <c r="AJ84" s="65">
        <f>VLOOKUP($O84,'NO USAR1'!$A$4:$L$399,8,False)*$AA$19</f>
        <v>0</v>
      </c>
      <c r="AK84" s="70">
        <f>VLOOKUP($O84,'NO USAR1'!$A$4:$L$399,10,False)*$AB$19</f>
        <v>-0.003345947273</v>
      </c>
      <c r="AL84" s="65">
        <f>VLOOKUP($O84,'NO USAR1'!$A$4:$L$399,12,False)*$AC$19</f>
        <v>0</v>
      </c>
      <c r="AM84" s="71">
        <f t="shared" si="2"/>
        <v>-1.085466147</v>
      </c>
      <c r="AN84" s="71">
        <f t="shared" si="3"/>
        <v>-1.101927887</v>
      </c>
    </row>
    <row r="85">
      <c r="A85" t="str">
        <f>IF('NO USAR2'!B83="",ROW('NO USAR2'!B83),'NO USAR2'!B83)</f>
        <v>Gary Trent Jr.</v>
      </c>
      <c r="B85" s="58">
        <f>IF(TYPE($A85)=1,"",('NO USAR2'!$L83-B$1)/B$2)</f>
        <v>0.2568725453</v>
      </c>
      <c r="C85" s="58">
        <f>IF(TYPE($A85)=1,"",('NO USAR2'!$K83-C$1)/C$2)</f>
        <v>1.386515565</v>
      </c>
      <c r="D85" s="58">
        <f>IF(TYPE($A85)=1,"",('NO USAR2'!$M83-D$1)/D$2)</f>
        <v>-1.295878427</v>
      </c>
      <c r="E85" s="58">
        <f>IF(TYPE($A85)=1,"",('NO USAR2'!$N83-E$1)/E$2)</f>
        <v>-0.7770620041</v>
      </c>
      <c r="F85" s="58">
        <f>IF(TYPE($A85)=1,"",('NO USAR2'!$O83-F$1)/F$2)</f>
        <v>1.622030044</v>
      </c>
      <c r="G85" s="58">
        <f>IF(TYPE($A85)=1,"",('NO USAR2'!$P83-G$1)/G$2)</f>
        <v>-0.8184360358</v>
      </c>
      <c r="H85" s="58">
        <f>IF(TYPE($A85)=1,"",('NO USAR2'!$H83-H$1)/H$2*I85/$I$1)</f>
        <v>-1.417492475</v>
      </c>
      <c r="I85" s="58">
        <f>IF(TYPE($A85)=1,"",IF('NO USAR2'!H83=0,0,'NO USAR2'!G83/'NO USAR2'!H83))</f>
        <v>15.8</v>
      </c>
      <c r="J85" s="59">
        <f>IF(TYPE($A85)=1,"",('NO USAR2'!$J83-J$1)/J$2*K85/$K$1)</f>
        <v>0.284227797</v>
      </c>
      <c r="K85" s="60">
        <f>IF(TYPE($A85)=1,"",IF('NO USAR2'!J83=0,0,'NO USAR2'!I83/'NO USAR2'!J83))</f>
        <v>2.8</v>
      </c>
      <c r="L85" s="58">
        <f>IF(TYPE($A85)=1,"",-('NO USAR2'!$Q83-L$1)/L$2)</f>
        <v>1.126615777</v>
      </c>
      <c r="N85" s="2">
        <v>65.0</v>
      </c>
      <c r="O85" s="68" t="str">
        <f>IF('NO USAR2'!B67="",ROW('NO USAR2'!B67),'NO USAR2'!B67)</f>
        <v>Tyler Herro</v>
      </c>
      <c r="P85" s="68">
        <f>'NO USAR2'!E66</f>
        <v>62</v>
      </c>
      <c r="Q85" s="68" t="str">
        <f>IF('NO USAR2'!C67="",ROW('NO USAR2'!N82),'NO USAR2'!C67)</f>
        <v>PG/SF</v>
      </c>
      <c r="R85" s="65">
        <f>VLOOKUP($O85,'NO USAR1'!$A$4:$L$399,2,False)+VLOOKUP($O85,'NO USAR1'!$A$4:$L$399,3,False)+VLOOKUP($O85,'NO USAR1'!$A$4:$L$399,4,False)+VLOOKUP($O85,'NO USAR1'!$A$4:$L$399,5,False)+VLOOKUP($O85,'NO USAR1'!$A$4:$L$399,6,False)+VLOOKUP($O85,'NO USAR1'!$A$4:$L$399,7,False)+VLOOKUP($O85,'NO USAR1'!$A$4:$L$399,8,False)+VLOOKUP($O85,'NO USAR1'!$A$4:$L$399,10,False)+VLOOKUP($O85,'NO USAR1'!$A$4:$L$399,12,False)*0</f>
        <v>-0.4387521399</v>
      </c>
      <c r="S85" s="65">
        <f>VLOOKUP($O85,'NO USAR1'!$A$4:$L$399,2,False)*$U$19+VLOOKUP($O85,'NO USAR1'!$A$4:$L$399,3,False)*$V$19+VLOOKUP($O85,'NO USAR1'!$A$4:$L$399,4,False)*$W$19+VLOOKUP($O85,'NO USAR1'!$A$4:$L$399,5,False)*$X$19+VLOOKUP($O85,'NO USAR1'!$A$4:$L$399,6,False)*$Y$19+VLOOKUP($O85,'NO USAR1'!$A$4:$L$399,7,False)*$Z$19+VLOOKUP($O85,'NO USAR1'!$A$4:$L$399,8,False)*$AA$19+VLOOKUP($O85,'NO USAR1'!$A$4:$L$399,10,False)*$AB$19+VLOOKUP($O85,'NO USAR1'!$A$4:$L$399,12,False)*$AC$19+IF(Projections!$K$3,-AN85, IF(Projections!$J$3,-AM85,0))</f>
        <v>1.46803956</v>
      </c>
      <c r="T85" s="65">
        <f t="shared" si="1"/>
        <v>1.9067917</v>
      </c>
      <c r="U85" s="65">
        <f>VLOOKUP($O85,'NO USAR2'!$B$2:$R$397,11,False)</f>
        <v>21.4</v>
      </c>
      <c r="V85" s="69">
        <f>VLOOKUP($O85,'NO USAR2'!$B$2:$R$397,10,False)</f>
        <v>2.7</v>
      </c>
      <c r="W85" s="65">
        <f>VLOOKUP($O85,'NO USAR2'!$B$2:$R$397,12,False)</f>
        <v>5.2</v>
      </c>
      <c r="X85" s="65">
        <f>VLOOKUP($O85,'NO USAR2'!$B$2:$R$397,13,False)</f>
        <v>4.2</v>
      </c>
      <c r="Y85" s="65">
        <f>VLOOKUP($O85,'NO USAR2'!$B$2:$R$397,14,False)</f>
        <v>0.7</v>
      </c>
      <c r="Z85" s="70">
        <f>VLOOKUP($O85,'NO USAR2'!$B$2:$R$397,15,False)</f>
        <v>0.1</v>
      </c>
      <c r="AA85" s="65">
        <f>100*VLOOKUP($O85,'NO USAR2'!$B$2:$R$397,7,False)</f>
        <v>44.06779661</v>
      </c>
      <c r="AB85" s="65">
        <f>100*VLOOKUP($O85,'NO USAR2'!$B$2:$R$397,9,False)</f>
        <v>88.23529412</v>
      </c>
      <c r="AC85" s="65">
        <f>VLOOKUP($O85,'NO USAR2'!$B$2:$Q$397,16,False)</f>
        <v>2.7</v>
      </c>
      <c r="AD85" s="65">
        <f>VLOOKUP($O85,'NO USAR1'!$A$4:$L$399,2,False)*$U$19</f>
        <v>1.184163371</v>
      </c>
      <c r="AE85" s="65">
        <f>VLOOKUP($O85,'NO USAR1'!$A$4:$L$399,3,False)*$V$19</f>
        <v>1.086528896</v>
      </c>
      <c r="AF85" s="65">
        <f>VLOOKUP($O85,'NO USAR1'!$A$4:$L$399,4,False)*$W$19</f>
        <v>-0.3569830001</v>
      </c>
      <c r="AG85" s="65">
        <f>VLOOKUP($O85,'NO USAR1'!$A$4:$L$399,5,False)*$X$19</f>
        <v>0.2841975587</v>
      </c>
      <c r="AH85" s="65">
        <f>VLOOKUP($O85,'NO USAR1'!$A$4:$L$399,6,False)*$Y$19</f>
        <v>-1.242861316</v>
      </c>
      <c r="AI85" s="65">
        <f>VLOOKUP($O85,'NO USAR1'!$A$4:$L$399,7,False)*$Z$19</f>
        <v>0</v>
      </c>
      <c r="AJ85" s="65">
        <f>VLOOKUP($O85,'NO USAR1'!$A$4:$L$399,8,False)*$AA$19</f>
        <v>0</v>
      </c>
      <c r="AK85" s="70">
        <f>VLOOKUP($O85,'NO USAR1'!$A$4:$L$399,10,False)*$AB$19</f>
        <v>0.51299405</v>
      </c>
      <c r="AL85" s="65">
        <f>VLOOKUP($O85,'NO USAR1'!$A$4:$L$399,12,False)*$AC$19</f>
        <v>0</v>
      </c>
      <c r="AM85" s="71">
        <f t="shared" si="2"/>
        <v>-1.242861316</v>
      </c>
      <c r="AN85" s="71">
        <f t="shared" si="3"/>
        <v>-1.599844316</v>
      </c>
    </row>
    <row r="86">
      <c r="A86" t="str">
        <f>IF('NO USAR2'!B84="",ROW('NO USAR2'!B84),'NO USAR2'!B84)</f>
        <v>Jakob Poeltl</v>
      </c>
      <c r="B86" s="58">
        <f>IF(TYPE($A86)=1,"",('NO USAR2'!$L84-B$1)/B$2)</f>
        <v>-0.6129913012</v>
      </c>
      <c r="C86" s="58">
        <f>IF(TYPE($A86)=1,"",('NO USAR2'!$K84-C$1)/C$2)</f>
        <v>-1.613351122</v>
      </c>
      <c r="D86" s="58">
        <f>IF(TYPE($A86)=1,"",('NO USAR2'!$M84-D$1)/D$2)</f>
        <v>1.398343233</v>
      </c>
      <c r="E86" s="58">
        <f>IF(TYPE($A86)=1,"",('NO USAR2'!$N84-E$1)/E$2)</f>
        <v>-0.4118183492</v>
      </c>
      <c r="F86" s="58">
        <f>IF(TYPE($A86)=1,"",('NO USAR2'!$O84-F$1)/F$2)</f>
        <v>-0.9942890529</v>
      </c>
      <c r="G86" s="58">
        <f>IF(TYPE($A86)=1,"",('NO USAR2'!$P84-G$1)/G$2)</f>
        <v>2.065444996</v>
      </c>
      <c r="H86" s="58">
        <f>IF(TYPE($A86)=1,"",('NO USAR2'!$H84-H$1)/H$2*I86/$I$1)</f>
        <v>1.464492729</v>
      </c>
      <c r="I86" s="58">
        <f>IF(TYPE($A86)=1,"",IF('NO USAR2'!H84=0,0,'NO USAR2'!G84/'NO USAR2'!H84))</f>
        <v>9.9</v>
      </c>
      <c r="J86" s="59">
        <f>IF(TYPE($A86)=1,"",('NO USAR2'!$J84-J$1)/J$2*K86/$K$1)</f>
        <v>-3.193652895</v>
      </c>
      <c r="K86" s="60">
        <f>IF(TYPE($A86)=1,"",IF('NO USAR2'!J84=0,0,'NO USAR2'!I84/'NO USAR2'!J84))</f>
        <v>3</v>
      </c>
      <c r="L86" s="58">
        <f>IF(TYPE($A86)=1,"",-('NO USAR2'!$Q84-L$1)/L$2)</f>
        <v>0.4644234664</v>
      </c>
      <c r="N86" s="63">
        <v>66.0</v>
      </c>
      <c r="O86" s="68" t="str">
        <f>IF('NO USAR2'!B72="",ROW('NO USAR2'!B72),'NO USAR2'!B72)</f>
        <v>D'Angelo Russell</v>
      </c>
      <c r="P86" s="68">
        <f>'NO USAR2'!E67</f>
        <v>68</v>
      </c>
      <c r="Q86" s="68" t="str">
        <f>IF('NO USAR2'!C72="",ROW('NO USAR2'!N87),'NO USAR2'!C72)</f>
        <v>PG/SG</v>
      </c>
      <c r="R86" s="65">
        <f>VLOOKUP($O86,'NO USAR1'!$A$4:$L$399,2,False)+VLOOKUP($O86,'NO USAR1'!$A$4:$L$399,3,False)+VLOOKUP($O86,'NO USAR1'!$A$4:$L$399,4,False)+VLOOKUP($O86,'NO USAR1'!$A$4:$L$399,5,False)+VLOOKUP($O86,'NO USAR1'!$A$4:$L$399,6,False)+VLOOKUP($O86,'NO USAR1'!$A$4:$L$399,7,False)+VLOOKUP($O86,'NO USAR1'!$A$4:$L$399,8,False)+VLOOKUP($O86,'NO USAR1'!$A$4:$L$399,10,False)+VLOOKUP($O86,'NO USAR1'!$A$4:$L$399,12,False)*0</f>
        <v>-0.4589436371</v>
      </c>
      <c r="S86" s="65">
        <f>VLOOKUP($O86,'NO USAR1'!$A$4:$L$399,2,False)*$U$19+VLOOKUP($O86,'NO USAR1'!$A$4:$L$399,3,False)*$V$19+VLOOKUP($O86,'NO USAR1'!$A$4:$L$399,4,False)*$W$19+VLOOKUP($O86,'NO USAR1'!$A$4:$L$399,5,False)*$X$19+VLOOKUP($O86,'NO USAR1'!$A$4:$L$399,6,False)*$Y$19+VLOOKUP($O86,'NO USAR1'!$A$4:$L$399,7,False)*$Z$19+VLOOKUP($O86,'NO USAR1'!$A$4:$L$399,8,False)*$AA$19+VLOOKUP($O86,'NO USAR1'!$A$4:$L$399,10,False)*$AB$19+VLOOKUP($O86,'NO USAR1'!$A$4:$L$399,12,False)*$AC$19+IF(Projections!$K$3,-AN86, IF(Projections!$J$3,-AM86,0))</f>
        <v>1.952656952</v>
      </c>
      <c r="T86" s="65">
        <f t="shared" si="1"/>
        <v>2.411600589</v>
      </c>
      <c r="U86" s="65">
        <f>VLOOKUP($O86,'NO USAR2'!$B$2:$R$397,11,False)</f>
        <v>17.7</v>
      </c>
      <c r="V86" s="69">
        <f>VLOOKUP($O86,'NO USAR2'!$B$2:$R$397,10,False)</f>
        <v>2.6</v>
      </c>
      <c r="W86" s="65">
        <f>VLOOKUP($O86,'NO USAR2'!$B$2:$R$397,12,False)</f>
        <v>3.4</v>
      </c>
      <c r="X86" s="65">
        <f>VLOOKUP($O86,'NO USAR2'!$B$2:$R$397,13,False)</f>
        <v>7</v>
      </c>
      <c r="Y86" s="65">
        <f>VLOOKUP($O86,'NO USAR2'!$B$2:$R$397,14,False)</f>
        <v>1</v>
      </c>
      <c r="Z86" s="70">
        <f>VLOOKUP($O86,'NO USAR2'!$B$2:$R$397,15,False)</f>
        <v>0.3</v>
      </c>
      <c r="AA86" s="65">
        <f>100*VLOOKUP($O86,'NO USAR2'!$B$2:$R$397,7,False)</f>
        <v>41.95804196</v>
      </c>
      <c r="AB86" s="65">
        <f>100*VLOOKUP($O86,'NO USAR2'!$B$2:$R$397,9,False)</f>
        <v>78.94736842</v>
      </c>
      <c r="AC86" s="65">
        <f>VLOOKUP($O86,'NO USAR2'!$B$2:$Q$397,16,False)</f>
        <v>2.6</v>
      </c>
      <c r="AD86" s="65">
        <f>VLOOKUP($O86,'NO USAR1'!$A$4:$L$399,2,False)*$U$19</f>
        <v>0.1989094222</v>
      </c>
      <c r="AE86" s="65">
        <f>VLOOKUP($O86,'NO USAR1'!$A$4:$L$399,3,False)*$V$19</f>
        <v>0.9865333402</v>
      </c>
      <c r="AF86" s="65">
        <f>VLOOKUP($O86,'NO USAR1'!$A$4:$L$399,4,False)*$W$19</f>
        <v>-1.091770726</v>
      </c>
      <c r="AG86" s="65">
        <f>VLOOKUP($O86,'NO USAR1'!$A$4:$L$399,5,False)*$X$19</f>
        <v>1.882138549</v>
      </c>
      <c r="AH86" s="65">
        <f>VLOOKUP($O86,'NO USAR1'!$A$4:$L$399,6,False)*$Y$19</f>
        <v>-0.01646173929</v>
      </c>
      <c r="AI86" s="65">
        <f>VLOOKUP($O86,'NO USAR1'!$A$4:$L$399,7,False)*$Z$19</f>
        <v>0</v>
      </c>
      <c r="AJ86" s="65">
        <f>VLOOKUP($O86,'NO USAR1'!$A$4:$L$399,8,False)*$AA$19</f>
        <v>0</v>
      </c>
      <c r="AK86" s="70">
        <f>VLOOKUP($O86,'NO USAR1'!$A$4:$L$399,10,False)*$AB$19</f>
        <v>-0.006691894546</v>
      </c>
      <c r="AL86" s="65">
        <f>VLOOKUP($O86,'NO USAR1'!$A$4:$L$399,12,False)*$AC$19</f>
        <v>0</v>
      </c>
      <c r="AM86" s="71">
        <f t="shared" si="2"/>
        <v>-1.091770726</v>
      </c>
      <c r="AN86" s="71">
        <f t="shared" si="3"/>
        <v>-1.108232465</v>
      </c>
    </row>
    <row r="87">
      <c r="A87" t="str">
        <f>IF('NO USAR2'!B85="",ROW('NO USAR2'!B85),'NO USAR2'!B85)</f>
        <v>Alperen Sengun</v>
      </c>
      <c r="B87" s="58">
        <f>IF(TYPE($A87)=1,"",('NO USAR2'!$L85-B$1)/B$2)</f>
        <v>-0.470972714</v>
      </c>
      <c r="C87" s="58">
        <f>IF(TYPE($A87)=1,"",('NO USAR2'!$K85-C$1)/C$2)</f>
        <v>-1.013377785</v>
      </c>
      <c r="D87" s="58">
        <f>IF(TYPE($A87)=1,"",('NO USAR2'!$M85-D$1)/D$2)</f>
        <v>0.9084847493</v>
      </c>
      <c r="E87" s="58">
        <f>IF(TYPE($A87)=1,"",('NO USAR2'!$N85-E$1)/E$2)</f>
        <v>0.04473621948</v>
      </c>
      <c r="F87" s="58">
        <f>IF(TYPE($A87)=1,"",('NO USAR2'!$O85-F$1)/F$2)</f>
        <v>-0.01316939143</v>
      </c>
      <c r="G87" s="58">
        <f>IF(TYPE($A87)=1,"",('NO USAR2'!$P85-G$1)/G$2)</f>
        <v>1.035487484</v>
      </c>
      <c r="H87" s="58">
        <f>IF(TYPE($A87)=1,"",('NO USAR2'!$H85-H$1)/H$2*I87/$I$1)</f>
        <v>-0.203863252</v>
      </c>
      <c r="I87" s="58">
        <f>IF(TYPE($A87)=1,"",IF('NO USAR2'!H85=0,0,'NO USAR2'!G85/'NO USAR2'!H85))</f>
        <v>11</v>
      </c>
      <c r="J87" s="59">
        <f>IF(TYPE($A87)=1,"",('NO USAR2'!$J85-J$1)/J$2*K87/$K$1)</f>
        <v>-1.037217319</v>
      </c>
      <c r="K87" s="60">
        <f>IF(TYPE($A87)=1,"",IF('NO USAR2'!J85=0,0,'NO USAR2'!I85/'NO USAR2'!J85))</f>
        <v>4.7</v>
      </c>
      <c r="L87" s="58">
        <f>IF(TYPE($A87)=1,"",-('NO USAR2'!$Q85-L$1)/L$2)</f>
        <v>-1.080691926</v>
      </c>
      <c r="N87" s="63">
        <v>67.0</v>
      </c>
      <c r="O87" s="68" t="str">
        <f>IF('NO USAR2'!B70="",ROW('NO USAR2'!B70),'NO USAR2'!B70)</f>
        <v>Devin Vassell</v>
      </c>
      <c r="P87" s="68">
        <f>'NO USAR2'!E68</f>
        <v>64</v>
      </c>
      <c r="Q87" s="68" t="str">
        <f>IF('NO USAR2'!C70="",ROW('NO USAR2'!N85),'NO USAR2'!C70)</f>
        <v>SG/SF</v>
      </c>
      <c r="R87" s="65">
        <f>VLOOKUP($O87,'NO USAR1'!$A$4:$L$399,2,False)+VLOOKUP($O87,'NO USAR1'!$A$4:$L$399,3,False)+VLOOKUP($O87,'NO USAR1'!$A$4:$L$399,4,False)+VLOOKUP($O87,'NO USAR1'!$A$4:$L$399,5,False)+VLOOKUP($O87,'NO USAR1'!$A$4:$L$399,6,False)+VLOOKUP($O87,'NO USAR1'!$A$4:$L$399,7,False)+VLOOKUP($O87,'NO USAR1'!$A$4:$L$399,8,False)+VLOOKUP($O87,'NO USAR1'!$A$4:$L$399,10,False)+VLOOKUP($O87,'NO USAR1'!$A$4:$L$399,12,False)*0</f>
        <v>-0.5216267562</v>
      </c>
      <c r="S87" s="65">
        <f>VLOOKUP($O87,'NO USAR1'!$A$4:$L$399,2,False)*$U$19+VLOOKUP($O87,'NO USAR1'!$A$4:$L$399,3,False)*$V$19+VLOOKUP($O87,'NO USAR1'!$A$4:$L$399,4,False)*$W$19+VLOOKUP($O87,'NO USAR1'!$A$4:$L$399,5,False)*$X$19+VLOOKUP($O87,'NO USAR1'!$A$4:$L$399,6,False)*$Y$19+VLOOKUP($O87,'NO USAR1'!$A$4:$L$399,7,False)*$Z$19+VLOOKUP($O87,'NO USAR1'!$A$4:$L$399,8,False)*$AA$19+VLOOKUP($O87,'NO USAR1'!$A$4:$L$399,10,False)*$AB$19+VLOOKUP($O87,'NO USAR1'!$A$4:$L$399,12,False)*$AC$19+IF(Projections!$K$3,-AN87, IF(Projections!$J$3,-AM87,0))</f>
        <v>-0.2877445027</v>
      </c>
      <c r="T87" s="65">
        <f t="shared" si="1"/>
        <v>0.2338822536</v>
      </c>
      <c r="U87" s="65">
        <f>VLOOKUP($O87,'NO USAR2'!$B$2:$R$397,11,False)</f>
        <v>15.8</v>
      </c>
      <c r="V87" s="69">
        <f>VLOOKUP($O87,'NO USAR2'!$B$2:$R$397,10,False)</f>
        <v>2.2</v>
      </c>
      <c r="W87" s="65">
        <f>VLOOKUP($O87,'NO USAR2'!$B$2:$R$397,12,False)</f>
        <v>5</v>
      </c>
      <c r="X87" s="65">
        <f>VLOOKUP($O87,'NO USAR2'!$B$2:$R$397,13,False)</f>
        <v>2.4</v>
      </c>
      <c r="Y87" s="65">
        <f>VLOOKUP($O87,'NO USAR2'!$B$2:$R$397,14,False)</f>
        <v>1.1</v>
      </c>
      <c r="Z87" s="70">
        <f>VLOOKUP($O87,'NO USAR2'!$B$2:$R$397,15,False)</f>
        <v>0.7</v>
      </c>
      <c r="AA87" s="65">
        <f>100*VLOOKUP($O87,'NO USAR2'!$B$2:$R$397,7,False)</f>
        <v>44.85294118</v>
      </c>
      <c r="AB87" s="65">
        <f>100*VLOOKUP($O87,'NO USAR2'!$B$2:$R$397,9,False)</f>
        <v>87.5</v>
      </c>
      <c r="AC87" s="65">
        <f>VLOOKUP($O87,'NO USAR2'!$B$2:$Q$397,16,False)</f>
        <v>0.9</v>
      </c>
      <c r="AD87" s="65">
        <f>VLOOKUP($O87,'NO USAR1'!$A$4:$L$399,2,False)*$U$19</f>
        <v>-0.3070317946</v>
      </c>
      <c r="AE87" s="65">
        <f>VLOOKUP($O87,'NO USAR1'!$A$4:$L$399,3,False)*$V$19</f>
        <v>0.5865511152</v>
      </c>
      <c r="AF87" s="65">
        <f>VLOOKUP($O87,'NO USAR1'!$A$4:$L$399,4,False)*$W$19</f>
        <v>-0.4386260807</v>
      </c>
      <c r="AG87" s="65">
        <f>VLOOKUP($O87,'NO USAR1'!$A$4:$L$399,5,False)*$X$19</f>
        <v>-0.7430502208</v>
      </c>
      <c r="AH87" s="65">
        <f>VLOOKUP($O87,'NO USAR1'!$A$4:$L$399,6,False)*$Y$19</f>
        <v>0.3923381197</v>
      </c>
      <c r="AI87" s="65">
        <f>VLOOKUP($O87,'NO USAR1'!$A$4:$L$399,7,False)*$Z$19</f>
        <v>0</v>
      </c>
      <c r="AJ87" s="65">
        <f>VLOOKUP($O87,'NO USAR1'!$A$4:$L$399,8,False)*$AA$19</f>
        <v>0</v>
      </c>
      <c r="AK87" s="70">
        <f>VLOOKUP($O87,'NO USAR1'!$A$4:$L$399,10,False)*$AB$19</f>
        <v>0.2220743585</v>
      </c>
      <c r="AL87" s="65">
        <f>VLOOKUP($O87,'NO USAR1'!$A$4:$L$399,12,False)*$AC$19</f>
        <v>0</v>
      </c>
      <c r="AM87" s="71">
        <f t="shared" si="2"/>
        <v>-0.7430502208</v>
      </c>
      <c r="AN87" s="71">
        <f t="shared" si="3"/>
        <v>-1.181676301</v>
      </c>
    </row>
    <row r="88">
      <c r="A88" t="str">
        <f>IF('NO USAR2'!B86="",ROW('NO USAR2'!B86),'NO USAR2'!B86)</f>
        <v>Ben Simmons</v>
      </c>
      <c r="B88" s="58">
        <f>IF(TYPE($A88)=1,"",('NO USAR2'!$L86-B$1)/B$2)</f>
        <v>-0.6307436246</v>
      </c>
      <c r="C88" s="58">
        <f>IF(TYPE($A88)=1,"",('NO USAR2'!$K86-C$1)/C$2)</f>
        <v>-1.513355566</v>
      </c>
      <c r="D88" s="58">
        <f>IF(TYPE($A88)=1,"",('NO USAR2'!$M86-D$1)/D$2)</f>
        <v>0.5002693463</v>
      </c>
      <c r="E88" s="58">
        <f>IF(TYPE($A88)=1,"",('NO USAR2'!$N86-E$1)/E$2)</f>
        <v>1.04915627</v>
      </c>
      <c r="F88" s="58">
        <f>IF(TYPE($A88)=1,"",('NO USAR2'!$O86-F$1)/F$2)</f>
        <v>1.622030044</v>
      </c>
      <c r="G88" s="58">
        <f>IF(TYPE($A88)=1,"",('NO USAR2'!$P86-G$1)/G$2)</f>
        <v>-0.200461529</v>
      </c>
      <c r="H88" s="58">
        <f>IF(TYPE($A88)=1,"",('NO USAR2'!$H86-H$1)/H$2*I88/$I$1)</f>
        <v>0.2472354296</v>
      </c>
      <c r="I88" s="58">
        <f>IF(TYPE($A88)=1,"",IF('NO USAR2'!H86=0,0,'NO USAR2'!G86/'NO USAR2'!H86))</f>
        <v>10</v>
      </c>
      <c r="J88" s="59">
        <f>IF(TYPE($A88)=1,"",('NO USAR2'!$J86-J$1)/J$2*K88/$K$1)</f>
        <v>-1.50359629</v>
      </c>
      <c r="K88" s="60">
        <f>IF(TYPE($A88)=1,"",IF('NO USAR2'!J86=0,0,'NO USAR2'!I86/'NO USAR2'!J86))</f>
        <v>4.5</v>
      </c>
      <c r="L88" s="58">
        <f>IF(TYPE($A88)=1,"",-('NO USAR2'!$Q86-L$1)/L$2)</f>
        <v>-1.191057311</v>
      </c>
      <c r="N88" s="2">
        <v>68.0</v>
      </c>
      <c r="O88" s="68" t="str">
        <f>IF('NO USAR2'!B66="",ROW('NO USAR2'!B66),'NO USAR2'!B66)</f>
        <v>Brandon Ingram</v>
      </c>
      <c r="P88" s="68">
        <f>'NO USAR2'!E69</f>
        <v>67</v>
      </c>
      <c r="Q88" s="68" t="str">
        <f>IF('NO USAR2'!C66="",ROW('NO USAR2'!N81),'NO USAR2'!C66)</f>
        <v>SF/PF</v>
      </c>
      <c r="R88" s="65">
        <f>VLOOKUP($O88,'NO USAR1'!$A$4:$L$399,2,False)+VLOOKUP($O88,'NO USAR1'!$A$4:$L$399,3,False)+VLOOKUP($O88,'NO USAR1'!$A$4:$L$399,4,False)+VLOOKUP($O88,'NO USAR1'!$A$4:$L$399,5,False)+VLOOKUP($O88,'NO USAR1'!$A$4:$L$399,6,False)+VLOOKUP($O88,'NO USAR1'!$A$4:$L$399,7,False)+VLOOKUP($O88,'NO USAR1'!$A$4:$L$399,8,False)+VLOOKUP($O88,'NO USAR1'!$A$4:$L$399,10,False)+VLOOKUP($O88,'NO USAR1'!$A$4:$L$399,12,False)*0</f>
        <v>-0.5807566876</v>
      </c>
      <c r="S88" s="65">
        <f>VLOOKUP($O88,'NO USAR1'!$A$4:$L$399,2,False)*$U$19+VLOOKUP($O88,'NO USAR1'!$A$4:$L$399,3,False)*$V$19+VLOOKUP($O88,'NO USAR1'!$A$4:$L$399,4,False)*$W$19+VLOOKUP($O88,'NO USAR1'!$A$4:$L$399,5,False)*$X$19+VLOOKUP($O88,'NO USAR1'!$A$4:$L$399,6,False)*$Y$19+VLOOKUP($O88,'NO USAR1'!$A$4:$L$399,7,False)*$Z$19+VLOOKUP($O88,'NO USAR1'!$A$4:$L$399,8,False)*$AA$19+VLOOKUP($O88,'NO USAR1'!$A$4:$L$399,10,False)*$AB$19+VLOOKUP($O88,'NO USAR1'!$A$4:$L$399,12,False)*$AC$19+IF(Projections!$K$3,-AN88, IF(Projections!$J$3,-AM88,0))</f>
        <v>0.5276593639</v>
      </c>
      <c r="T88" s="65">
        <f t="shared" si="1"/>
        <v>1.108416052</v>
      </c>
      <c r="U88" s="65">
        <f>VLOOKUP($O88,'NO USAR2'!$B$2:$R$397,11,False)</f>
        <v>23.1</v>
      </c>
      <c r="V88" s="69">
        <f>VLOOKUP($O88,'NO USAR2'!$B$2:$R$397,10,False)</f>
        <v>1.4</v>
      </c>
      <c r="W88" s="65">
        <f>VLOOKUP($O88,'NO USAR2'!$B$2:$R$397,12,False)</f>
        <v>5.9</v>
      </c>
      <c r="X88" s="65">
        <f>VLOOKUP($O88,'NO USAR2'!$B$2:$R$397,13,False)</f>
        <v>4.7</v>
      </c>
      <c r="Y88" s="65">
        <f>VLOOKUP($O88,'NO USAR2'!$B$2:$R$397,14,False)</f>
        <v>0.6</v>
      </c>
      <c r="Z88" s="70">
        <f>VLOOKUP($O88,'NO USAR2'!$B$2:$R$397,15,False)</f>
        <v>0.5</v>
      </c>
      <c r="AA88" s="65">
        <f>100*VLOOKUP($O88,'NO USAR2'!$B$2:$R$397,7,False)</f>
        <v>45.90163934</v>
      </c>
      <c r="AB88" s="65">
        <f>100*VLOOKUP($O88,'NO USAR2'!$B$2:$R$397,9,False)</f>
        <v>81.66666667</v>
      </c>
      <c r="AC88" s="65">
        <f>VLOOKUP($O88,'NO USAR2'!$B$2:$Q$397,16,False)</f>
        <v>2.8</v>
      </c>
      <c r="AD88" s="65">
        <f>VLOOKUP($O88,'NO USAR1'!$A$4:$L$399,2,False)*$U$19</f>
        <v>1.636847617</v>
      </c>
      <c r="AE88" s="65">
        <f>VLOOKUP($O88,'NO USAR1'!$A$4:$L$399,3,False)*$V$19</f>
        <v>-0.2134133348</v>
      </c>
      <c r="AF88" s="65">
        <f>VLOOKUP($O88,'NO USAR1'!$A$4:$L$399,4,False)*$W$19</f>
        <v>-0.07123221798</v>
      </c>
      <c r="AG88" s="65">
        <f>VLOOKUP($O88,'NO USAR1'!$A$4:$L$399,5,False)*$X$19</f>
        <v>0.5695441641</v>
      </c>
      <c r="AH88" s="65">
        <f>VLOOKUP($O88,'NO USAR1'!$A$4:$L$399,6,False)*$Y$19</f>
        <v>-1.651661175</v>
      </c>
      <c r="AI88" s="65">
        <f>VLOOKUP($O88,'NO USAR1'!$A$4:$L$399,7,False)*$Z$19</f>
        <v>0</v>
      </c>
      <c r="AJ88" s="65">
        <f>VLOOKUP($O88,'NO USAR1'!$A$4:$L$399,8,False)*$AA$19</f>
        <v>0</v>
      </c>
      <c r="AK88" s="70">
        <f>VLOOKUP($O88,'NO USAR1'!$A$4:$L$399,10,False)*$AB$19</f>
        <v>0.2575743103</v>
      </c>
      <c r="AL88" s="65">
        <f>VLOOKUP($O88,'NO USAR1'!$A$4:$L$399,12,False)*$AC$19</f>
        <v>0</v>
      </c>
      <c r="AM88" s="71">
        <f t="shared" si="2"/>
        <v>-1.651661175</v>
      </c>
      <c r="AN88" s="71">
        <f t="shared" si="3"/>
        <v>-1.86507451</v>
      </c>
    </row>
    <row r="89">
      <c r="A89" t="str">
        <f>IF('NO USAR2'!B87="",ROW('NO USAR2'!B87),'NO USAR2'!B87)</f>
        <v>Keldon Johnson</v>
      </c>
      <c r="B89" s="58">
        <f>IF(TYPE($A89)=1,"",('NO USAR2'!$L87-B$1)/B$2)</f>
        <v>0.558662043</v>
      </c>
      <c r="C89" s="58">
        <f>IF(TYPE($A89)=1,"",('NO USAR2'!$K87-C$1)/C$2)</f>
        <v>0.7865422277</v>
      </c>
      <c r="D89" s="58">
        <f>IF(TYPE($A89)=1,"",('NO USAR2'!$M87-D$1)/D$2)</f>
        <v>0.1736970238</v>
      </c>
      <c r="E89" s="58">
        <f>IF(TYPE($A89)=1,"",('NO USAR2'!$N87-E$1)/E$2)</f>
        <v>-0.6400956335</v>
      </c>
      <c r="F89" s="58">
        <f>IF(TYPE($A89)=1,"",('NO USAR2'!$O87-F$1)/F$2)</f>
        <v>-0.3402092786</v>
      </c>
      <c r="G89" s="58">
        <f>IF(TYPE($A89)=1,"",('NO USAR2'!$P87-G$1)/G$2)</f>
        <v>-1.024427538</v>
      </c>
      <c r="H89" s="58">
        <f>IF(TYPE($A89)=1,"",('NO USAR2'!$H87-H$1)/H$2*I89/$I$1)</f>
        <v>-0.434967202</v>
      </c>
      <c r="I89" s="58">
        <f>IF(TYPE($A89)=1,"",IF('NO USAR2'!H87=0,0,'NO USAR2'!G87/'NO USAR2'!H87))</f>
        <v>15.5</v>
      </c>
      <c r="J89" s="59">
        <f>IF(TYPE($A89)=1,"",('NO USAR2'!$J87-J$1)/J$2*K89/$K$1)</f>
        <v>-0.06669076246</v>
      </c>
      <c r="K89" s="60">
        <f>IF(TYPE($A89)=1,"",IF('NO USAR2'!J87=0,0,'NO USAR2'!I87/'NO USAR2'!J87))</f>
        <v>4.2</v>
      </c>
      <c r="L89" s="58">
        <f>IF(TYPE($A89)=1,"",-('NO USAR2'!$Q87-L$1)/L$2)</f>
        <v>0.4644234664</v>
      </c>
      <c r="N89" s="63">
        <v>69.0</v>
      </c>
      <c r="O89" s="68" t="str">
        <f>IF('NO USAR2'!B57="",ROW('NO USAR2'!B57),'NO USAR2'!B57)</f>
        <v>Mikal Bridges</v>
      </c>
      <c r="P89" s="68">
        <f>'NO USAR2'!E70</f>
        <v>71</v>
      </c>
      <c r="Q89" s="68" t="str">
        <f>IF('NO USAR2'!C57="",ROW('NO USAR2'!N72),'NO USAR2'!C57)</f>
        <v>SF</v>
      </c>
      <c r="R89" s="65">
        <f>VLOOKUP($O89,'NO USAR1'!$A$4:$L$399,2,False)+VLOOKUP($O89,'NO USAR1'!$A$4:$L$399,3,False)+VLOOKUP($O89,'NO USAR1'!$A$4:$L$399,4,False)+VLOOKUP($O89,'NO USAR1'!$A$4:$L$399,5,False)+VLOOKUP($O89,'NO USAR1'!$A$4:$L$399,6,False)+VLOOKUP($O89,'NO USAR1'!$A$4:$L$399,7,False)+VLOOKUP($O89,'NO USAR1'!$A$4:$L$399,8,False)+VLOOKUP($O89,'NO USAR1'!$A$4:$L$399,10,False)+VLOOKUP($O89,'NO USAR1'!$A$4:$L$399,12,False)*0</f>
        <v>-0.6371658671</v>
      </c>
      <c r="S89" s="65">
        <f>VLOOKUP($O89,'NO USAR1'!$A$4:$L$399,2,False)*$U$19+VLOOKUP($O89,'NO USAR1'!$A$4:$L$399,3,False)*$V$19+VLOOKUP($O89,'NO USAR1'!$A$4:$L$399,4,False)*$W$19+VLOOKUP($O89,'NO USAR1'!$A$4:$L$399,5,False)*$X$19+VLOOKUP($O89,'NO USAR1'!$A$4:$L$399,6,False)*$Y$19+VLOOKUP($O89,'NO USAR1'!$A$4:$L$399,7,False)*$Z$19+VLOOKUP($O89,'NO USAR1'!$A$4:$L$399,8,False)*$AA$19+VLOOKUP($O89,'NO USAR1'!$A$4:$L$399,10,False)*$AB$19+VLOOKUP($O89,'NO USAR1'!$A$4:$L$399,12,False)*$AC$19+IF(Projections!$K$3,-AN89, IF(Projections!$J$3,-AM89,0))</f>
        <v>-1.02898197</v>
      </c>
      <c r="T89" s="65">
        <f t="shared" si="1"/>
        <v>-0.3918161029</v>
      </c>
      <c r="U89" s="65">
        <f>VLOOKUP($O89,'NO USAR2'!$B$2:$R$397,11,False)</f>
        <v>15.4</v>
      </c>
      <c r="V89" s="69">
        <f>VLOOKUP($O89,'NO USAR2'!$B$2:$R$397,10,False)</f>
        <v>1.4</v>
      </c>
      <c r="W89" s="65">
        <f>VLOOKUP($O89,'NO USAR2'!$B$2:$R$397,12,False)</f>
        <v>4.3</v>
      </c>
      <c r="X89" s="65">
        <f>VLOOKUP($O89,'NO USAR2'!$B$2:$R$397,13,False)</f>
        <v>2.4</v>
      </c>
      <c r="Y89" s="65">
        <f>VLOOKUP($O89,'NO USAR2'!$B$2:$R$397,14,False)</f>
        <v>1.2</v>
      </c>
      <c r="Z89" s="70">
        <f>VLOOKUP($O89,'NO USAR2'!$B$2:$R$397,15,False)</f>
        <v>0.4</v>
      </c>
      <c r="AA89" s="65">
        <f>100*VLOOKUP($O89,'NO USAR2'!$B$2:$R$397,7,False)</f>
        <v>53.50877193</v>
      </c>
      <c r="AB89" s="65">
        <f>100*VLOOKUP($O89,'NO USAR2'!$B$2:$R$397,9,False)</f>
        <v>86.36363636</v>
      </c>
      <c r="AC89" s="65">
        <f>VLOOKUP($O89,'NO USAR2'!$B$2:$Q$397,16,False)</f>
        <v>0.8</v>
      </c>
      <c r="AD89" s="65">
        <f>VLOOKUP($O89,'NO USAR1'!$A$4:$L$399,2,False)*$U$19</f>
        <v>-0.413545735</v>
      </c>
      <c r="AE89" s="65">
        <f>VLOOKUP($O89,'NO USAR1'!$A$4:$L$399,3,False)*$V$19</f>
        <v>-0.2134133348</v>
      </c>
      <c r="AF89" s="65">
        <f>VLOOKUP($O89,'NO USAR1'!$A$4:$L$399,4,False)*$W$19</f>
        <v>-0.7243768628</v>
      </c>
      <c r="AG89" s="65">
        <f>VLOOKUP($O89,'NO USAR1'!$A$4:$L$399,5,False)*$X$19</f>
        <v>-0.7430502208</v>
      </c>
      <c r="AH89" s="65">
        <f>VLOOKUP($O89,'NO USAR1'!$A$4:$L$399,6,False)*$Y$19</f>
        <v>0.8011379786</v>
      </c>
      <c r="AI89" s="65">
        <f>VLOOKUP($O89,'NO USAR1'!$A$4:$L$399,7,False)*$Z$19</f>
        <v>0</v>
      </c>
      <c r="AJ89" s="65">
        <f>VLOOKUP($O89,'NO USAR1'!$A$4:$L$399,8,False)*$AA$19</f>
        <v>0</v>
      </c>
      <c r="AK89" s="70">
        <f>VLOOKUP($O89,'NO USAR1'!$A$4:$L$399,10,False)*$AB$19</f>
        <v>0.2642662048</v>
      </c>
      <c r="AL89" s="65">
        <f>VLOOKUP($O89,'NO USAR1'!$A$4:$L$399,12,False)*$AC$19</f>
        <v>0</v>
      </c>
      <c r="AM89" s="71">
        <f t="shared" si="2"/>
        <v>-0.7430502208</v>
      </c>
      <c r="AN89" s="71">
        <f t="shared" si="3"/>
        <v>-1.467427084</v>
      </c>
    </row>
    <row r="90">
      <c r="A90" t="str">
        <f>IF('NO USAR2'!B88="",ROW('NO USAR2'!B88),'NO USAR2'!B88)</f>
        <v>Brook Lopez</v>
      </c>
      <c r="B90" s="58">
        <f>IF(TYPE($A90)=1,"",('NO USAR2'!$L88-B$1)/B$2)</f>
        <v>-0.8260191819</v>
      </c>
      <c r="C90" s="58">
        <f>IF(TYPE($A90)=1,"",('NO USAR2'!$K88-C$1)/C$2)</f>
        <v>-0.2134133348</v>
      </c>
      <c r="D90" s="58">
        <f>IF(TYPE($A90)=1,"",('NO USAR2'!$M88-D$1)/D$2)</f>
        <v>-0.479447621</v>
      </c>
      <c r="E90" s="58">
        <f>IF(TYPE($A90)=1,"",('NO USAR2'!$N88-E$1)/E$2)</f>
        <v>-1.4162384</v>
      </c>
      <c r="F90" s="58">
        <f>IF(TYPE($A90)=1,"",('NO USAR2'!$O88-F$1)/F$2)</f>
        <v>-0.9942890529</v>
      </c>
      <c r="G90" s="58">
        <f>IF(TYPE($A90)=1,"",('NO USAR2'!$P88-G$1)/G$2)</f>
        <v>1.241478987</v>
      </c>
      <c r="H90" s="58">
        <f>IF(TYPE($A90)=1,"",('NO USAR2'!$H88-H$1)/H$2*I90/$I$1)</f>
        <v>-0.1061744229</v>
      </c>
      <c r="I90" s="58">
        <f>IF(TYPE($A90)=1,"",IF('NO USAR2'!H88=0,0,'NO USAR2'!G88/'NO USAR2'!H88))</f>
        <v>9.6</v>
      </c>
      <c r="J90" s="59">
        <f>IF(TYPE($A90)=1,"",('NO USAR2'!$J88-J$1)/J$2*K90/$K$1)</f>
        <v>0.7195300489</v>
      </c>
      <c r="K90" s="60">
        <f>IF(TYPE($A90)=1,"",IF('NO USAR2'!J88=0,0,'NO USAR2'!I88/'NO USAR2'!J88))</f>
        <v>2</v>
      </c>
      <c r="L90" s="58">
        <f>IF(TYPE($A90)=1,"",-('NO USAR2'!$Q88-L$1)/L$2)</f>
        <v>1.016250392</v>
      </c>
      <c r="N90" s="63">
        <v>70.0</v>
      </c>
      <c r="O90" s="68" t="str">
        <f>IF('NO USAR2'!B98="",ROW('NO USAR2'!B98),'NO USAR2'!B98)</f>
        <v>Josh Giddey</v>
      </c>
      <c r="P90" s="68">
        <f>'NO USAR2'!E71</f>
        <v>73</v>
      </c>
      <c r="Q90" s="68" t="str">
        <f>IF('NO USAR2'!C98="",ROW('NO USAR2'!N113),'NO USAR2'!C98)</f>
        <v>PG/SG</v>
      </c>
      <c r="R90" s="65">
        <f>VLOOKUP($O90,'NO USAR1'!$A$4:$L$399,2,False)+VLOOKUP($O90,'NO USAR1'!$A$4:$L$399,3,False)+VLOOKUP($O90,'NO USAR1'!$A$4:$L$399,4,False)+VLOOKUP($O90,'NO USAR1'!$A$4:$L$399,5,False)+VLOOKUP($O90,'NO USAR1'!$A$4:$L$399,6,False)+VLOOKUP($O90,'NO USAR1'!$A$4:$L$399,7,False)+VLOOKUP($O90,'NO USAR1'!$A$4:$L$399,8,False)+VLOOKUP($O90,'NO USAR1'!$A$4:$L$399,10,False)+VLOOKUP($O90,'NO USAR1'!$A$4:$L$399,12,False)*0</f>
        <v>-0.6759078743</v>
      </c>
      <c r="S90" s="65">
        <f>VLOOKUP($O90,'NO USAR1'!$A$4:$L$399,2,False)*$U$19+VLOOKUP($O90,'NO USAR1'!$A$4:$L$399,3,False)*$V$19+VLOOKUP($O90,'NO USAR1'!$A$4:$L$399,4,False)*$W$19+VLOOKUP($O90,'NO USAR1'!$A$4:$L$399,5,False)*$X$19+VLOOKUP($O90,'NO USAR1'!$A$4:$L$399,6,False)*$Y$19+VLOOKUP($O90,'NO USAR1'!$A$4:$L$399,7,False)*$Z$19+VLOOKUP($O90,'NO USAR1'!$A$4:$L$399,8,False)*$AA$19+VLOOKUP($O90,'NO USAR1'!$A$4:$L$399,10,False)*$AB$19+VLOOKUP($O90,'NO USAR1'!$A$4:$L$399,12,False)*$AC$19+IF(Projections!$K$3,-AN90, IF(Projections!$J$3,-AM90,0))</f>
        <v>1.293412741</v>
      </c>
      <c r="T90" s="65">
        <f t="shared" si="1"/>
        <v>1.969320615</v>
      </c>
      <c r="U90" s="65">
        <f>VLOOKUP($O90,'NO USAR2'!$B$2:$R$397,11,False)</f>
        <v>14.5</v>
      </c>
      <c r="V90" s="69">
        <f>VLOOKUP($O90,'NO USAR2'!$B$2:$R$397,10,False)</f>
        <v>1.2</v>
      </c>
      <c r="W90" s="65">
        <f>VLOOKUP($O90,'NO USAR2'!$B$2:$R$397,12,False)</f>
        <v>8.2</v>
      </c>
      <c r="X90" s="65">
        <f>VLOOKUP($O90,'NO USAR2'!$B$2:$R$397,13,False)</f>
        <v>6.7</v>
      </c>
      <c r="Y90" s="65">
        <f>VLOOKUP($O90,'NO USAR2'!$B$2:$R$397,14,False)</f>
        <v>1</v>
      </c>
      <c r="Z90" s="70">
        <f>VLOOKUP($O90,'NO USAR2'!$B$2:$R$397,15,False)</f>
        <v>0.4</v>
      </c>
      <c r="AA90" s="65">
        <f>100*VLOOKUP($O90,'NO USAR2'!$B$2:$R$397,7,False)</f>
        <v>42.55319149</v>
      </c>
      <c r="AB90" s="65">
        <f>100*VLOOKUP($O90,'NO USAR2'!$B$2:$R$397,9,False)</f>
        <v>72.22222222</v>
      </c>
      <c r="AC90" s="65">
        <f>VLOOKUP($O90,'NO USAR2'!$B$2:$Q$397,16,False)</f>
        <v>3.4</v>
      </c>
      <c r="AD90" s="65">
        <f>VLOOKUP($O90,'NO USAR1'!$A$4:$L$399,2,False)*$U$19</f>
        <v>-0.6532021008</v>
      </c>
      <c r="AE90" s="65">
        <f>VLOOKUP($O90,'NO USAR1'!$A$4:$L$399,3,False)*$V$19</f>
        <v>-0.4134044473</v>
      </c>
      <c r="AF90" s="65">
        <f>VLOOKUP($O90,'NO USAR1'!$A$4:$L$399,4,False)*$W$19</f>
        <v>0.867663209</v>
      </c>
      <c r="AG90" s="65">
        <f>VLOOKUP($O90,'NO USAR1'!$A$4:$L$399,5,False)*$X$19</f>
        <v>1.710930586</v>
      </c>
      <c r="AH90" s="65">
        <f>VLOOKUP($O90,'NO USAR1'!$A$4:$L$399,6,False)*$Y$19</f>
        <v>-0.01646173929</v>
      </c>
      <c r="AI90" s="65">
        <f>VLOOKUP($O90,'NO USAR1'!$A$4:$L$399,7,False)*$Z$19</f>
        <v>0</v>
      </c>
      <c r="AJ90" s="65">
        <f>VLOOKUP($O90,'NO USAR1'!$A$4:$L$399,8,False)*$AA$19</f>
        <v>0</v>
      </c>
      <c r="AK90" s="70">
        <f>VLOOKUP($O90,'NO USAR1'!$A$4:$L$399,10,False)*$AB$19</f>
        <v>-0.2021127664</v>
      </c>
      <c r="AL90" s="65">
        <f>VLOOKUP($O90,'NO USAR1'!$A$4:$L$399,12,False)*$AC$19</f>
        <v>0</v>
      </c>
      <c r="AM90" s="71">
        <f t="shared" si="2"/>
        <v>-0.6532021008</v>
      </c>
      <c r="AN90" s="71">
        <f t="shared" si="3"/>
        <v>-1.066606548</v>
      </c>
    </row>
    <row r="91">
      <c r="A91" t="str">
        <f>IF('NO USAR2'!B89="",ROW('NO USAR2'!B89),'NO USAR2'!B89)</f>
        <v>Franz Wagner</v>
      </c>
      <c r="B91" s="58">
        <f>IF(TYPE($A91)=1,"",('NO USAR2'!$L89-B$1)/B$2)</f>
        <v>-0.02716462909</v>
      </c>
      <c r="C91" s="58">
        <f>IF(TYPE($A91)=1,"",('NO USAR2'!$K89-C$1)/C$2)</f>
        <v>-0.2134133348</v>
      </c>
      <c r="D91" s="58">
        <f>IF(TYPE($A91)=1,"",('NO USAR2'!$M89-D$1)/D$2)</f>
        <v>-0.5610907016</v>
      </c>
      <c r="E91" s="58">
        <f>IF(TYPE($A91)=1,"",('NO USAR2'!$N89-E$1)/E$2)</f>
        <v>-0.3205074354</v>
      </c>
      <c r="F91" s="58">
        <f>IF(TYPE($A91)=1,"",('NO USAR2'!$O89-F$1)/F$2)</f>
        <v>-0.3402092786</v>
      </c>
      <c r="G91" s="58">
        <f>IF(TYPE($A91)=1,"",('NO USAR2'!$P89-G$1)/G$2)</f>
        <v>-0.6124445335</v>
      </c>
      <c r="H91" s="58">
        <f>IF(TYPE($A91)=1,"",('NO USAR2'!$H89-H$1)/H$2*I91/$I$1)</f>
        <v>-0.453332574</v>
      </c>
      <c r="I91" s="58">
        <f>IF(TYPE($A91)=1,"",IF('NO USAR2'!H89=0,0,'NO USAR2'!G89/'NO USAR2'!H89))</f>
        <v>14.1</v>
      </c>
      <c r="J91" s="59">
        <f>IF(TYPE($A91)=1,"",('NO USAR2'!$J89-J$1)/J$2*K91/$K$1)</f>
        <v>0.6817614352</v>
      </c>
      <c r="K91" s="60">
        <f>IF(TYPE($A91)=1,"",IF('NO USAR2'!J89=0,0,'NO USAR2'!I89/'NO USAR2'!J89))</f>
        <v>2.9</v>
      </c>
      <c r="L91" s="58">
        <f>IF(TYPE($A91)=1,"",-('NO USAR2'!$Q89-L$1)/L$2)</f>
        <v>0.4644234664</v>
      </c>
      <c r="N91" s="2">
        <v>71.0</v>
      </c>
      <c r="O91" s="68" t="str">
        <f>IF('NO USAR2'!B54="",ROW('NO USAR2'!B54),'NO USAR2'!B54)</f>
        <v>John Collins</v>
      </c>
      <c r="P91" s="68">
        <f>'NO USAR2'!E72</f>
        <v>65</v>
      </c>
      <c r="Q91" s="68" t="str">
        <f>IF('NO USAR2'!C54="",ROW('NO USAR2'!N69),'NO USAR2'!C54)</f>
        <v>PF/C</v>
      </c>
      <c r="R91" s="65">
        <f>VLOOKUP($O91,'NO USAR1'!$A$4:$L$399,2,False)+VLOOKUP($O91,'NO USAR1'!$A$4:$L$399,3,False)+VLOOKUP($O91,'NO USAR1'!$A$4:$L$399,4,False)+VLOOKUP($O91,'NO USAR1'!$A$4:$L$399,5,False)+VLOOKUP($O91,'NO USAR1'!$A$4:$L$399,6,False)+VLOOKUP($O91,'NO USAR1'!$A$4:$L$399,7,False)+VLOOKUP($O91,'NO USAR1'!$A$4:$L$399,8,False)+VLOOKUP($O91,'NO USAR1'!$A$4:$L$399,10,False)+VLOOKUP($O91,'NO USAR1'!$A$4:$L$399,12,False)*0</f>
        <v>-0.6890612429</v>
      </c>
      <c r="S91" s="65">
        <f>VLOOKUP($O91,'NO USAR1'!$A$4:$L$399,2,False)*$U$19+VLOOKUP($O91,'NO USAR1'!$A$4:$L$399,3,False)*$V$19+VLOOKUP($O91,'NO USAR1'!$A$4:$L$399,4,False)*$W$19+VLOOKUP($O91,'NO USAR1'!$A$4:$L$399,5,False)*$X$19+VLOOKUP($O91,'NO USAR1'!$A$4:$L$399,6,False)*$Y$19+VLOOKUP($O91,'NO USAR1'!$A$4:$L$399,7,False)*$Z$19+VLOOKUP($O91,'NO USAR1'!$A$4:$L$399,8,False)*$AA$19+VLOOKUP($O91,'NO USAR1'!$A$4:$L$399,10,False)*$AB$19+VLOOKUP($O91,'NO USAR1'!$A$4:$L$399,12,False)*$AC$19+IF(Projections!$K$3,-AN91, IF(Projections!$J$3,-AM91,0))</f>
        <v>-2.422940599</v>
      </c>
      <c r="T91" s="65">
        <f t="shared" si="1"/>
        <v>-1.733879356</v>
      </c>
      <c r="U91" s="65">
        <f>VLOOKUP($O91,'NO USAR2'!$B$2:$R$397,11,False)</f>
        <v>16.3</v>
      </c>
      <c r="V91" s="69">
        <f>VLOOKUP($O91,'NO USAR2'!$B$2:$R$397,10,False)</f>
        <v>1.2</v>
      </c>
      <c r="W91" s="65">
        <f>VLOOKUP($O91,'NO USAR2'!$B$2:$R$397,12,False)</f>
        <v>8</v>
      </c>
      <c r="X91" s="65">
        <f>VLOOKUP($O91,'NO USAR2'!$B$2:$R$397,13,False)</f>
        <v>1.8</v>
      </c>
      <c r="Y91" s="65">
        <f>VLOOKUP($O91,'NO USAR2'!$B$2:$R$397,14,False)</f>
        <v>0.6</v>
      </c>
      <c r="Z91" s="70">
        <f>VLOOKUP($O91,'NO USAR2'!$B$2:$R$397,15,False)</f>
        <v>1</v>
      </c>
      <c r="AA91" s="65">
        <f>100*VLOOKUP($O91,'NO USAR2'!$B$2:$R$397,7,False)</f>
        <v>51.66666667</v>
      </c>
      <c r="AB91" s="65">
        <f>100*VLOOKUP($O91,'NO USAR2'!$B$2:$R$397,9,False)</f>
        <v>81.25</v>
      </c>
      <c r="AC91" s="65">
        <f>VLOOKUP($O91,'NO USAR2'!$B$2:$Q$397,16,False)</f>
        <v>1.1</v>
      </c>
      <c r="AD91" s="65">
        <f>VLOOKUP($O91,'NO USAR1'!$A$4:$L$399,2,False)*$U$19</f>
        <v>-0.1738893691</v>
      </c>
      <c r="AE91" s="65">
        <f>VLOOKUP($O91,'NO USAR1'!$A$4:$L$399,3,False)*$V$19</f>
        <v>-0.4134044473</v>
      </c>
      <c r="AF91" s="65">
        <f>VLOOKUP($O91,'NO USAR1'!$A$4:$L$399,4,False)*$W$19</f>
        <v>0.7860201284</v>
      </c>
      <c r="AG91" s="65">
        <f>VLOOKUP($O91,'NO USAR1'!$A$4:$L$399,5,False)*$X$19</f>
        <v>-1.085466147</v>
      </c>
      <c r="AH91" s="65">
        <f>VLOOKUP($O91,'NO USAR1'!$A$4:$L$399,6,False)*$Y$19</f>
        <v>-1.651661175</v>
      </c>
      <c r="AI91" s="65">
        <f>VLOOKUP($O91,'NO USAR1'!$A$4:$L$399,7,False)*$Z$19</f>
        <v>0</v>
      </c>
      <c r="AJ91" s="65">
        <f>VLOOKUP($O91,'NO USAR1'!$A$4:$L$399,8,False)*$AA$19</f>
        <v>0</v>
      </c>
      <c r="AK91" s="70">
        <f>VLOOKUP($O91,'NO USAR1'!$A$4:$L$399,10,False)*$AB$19</f>
        <v>0.1154604118</v>
      </c>
      <c r="AL91" s="65">
        <f>VLOOKUP($O91,'NO USAR1'!$A$4:$L$399,12,False)*$AC$19</f>
        <v>0</v>
      </c>
      <c r="AM91" s="71">
        <f t="shared" si="2"/>
        <v>-1.651661175</v>
      </c>
      <c r="AN91" s="71">
        <f t="shared" si="3"/>
        <v>-2.737127322</v>
      </c>
    </row>
    <row r="92">
      <c r="A92" t="str">
        <f>IF('NO USAR2'!B90="",ROW('NO USAR2'!B90),'NO USAR2'!B90)</f>
        <v>Saddiq Bey</v>
      </c>
      <c r="B92" s="58">
        <f>IF(TYPE($A92)=1,"",('NO USAR2'!$L90-B$1)/B$2)</f>
        <v>0.09710163469</v>
      </c>
      <c r="C92" s="58">
        <f>IF(TYPE($A92)=1,"",('NO USAR2'!$K90-C$1)/C$2)</f>
        <v>1.286520009</v>
      </c>
      <c r="D92" s="58">
        <f>IF(TYPE($A92)=1,"",('NO USAR2'!$M90-D$1)/D$2)</f>
        <v>-0.1936968389</v>
      </c>
      <c r="E92" s="58">
        <f>IF(TYPE($A92)=1,"",('NO USAR2'!$N90-E$1)/E$2)</f>
        <v>-0.3661628923</v>
      </c>
      <c r="F92" s="58">
        <f>IF(TYPE($A92)=1,"",('NO USAR2'!$O90-F$1)/F$2)</f>
        <v>-0.3402092786</v>
      </c>
      <c r="G92" s="58">
        <f>IF(TYPE($A92)=1,"",('NO USAR2'!$P90-G$1)/G$2)</f>
        <v>-1.024427538</v>
      </c>
      <c r="H92" s="58">
        <f>IF(TYPE($A92)=1,"",('NO USAR2'!$H90-H$1)/H$2*I92/$I$1)</f>
        <v>-1.203749444</v>
      </c>
      <c r="I92" s="58">
        <f>IF(TYPE($A92)=1,"",IF('NO USAR2'!H90=0,0,'NO USAR2'!G90/'NO USAR2'!H90))</f>
        <v>14.4</v>
      </c>
      <c r="J92" s="59">
        <f>IF(TYPE($A92)=1,"",('NO USAR2'!$J90-J$1)/J$2*K92/$K$1)</f>
        <v>0.5596091288</v>
      </c>
      <c r="K92" s="60">
        <f>IF(TYPE($A92)=1,"",IF('NO USAR2'!J90=0,0,'NO USAR2'!I90/'NO USAR2'!J90))</f>
        <v>3.2</v>
      </c>
      <c r="L92" s="58">
        <f>IF(TYPE($A92)=1,"",-('NO USAR2'!$Q90-L$1)/L$2)</f>
        <v>0.905885007</v>
      </c>
      <c r="N92" s="63">
        <v>72.0</v>
      </c>
      <c r="O92" s="68" t="str">
        <f>IF('NO USAR2'!B59="",ROW('NO USAR2'!B59),'NO USAR2'!B59)</f>
        <v>Tyrese Maxey</v>
      </c>
      <c r="P92" s="68">
        <f>'NO USAR2'!E73</f>
        <v>76</v>
      </c>
      <c r="Q92" s="68" t="str">
        <f>IF('NO USAR2'!C59="",ROW('NO USAR2'!N74),'NO USAR2'!C59)</f>
        <v>PG/SF</v>
      </c>
      <c r="R92" s="65">
        <f>VLOOKUP($O92,'NO USAR1'!$A$4:$L$399,2,False)+VLOOKUP($O92,'NO USAR1'!$A$4:$L$399,3,False)+VLOOKUP($O92,'NO USAR1'!$A$4:$L$399,4,False)+VLOOKUP($O92,'NO USAR1'!$A$4:$L$399,5,False)+VLOOKUP($O92,'NO USAR1'!$A$4:$L$399,6,False)+VLOOKUP($O92,'NO USAR1'!$A$4:$L$399,7,False)+VLOOKUP($O92,'NO USAR1'!$A$4:$L$399,8,False)+VLOOKUP($O92,'NO USAR1'!$A$4:$L$399,10,False)+VLOOKUP($O92,'NO USAR1'!$A$4:$L$399,12,False)*0</f>
        <v>-0.7469692501</v>
      </c>
      <c r="S92" s="65">
        <f>VLOOKUP($O92,'NO USAR1'!$A$4:$L$399,2,False)*$U$19+VLOOKUP($O92,'NO USAR1'!$A$4:$L$399,3,False)*$V$19+VLOOKUP($O92,'NO USAR1'!$A$4:$L$399,4,False)*$W$19+VLOOKUP($O92,'NO USAR1'!$A$4:$L$399,5,False)*$X$19+VLOOKUP($O92,'NO USAR1'!$A$4:$L$399,6,False)*$Y$19+VLOOKUP($O92,'NO USAR1'!$A$4:$L$399,7,False)*$Z$19+VLOOKUP($O92,'NO USAR1'!$A$4:$L$399,8,False)*$AA$19+VLOOKUP($O92,'NO USAR1'!$A$4:$L$399,10,False)*$AB$19+VLOOKUP($O92,'NO USAR1'!$A$4:$L$399,12,False)*$AC$19+IF(Projections!$K$3,-AN92, IF(Projections!$J$3,-AM92,0))</f>
        <v>-0.1857330876</v>
      </c>
      <c r="T92" s="65">
        <f t="shared" si="1"/>
        <v>0.5612361625</v>
      </c>
      <c r="U92" s="65">
        <f>VLOOKUP($O92,'NO USAR2'!$B$2:$R$397,11,False)</f>
        <v>18.6</v>
      </c>
      <c r="V92" s="69">
        <f>VLOOKUP($O92,'NO USAR2'!$B$2:$R$397,10,False)</f>
        <v>1.8</v>
      </c>
      <c r="W92" s="65">
        <f>VLOOKUP($O92,'NO USAR2'!$B$2:$R$397,12,False)</f>
        <v>3.3</v>
      </c>
      <c r="X92" s="65">
        <f>VLOOKUP($O92,'NO USAR2'!$B$2:$R$397,13,False)</f>
        <v>4.4</v>
      </c>
      <c r="Y92" s="65">
        <f>VLOOKUP($O92,'NO USAR2'!$B$2:$R$397,14,False)</f>
        <v>0.9</v>
      </c>
      <c r="Z92" s="70">
        <f>VLOOKUP($O92,'NO USAR2'!$B$2:$R$397,15,False)</f>
        <v>0.4</v>
      </c>
      <c r="AA92" s="65">
        <f>100*VLOOKUP($O92,'NO USAR2'!$B$2:$R$397,7,False)</f>
        <v>47.94520548</v>
      </c>
      <c r="AB92" s="65">
        <f>100*VLOOKUP($O92,'NO USAR2'!$B$2:$R$397,9,False)</f>
        <v>85.29411765</v>
      </c>
      <c r="AC92" s="65">
        <f>VLOOKUP($O92,'NO USAR2'!$B$2:$Q$397,16,False)</f>
        <v>1.2</v>
      </c>
      <c r="AD92" s="65">
        <f>VLOOKUP($O92,'NO USAR1'!$A$4:$L$399,2,False)*$U$19</f>
        <v>0.4385657881</v>
      </c>
      <c r="AE92" s="65">
        <f>VLOOKUP($O92,'NO USAR1'!$A$4:$L$399,3,False)*$V$19</f>
        <v>0.1865688902</v>
      </c>
      <c r="AF92" s="65">
        <f>VLOOKUP($O92,'NO USAR1'!$A$4:$L$399,4,False)*$W$19</f>
        <v>-1.132592266</v>
      </c>
      <c r="AG92" s="65">
        <f>VLOOKUP($O92,'NO USAR1'!$A$4:$L$399,5,False)*$X$19</f>
        <v>0.3983362008</v>
      </c>
      <c r="AH92" s="65">
        <f>VLOOKUP($O92,'NO USAR1'!$A$4:$L$399,6,False)*$Y$19</f>
        <v>-0.4252615982</v>
      </c>
      <c r="AI92" s="65">
        <f>VLOOKUP($O92,'NO USAR1'!$A$4:$L$399,7,False)*$Z$19</f>
        <v>0</v>
      </c>
      <c r="AJ92" s="65">
        <f>VLOOKUP($O92,'NO USAR1'!$A$4:$L$399,8,False)*$AA$19</f>
        <v>0</v>
      </c>
      <c r="AK92" s="70">
        <f>VLOOKUP($O92,'NO USAR1'!$A$4:$L$399,10,False)*$AB$19</f>
        <v>0.3486498974</v>
      </c>
      <c r="AL92" s="65">
        <f>VLOOKUP($O92,'NO USAR1'!$A$4:$L$399,12,False)*$AC$19</f>
        <v>0</v>
      </c>
      <c r="AM92" s="71">
        <f t="shared" si="2"/>
        <v>-1.132592266</v>
      </c>
      <c r="AN92" s="71">
        <f t="shared" si="3"/>
        <v>-1.557853864</v>
      </c>
    </row>
    <row r="93">
      <c r="A93" t="str">
        <f>IF('NO USAR2'!B91="",ROW('NO USAR2'!B91),'NO USAR2'!B91)</f>
        <v>Robert Covington</v>
      </c>
      <c r="B93" s="58">
        <f>IF(TYPE($A93)=1,"",('NO USAR2'!$L91-B$1)/B$2)</f>
        <v>-1.553864441</v>
      </c>
      <c r="C93" s="58">
        <f>IF(TYPE($A93)=1,"",('NO USAR2'!$K91-C$1)/C$2)</f>
        <v>0.1865688902</v>
      </c>
      <c r="D93" s="58">
        <f>IF(TYPE($A93)=1,"",('NO USAR2'!$M91-D$1)/D$2)</f>
        <v>-0.2753399195</v>
      </c>
      <c r="E93" s="58">
        <f>IF(TYPE($A93)=1,"",('NO USAR2'!$N91-E$1)/E$2)</f>
        <v>-1.096650202</v>
      </c>
      <c r="F93" s="58">
        <f>IF(TYPE($A93)=1,"",('NO USAR2'!$O91-F$1)/F$2)</f>
        <v>0.96795027</v>
      </c>
      <c r="G93" s="58">
        <f>IF(TYPE($A93)=1,"",('NO USAR2'!$P91-G$1)/G$2)</f>
        <v>1.035487484</v>
      </c>
      <c r="H93" s="58">
        <f>IF(TYPE($A93)=1,"",('NO USAR2'!$H91-H$1)/H$2*I93/$I$1)</f>
        <v>-0.6071219713</v>
      </c>
      <c r="I93" s="58">
        <f>IF(TYPE($A93)=1,"",IF('NO USAR2'!H91=0,0,'NO USAR2'!G91/'NO USAR2'!H91))</f>
        <v>6.8</v>
      </c>
      <c r="J93" s="59">
        <f>IF(TYPE($A93)=1,"",('NO USAR2'!$J91-J$1)/J$2*K93/$K$1)</f>
        <v>0.03107671921</v>
      </c>
      <c r="K93" s="60">
        <f>IF(TYPE($A93)=1,"",IF('NO USAR2'!J91=0,0,'NO USAR2'!I91/'NO USAR2'!J91))</f>
        <v>1</v>
      </c>
      <c r="L93" s="58">
        <f>IF(TYPE($A93)=1,"",-('NO USAR2'!$Q91-L$1)/L$2)</f>
        <v>1.016250392</v>
      </c>
      <c r="N93" s="63">
        <v>73.0</v>
      </c>
      <c r="O93" s="68" t="str">
        <f>IF('NO USAR2'!B85="",ROW('NO USAR2'!B85),'NO USAR2'!B85)</f>
        <v>Alperen Sengun</v>
      </c>
      <c r="P93" s="68">
        <f>'NO USAR2'!E74</f>
        <v>70</v>
      </c>
      <c r="Q93" s="68" t="str">
        <f>IF('NO USAR2'!C85="",ROW('NO USAR2'!N100),'NO USAR2'!C85)</f>
        <v>C</v>
      </c>
      <c r="R93" s="65">
        <f>VLOOKUP($O93,'NO USAR1'!$A$4:$L$399,2,False)+VLOOKUP($O93,'NO USAR1'!$A$4:$L$399,3,False)+VLOOKUP($O93,'NO USAR1'!$A$4:$L$399,4,False)+VLOOKUP($O93,'NO USAR1'!$A$4:$L$399,5,False)+VLOOKUP($O93,'NO USAR1'!$A$4:$L$399,6,False)+VLOOKUP($O93,'NO USAR1'!$A$4:$L$399,7,False)+VLOOKUP($O93,'NO USAR1'!$A$4:$L$399,8,False)+VLOOKUP($O93,'NO USAR1'!$A$4:$L$399,10,False)+VLOOKUP($O93,'NO USAR1'!$A$4:$L$399,12,False)*0</f>
        <v>-0.7498920077</v>
      </c>
      <c r="S93" s="65">
        <f>VLOOKUP($O93,'NO USAR1'!$A$4:$L$399,2,False)*$U$19+VLOOKUP($O93,'NO USAR1'!$A$4:$L$399,3,False)*$V$19+VLOOKUP($O93,'NO USAR1'!$A$4:$L$399,4,False)*$W$19+VLOOKUP($O93,'NO USAR1'!$A$4:$L$399,5,False)*$X$19+VLOOKUP($O93,'NO USAR1'!$A$4:$L$399,6,False)*$Y$19+VLOOKUP($O93,'NO USAR1'!$A$4:$L$399,7,False)*$Z$19+VLOOKUP($O93,'NO USAR1'!$A$4:$L$399,8,False)*$AA$19+VLOOKUP($O93,'NO USAR1'!$A$4:$L$399,10,False)*$AB$19+VLOOKUP($O93,'NO USAR1'!$A$4:$L$399,12,False)*$AC$19+IF(Projections!$K$3,-AN93, IF(Projections!$J$3,-AM93,0))</f>
        <v>-1.290502231</v>
      </c>
      <c r="T93" s="65">
        <f t="shared" si="1"/>
        <v>-0.5406102231</v>
      </c>
      <c r="U93" s="65">
        <f>VLOOKUP($O93,'NO USAR2'!$B$2:$R$397,11,False)</f>
        <v>14.3</v>
      </c>
      <c r="V93" s="69">
        <f>VLOOKUP($O93,'NO USAR2'!$B$2:$R$397,10,False)</f>
        <v>0.6</v>
      </c>
      <c r="W93" s="65">
        <f>VLOOKUP($O93,'NO USAR2'!$B$2:$R$397,12,False)</f>
        <v>8.3</v>
      </c>
      <c r="X93" s="65">
        <f>VLOOKUP($O93,'NO USAR2'!$B$2:$R$397,13,False)</f>
        <v>3.8</v>
      </c>
      <c r="Y93" s="65">
        <f>VLOOKUP($O93,'NO USAR2'!$B$2:$R$397,14,False)</f>
        <v>1</v>
      </c>
      <c r="Z93" s="70">
        <f>VLOOKUP($O93,'NO USAR2'!$B$2:$R$397,15,False)</f>
        <v>1.2</v>
      </c>
      <c r="AA93" s="65">
        <f>100*VLOOKUP($O93,'NO USAR2'!$B$2:$R$397,7,False)</f>
        <v>47.27272727</v>
      </c>
      <c r="AB93" s="65">
        <f>100*VLOOKUP($O93,'NO USAR2'!$B$2:$R$397,9,False)</f>
        <v>72.34042553</v>
      </c>
      <c r="AC93" s="65">
        <f>VLOOKUP($O93,'NO USAR2'!$B$2:$Q$397,16,False)</f>
        <v>3</v>
      </c>
      <c r="AD93" s="65">
        <f>VLOOKUP($O93,'NO USAR1'!$A$4:$L$399,2,False)*$U$19</f>
        <v>-0.706459071</v>
      </c>
      <c r="AE93" s="65">
        <f>VLOOKUP($O93,'NO USAR1'!$A$4:$L$399,3,False)*$V$19</f>
        <v>-1.013377785</v>
      </c>
      <c r="AF93" s="65">
        <f>VLOOKUP($O93,'NO USAR1'!$A$4:$L$399,4,False)*$W$19</f>
        <v>0.9084847493</v>
      </c>
      <c r="AG93" s="65">
        <f>VLOOKUP($O93,'NO USAR1'!$A$4:$L$399,5,False)*$X$19</f>
        <v>0.05592027435</v>
      </c>
      <c r="AH93" s="65">
        <f>VLOOKUP($O93,'NO USAR1'!$A$4:$L$399,6,False)*$Y$19</f>
        <v>-0.01646173929</v>
      </c>
      <c r="AI93" s="65">
        <f>VLOOKUP($O93,'NO USAR1'!$A$4:$L$399,7,False)*$Z$19</f>
        <v>0</v>
      </c>
      <c r="AJ93" s="65">
        <f>VLOOKUP($O93,'NO USAR1'!$A$4:$L$399,8,False)*$AA$19</f>
        <v>0</v>
      </c>
      <c r="AK93" s="70">
        <f>VLOOKUP($O93,'NO USAR1'!$A$4:$L$399,10,False)*$AB$19</f>
        <v>-0.5186086593</v>
      </c>
      <c r="AL93" s="65">
        <f>VLOOKUP($O93,'NO USAR1'!$A$4:$L$399,12,False)*$AC$19</f>
        <v>0</v>
      </c>
      <c r="AM93" s="71">
        <f t="shared" si="2"/>
        <v>-1.013377785</v>
      </c>
      <c r="AN93" s="71">
        <f t="shared" si="3"/>
        <v>-1.719836856</v>
      </c>
    </row>
    <row r="94">
      <c r="A94" t="str">
        <f>IF('NO USAR2'!B92="",ROW('NO USAR2'!B92),'NO USAR2'!B92)</f>
        <v>Kelly Olynyk</v>
      </c>
      <c r="B94" s="58">
        <f>IF(TYPE($A94)=1,"",('NO USAR2'!$L92-B$1)/B$2)</f>
        <v>-0.9680377691</v>
      </c>
      <c r="C94" s="58">
        <f>IF(TYPE($A94)=1,"",('NO USAR2'!$K92-C$1)/C$2)</f>
        <v>-0.3134088911</v>
      </c>
      <c r="D94" s="58">
        <f>IF(TYPE($A94)=1,"",('NO USAR2'!$M92-D$1)/D$2)</f>
        <v>0.05123240293</v>
      </c>
      <c r="E94" s="58">
        <f>IF(TYPE($A94)=1,"",('NO USAR2'!$N92-E$1)/E$2)</f>
        <v>0.09039167634</v>
      </c>
      <c r="F94" s="58">
        <f>IF(TYPE($A94)=1,"",('NO USAR2'!$O92-F$1)/F$2)</f>
        <v>0.3138704957</v>
      </c>
      <c r="G94" s="58">
        <f>IF(TYPE($A94)=1,"",('NO USAR2'!$P92-G$1)/G$2)</f>
        <v>0.005529973215</v>
      </c>
      <c r="H94" s="58">
        <f>IF(TYPE($A94)=1,"",('NO USAR2'!$H92-H$1)/H$2*I94/$I$1)</f>
        <v>-0.4028689871</v>
      </c>
      <c r="I94" s="58">
        <f>IF(TYPE($A94)=1,"",IF('NO USAR2'!H92=0,0,'NO USAR2'!G92/'NO USAR2'!H92))</f>
        <v>9.1</v>
      </c>
      <c r="J94" s="59">
        <f>IF(TYPE($A94)=1,"",('NO USAR2'!$J92-J$1)/J$2*K94/$K$1)</f>
        <v>-0.1821511743</v>
      </c>
      <c r="K94" s="60">
        <f>IF(TYPE($A94)=1,"",IF('NO USAR2'!J92=0,0,'NO USAR2'!I92/'NO USAR2'!J92))</f>
        <v>2.6</v>
      </c>
      <c r="L94" s="58">
        <f>IF(TYPE($A94)=1,"",-('NO USAR2'!$Q92-L$1)/L$2)</f>
        <v>-0.08740345939</v>
      </c>
      <c r="N94" s="2">
        <v>74.0</v>
      </c>
      <c r="O94" s="68" t="str">
        <f>IF('NO USAR2'!B83="",ROW('NO USAR2'!B83),'NO USAR2'!B83)</f>
        <v>Gary Trent Jr.</v>
      </c>
      <c r="P94" s="68">
        <f>'NO USAR2'!E75</f>
        <v>61</v>
      </c>
      <c r="Q94" s="68" t="str">
        <f>IF('NO USAR2'!C83="",ROW('NO USAR2'!N98),'NO USAR2'!C83)</f>
        <v>SG</v>
      </c>
      <c r="R94" s="65">
        <f>VLOOKUP($O94,'NO USAR1'!$A$4:$L$399,2,False)+VLOOKUP($O94,'NO USAR1'!$A$4:$L$399,3,False)+VLOOKUP($O94,'NO USAR1'!$A$4:$L$399,4,False)+VLOOKUP($O94,'NO USAR1'!$A$4:$L$399,5,False)+VLOOKUP($O94,'NO USAR1'!$A$4:$L$399,6,False)+VLOOKUP($O94,'NO USAR1'!$A$4:$L$399,7,False)+VLOOKUP($O94,'NO USAR1'!$A$4:$L$399,8,False)+VLOOKUP($O94,'NO USAR1'!$A$4:$L$399,10,False)+VLOOKUP($O94,'NO USAR1'!$A$4:$L$399,12,False)*0</f>
        <v>-0.7592229897</v>
      </c>
      <c r="S94" s="65">
        <f>VLOOKUP($O94,'NO USAR1'!$A$4:$L$399,2,False)*$U$19+VLOOKUP($O94,'NO USAR1'!$A$4:$L$399,3,False)*$V$19+VLOOKUP($O94,'NO USAR1'!$A$4:$L$399,4,False)*$W$19+VLOOKUP($O94,'NO USAR1'!$A$4:$L$399,5,False)*$X$19+VLOOKUP($O94,'NO USAR1'!$A$4:$L$399,6,False)*$Y$19+VLOOKUP($O94,'NO USAR1'!$A$4:$L$399,7,False)*$Z$19+VLOOKUP($O94,'NO USAR1'!$A$4:$L$399,8,False)*$AA$19+VLOOKUP($O94,'NO USAR1'!$A$4:$L$399,10,False)*$AB$19+VLOOKUP($O94,'NO USAR1'!$A$4:$L$399,12,False)*$AC$19+IF(Projections!$K$3,-AN94, IF(Projections!$J$3,-AM94,0))</f>
        <v>1.674269905</v>
      </c>
      <c r="T94" s="65">
        <f t="shared" si="1"/>
        <v>2.433492895</v>
      </c>
      <c r="U94" s="65">
        <f>VLOOKUP($O94,'NO USAR2'!$B$2:$R$397,11,False)</f>
        <v>18.4</v>
      </c>
      <c r="V94" s="69">
        <f>VLOOKUP($O94,'NO USAR2'!$B$2:$R$397,10,False)</f>
        <v>3</v>
      </c>
      <c r="W94" s="65">
        <f>VLOOKUP($O94,'NO USAR2'!$B$2:$R$397,12,False)</f>
        <v>2.9</v>
      </c>
      <c r="X94" s="65">
        <f>VLOOKUP($O94,'NO USAR2'!$B$2:$R$397,13,False)</f>
        <v>2</v>
      </c>
      <c r="Y94" s="65">
        <f>VLOOKUP($O94,'NO USAR2'!$B$2:$R$397,14,False)</f>
        <v>1.5</v>
      </c>
      <c r="Z94" s="70">
        <f>VLOOKUP($O94,'NO USAR2'!$B$2:$R$397,15,False)</f>
        <v>0.3</v>
      </c>
      <c r="AA94" s="65">
        <f>100*VLOOKUP($O94,'NO USAR2'!$B$2:$R$397,7,False)</f>
        <v>41.13924051</v>
      </c>
      <c r="AB94" s="65">
        <f>100*VLOOKUP($O94,'NO USAR2'!$B$2:$R$397,9,False)</f>
        <v>82.14285714</v>
      </c>
      <c r="AC94" s="65">
        <f>VLOOKUP($O94,'NO USAR2'!$B$2:$Q$397,16,False)</f>
        <v>1</v>
      </c>
      <c r="AD94" s="65">
        <f>VLOOKUP($O94,'NO USAR1'!$A$4:$L$399,2,False)*$U$19</f>
        <v>0.3853088179</v>
      </c>
      <c r="AE94" s="65">
        <f>VLOOKUP($O94,'NO USAR1'!$A$4:$L$399,3,False)*$V$19</f>
        <v>1.386515565</v>
      </c>
      <c r="AF94" s="65">
        <f>VLOOKUP($O94,'NO USAR1'!$A$4:$L$399,4,False)*$W$19</f>
        <v>-1.295878427</v>
      </c>
      <c r="AG94" s="65">
        <f>VLOOKUP($O94,'NO USAR1'!$A$4:$L$399,5,False)*$X$19</f>
        <v>-0.9713275051</v>
      </c>
      <c r="AH94" s="65">
        <f>VLOOKUP($O94,'NO USAR1'!$A$4:$L$399,6,False)*$Y$19</f>
        <v>2.027537555</v>
      </c>
      <c r="AI94" s="65">
        <f>VLOOKUP($O94,'NO USAR1'!$A$4:$L$399,7,False)*$Z$19</f>
        <v>0</v>
      </c>
      <c r="AJ94" s="65">
        <f>VLOOKUP($O94,'NO USAR1'!$A$4:$L$399,8,False)*$AA$19</f>
        <v>0</v>
      </c>
      <c r="AK94" s="70">
        <f>VLOOKUP($O94,'NO USAR1'!$A$4:$L$399,10,False)*$AB$19</f>
        <v>0.1421138985</v>
      </c>
      <c r="AL94" s="65">
        <f>VLOOKUP($O94,'NO USAR1'!$A$4:$L$399,12,False)*$AC$19</f>
        <v>0</v>
      </c>
      <c r="AM94" s="71">
        <f t="shared" si="2"/>
        <v>-1.295878427</v>
      </c>
      <c r="AN94" s="71">
        <f t="shared" si="3"/>
        <v>-2.267205932</v>
      </c>
    </row>
    <row r="95">
      <c r="A95" t="str">
        <f>IF('NO USAR2'!B93="",ROW('NO USAR2'!B93),'NO USAR2'!B93)</f>
        <v>Klay Thompson</v>
      </c>
      <c r="B95" s="58">
        <f>IF(TYPE($A95)=1,"",('NO USAR2'!$L93-B$1)/B$2)</f>
        <v>0.6119190132</v>
      </c>
      <c r="C95" s="58">
        <f>IF(TYPE($A95)=1,"",('NO USAR2'!$K93-C$1)/C$2)</f>
        <v>1.886493347</v>
      </c>
      <c r="D95" s="58">
        <f>IF(TYPE($A95)=1,"",('NO USAR2'!$M93-D$1)/D$2)</f>
        <v>-0.8876630241</v>
      </c>
      <c r="E95" s="58">
        <f>IF(TYPE($A95)=1,"",('NO USAR2'!$N93-E$1)/E$2)</f>
        <v>-0.4118183492</v>
      </c>
      <c r="F95" s="58">
        <f>IF(TYPE($A95)=1,"",('NO USAR2'!$O93-F$1)/F$2)</f>
        <v>-1.648368827</v>
      </c>
      <c r="G95" s="58">
        <f>IF(TYPE($A95)=1,"",('NO USAR2'!$P93-G$1)/G$2)</f>
        <v>-0.4064530313</v>
      </c>
      <c r="H95" s="58">
        <f>IF(TYPE($A95)=1,"",('NO USAR2'!$H93-H$1)/H$2*I95/$I$1)</f>
        <v>-1.156524202</v>
      </c>
      <c r="I95" s="58">
        <f>IF(TYPE($A95)=1,"",IF('NO USAR2'!H93=0,0,'NO USAR2'!G93/'NO USAR2'!H93))</f>
        <v>18</v>
      </c>
      <c r="J95" s="59">
        <f>IF(TYPE($A95)=1,"",('NO USAR2'!$J93-J$1)/J$2*K95/$K$1)</f>
        <v>0.444148717</v>
      </c>
      <c r="K95" s="60">
        <f>IF(TYPE($A95)=1,"",IF('NO USAR2'!J93=0,0,'NO USAR2'!I93/'NO USAR2'!J93))</f>
        <v>1.6</v>
      </c>
      <c r="L95" s="58">
        <f>IF(TYPE($A95)=1,"",-('NO USAR2'!$Q93-L$1)/L$2)</f>
        <v>0.7955196219</v>
      </c>
      <c r="N95" s="63">
        <v>75.0</v>
      </c>
      <c r="O95" s="68" t="str">
        <f>IF('NO USAR2'!B76="",ROW('NO USAR2'!B76),'NO USAR2'!B76)</f>
        <v>Jerami Grant</v>
      </c>
      <c r="P95" s="68">
        <f>'NO USAR2'!E76</f>
        <v>70</v>
      </c>
      <c r="Q95" s="68" t="str">
        <f>IF('NO USAR2'!C76="",ROW('NO USAR2'!N91),'NO USAR2'!C76)</f>
        <v>SF/PF</v>
      </c>
      <c r="R95" s="65">
        <f>VLOOKUP($O95,'NO USAR1'!$A$4:$L$399,2,False)+VLOOKUP($O95,'NO USAR1'!$A$4:$L$399,3,False)+VLOOKUP($O95,'NO USAR1'!$A$4:$L$399,4,False)+VLOOKUP($O95,'NO USAR1'!$A$4:$L$399,5,False)+VLOOKUP($O95,'NO USAR1'!$A$4:$L$399,6,False)+VLOOKUP($O95,'NO USAR1'!$A$4:$L$399,7,False)+VLOOKUP($O95,'NO USAR1'!$A$4:$L$399,8,False)+VLOOKUP($O95,'NO USAR1'!$A$4:$L$399,10,False)+VLOOKUP($O95,'NO USAR1'!$A$4:$L$399,12,False)*0</f>
        <v>-0.8470315024</v>
      </c>
      <c r="S95" s="65">
        <f>VLOOKUP($O95,'NO USAR1'!$A$4:$L$399,2,False)*$U$19+VLOOKUP($O95,'NO USAR1'!$A$4:$L$399,3,False)*$V$19+VLOOKUP($O95,'NO USAR1'!$A$4:$L$399,4,False)*$W$19+VLOOKUP($O95,'NO USAR1'!$A$4:$L$399,5,False)*$X$19+VLOOKUP($O95,'NO USAR1'!$A$4:$L$399,6,False)*$Y$19+VLOOKUP($O95,'NO USAR1'!$A$4:$L$399,7,False)*$Z$19+VLOOKUP($O95,'NO USAR1'!$A$4:$L$399,8,False)*$AA$19+VLOOKUP($O95,'NO USAR1'!$A$4:$L$399,10,False)*$AB$19+VLOOKUP($O95,'NO USAR1'!$A$4:$L$399,12,False)*$AC$19+IF(Projections!$K$3,-AN95, IF(Projections!$J$3,-AM95,0))</f>
        <v>-1.597533309</v>
      </c>
      <c r="T95" s="65">
        <f t="shared" si="1"/>
        <v>-0.7505018069</v>
      </c>
      <c r="U95" s="65">
        <f>VLOOKUP($O95,'NO USAR2'!$B$2:$R$397,11,False)</f>
        <v>16.2</v>
      </c>
      <c r="V95" s="69">
        <f>VLOOKUP($O95,'NO USAR2'!$B$2:$R$397,10,False)</f>
        <v>1.7</v>
      </c>
      <c r="W95" s="65">
        <f>VLOOKUP($O95,'NO USAR2'!$B$2:$R$397,12,False)</f>
        <v>4.1</v>
      </c>
      <c r="X95" s="65">
        <f>VLOOKUP($O95,'NO USAR2'!$B$2:$R$397,13,False)</f>
        <v>2.1</v>
      </c>
      <c r="Y95" s="65">
        <f>VLOOKUP($O95,'NO USAR2'!$B$2:$R$397,14,False)</f>
        <v>1</v>
      </c>
      <c r="Z95" s="70">
        <f>VLOOKUP($O95,'NO USAR2'!$B$2:$R$397,15,False)</f>
        <v>1.1</v>
      </c>
      <c r="AA95" s="65">
        <f>100*VLOOKUP($O95,'NO USAR2'!$B$2:$R$397,7,False)</f>
        <v>44.96124031</v>
      </c>
      <c r="AB95" s="65">
        <f>100*VLOOKUP($O95,'NO USAR2'!$B$2:$R$397,9,False)</f>
        <v>83.33333333</v>
      </c>
      <c r="AC95" s="65">
        <f>VLOOKUP($O95,'NO USAR2'!$B$2:$Q$397,16,False)</f>
        <v>2</v>
      </c>
      <c r="AD95" s="65">
        <f>VLOOKUP($O95,'NO USAR1'!$A$4:$L$399,2,False)*$U$19</f>
        <v>-0.2005178542</v>
      </c>
      <c r="AE95" s="65">
        <f>VLOOKUP($O95,'NO USAR1'!$A$4:$L$399,3,False)*$V$19</f>
        <v>0.08657333394</v>
      </c>
      <c r="AF95" s="65">
        <f>VLOOKUP($O95,'NO USAR1'!$A$4:$L$399,4,False)*$W$19</f>
        <v>-0.8060199435</v>
      </c>
      <c r="AG95" s="65">
        <f>VLOOKUP($O95,'NO USAR1'!$A$4:$L$399,5,False)*$X$19</f>
        <v>-0.914258184</v>
      </c>
      <c r="AH95" s="65">
        <f>VLOOKUP($O95,'NO USAR1'!$A$4:$L$399,6,False)*$Y$19</f>
        <v>-0.01646173929</v>
      </c>
      <c r="AI95" s="65">
        <f>VLOOKUP($O95,'NO USAR1'!$A$4:$L$399,7,False)*$Z$19</f>
        <v>0</v>
      </c>
      <c r="AJ95" s="65">
        <f>VLOOKUP($O95,'NO USAR1'!$A$4:$L$399,8,False)*$AA$19</f>
        <v>0</v>
      </c>
      <c r="AK95" s="70">
        <f>VLOOKUP($O95,'NO USAR1'!$A$4:$L$399,10,False)*$AB$19</f>
        <v>0.2531510777</v>
      </c>
      <c r="AL95" s="65">
        <f>VLOOKUP($O95,'NO USAR1'!$A$4:$L$399,12,False)*$AC$19</f>
        <v>0</v>
      </c>
      <c r="AM95" s="71">
        <f t="shared" si="2"/>
        <v>-0.914258184</v>
      </c>
      <c r="AN95" s="71">
        <f t="shared" si="3"/>
        <v>-1.720278127</v>
      </c>
    </row>
    <row r="96">
      <c r="A96" t="str">
        <f>IF('NO USAR2'!B94="",ROW('NO USAR2'!B94),'NO USAR2'!B94)</f>
        <v>Lonzo Ball</v>
      </c>
      <c r="B96" s="58">
        <f>IF(TYPE($A96)=1,"",('NO USAR2'!$L94-B$1)/B$2)</f>
        <v>-1.18106565</v>
      </c>
      <c r="C96" s="58">
        <f>IF(TYPE($A96)=1,"",('NO USAR2'!$K94-C$1)/C$2)</f>
        <v>0.6865466715</v>
      </c>
      <c r="D96" s="58">
        <f>IF(TYPE($A96)=1,"",('NO USAR2'!$M94-D$1)/D$2)</f>
        <v>-0.6835553225</v>
      </c>
      <c r="E96" s="58">
        <f>IF(TYPE($A96)=1,"",('NO USAR2'!$N94-E$1)/E$2)</f>
        <v>0.4099798744</v>
      </c>
      <c r="F96" s="58">
        <f>IF(TYPE($A96)=1,"",('NO USAR2'!$O94-F$1)/F$2)</f>
        <v>0.96795027</v>
      </c>
      <c r="G96" s="58">
        <f>IF(TYPE($A96)=1,"",('NO USAR2'!$P94-G$1)/G$2)</f>
        <v>-0.200461529</v>
      </c>
      <c r="H96" s="58">
        <f>IF(TYPE($A96)=1,"",('NO USAR2'!$H94-H$1)/H$2*I96/$I$1)</f>
        <v>-0.8644621669</v>
      </c>
      <c r="I96" s="58">
        <f>IF(TYPE($A96)=1,"",IF('NO USAR2'!H94=0,0,'NO USAR2'!G94/'NO USAR2'!H94))</f>
        <v>9.3</v>
      </c>
      <c r="J96" s="59">
        <f>IF(TYPE($A96)=1,"",('NO USAR2'!$J94-J$1)/J$2*K96/$K$1)</f>
        <v>0.01553835961</v>
      </c>
      <c r="K96" s="60">
        <f>IF(TYPE($A96)=1,"",IF('NO USAR2'!J94=0,0,'NO USAR2'!I94/'NO USAR2'!J94))</f>
        <v>0.5</v>
      </c>
      <c r="L96" s="58">
        <f>IF(TYPE($A96)=1,"",-('NO USAR2'!$Q94-L$1)/L$2)</f>
        <v>-0.08740345939</v>
      </c>
      <c r="N96" s="63">
        <v>76.0</v>
      </c>
      <c r="O96" s="68" t="str">
        <f>IF('NO USAR2'!B94="",ROW('NO USAR2'!B94),'NO USAR2'!B94)</f>
        <v>Lonzo Ball</v>
      </c>
      <c r="P96" s="68">
        <f>'NO USAR2'!E77</f>
        <v>66</v>
      </c>
      <c r="Q96" s="68" t="str">
        <f>IF('NO USAR2'!C94="",ROW('NO USAR2'!N109),'NO USAR2'!C94)</f>
        <v>PG</v>
      </c>
      <c r="R96" s="65">
        <f>VLOOKUP($O96,'NO USAR1'!$A$4:$L$399,2,False)+VLOOKUP($O96,'NO USAR1'!$A$4:$L$399,3,False)+VLOOKUP($O96,'NO USAR1'!$A$4:$L$399,4,False)+VLOOKUP($O96,'NO USAR1'!$A$4:$L$399,5,False)+VLOOKUP($O96,'NO USAR1'!$A$4:$L$399,6,False)+VLOOKUP($O96,'NO USAR1'!$A$4:$L$399,7,False)+VLOOKUP($O96,'NO USAR1'!$A$4:$L$399,8,False)+VLOOKUP($O96,'NO USAR1'!$A$4:$L$399,10,False)+VLOOKUP($O96,'NO USAR1'!$A$4:$L$399,12,False)*0</f>
        <v>-0.8495294929</v>
      </c>
      <c r="S96" s="65">
        <f>VLOOKUP($O96,'NO USAR1'!$A$4:$L$399,2,False)*$U$19+VLOOKUP($O96,'NO USAR1'!$A$4:$L$399,3,False)*$V$19+VLOOKUP($O96,'NO USAR1'!$A$4:$L$399,4,False)*$W$19+VLOOKUP($O96,'NO USAR1'!$A$4:$L$399,5,False)*$X$19+VLOOKUP($O96,'NO USAR1'!$A$4:$L$399,6,False)*$Y$19+VLOOKUP($O96,'NO USAR1'!$A$4:$L$399,7,False)*$Z$19+VLOOKUP($O96,'NO USAR1'!$A$4:$L$399,8,False)*$AA$19+VLOOKUP($O96,'NO USAR1'!$A$4:$L$399,10,False)*$AB$19+VLOOKUP($O96,'NO USAR1'!$A$4:$L$399,12,False)*$AC$19+IF(Projections!$K$3,-AN96, IF(Projections!$J$3,-AM96,0))</f>
        <v>-0.03842526558</v>
      </c>
      <c r="T96" s="65">
        <f t="shared" si="1"/>
        <v>0.8111042273</v>
      </c>
      <c r="U96" s="65">
        <f>VLOOKUP($O96,'NO USAR2'!$B$2:$R$397,11,False)</f>
        <v>10.3</v>
      </c>
      <c r="V96" s="69">
        <f>VLOOKUP($O96,'NO USAR2'!$B$2:$R$397,10,False)</f>
        <v>2.3</v>
      </c>
      <c r="W96" s="65">
        <f>VLOOKUP($O96,'NO USAR2'!$B$2:$R$397,12,False)</f>
        <v>4.4</v>
      </c>
      <c r="X96" s="65">
        <f>VLOOKUP($O96,'NO USAR2'!$B$2:$R$397,13,False)</f>
        <v>4.6</v>
      </c>
      <c r="Y96" s="65">
        <f>VLOOKUP($O96,'NO USAR2'!$B$2:$R$397,14,False)</f>
        <v>1.3</v>
      </c>
      <c r="Z96" s="70">
        <f>VLOOKUP($O96,'NO USAR2'!$B$2:$R$397,15,False)</f>
        <v>0.6</v>
      </c>
      <c r="AA96" s="65">
        <f>100*VLOOKUP($O96,'NO USAR2'!$B$2:$R$397,7,False)</f>
        <v>40.86021505</v>
      </c>
      <c r="AB96" s="65">
        <f>100*VLOOKUP($O96,'NO USAR2'!$B$2:$R$397,9,False)</f>
        <v>80</v>
      </c>
      <c r="AC96" s="65">
        <f>VLOOKUP($O96,'NO USAR2'!$B$2:$Q$397,16,False)</f>
        <v>2.1</v>
      </c>
      <c r="AD96" s="65">
        <f>VLOOKUP($O96,'NO USAR1'!$A$4:$L$399,2,False)*$U$19</f>
        <v>-1.771598475</v>
      </c>
      <c r="AE96" s="65">
        <f>VLOOKUP($O96,'NO USAR1'!$A$4:$L$399,3,False)*$V$19</f>
        <v>0.6865466715</v>
      </c>
      <c r="AF96" s="65">
        <f>VLOOKUP($O96,'NO USAR1'!$A$4:$L$399,4,False)*$W$19</f>
        <v>-0.6835553225</v>
      </c>
      <c r="AG96" s="65">
        <f>VLOOKUP($O96,'NO USAR1'!$A$4:$L$399,5,False)*$X$19</f>
        <v>0.512474843</v>
      </c>
      <c r="AH96" s="65">
        <f>VLOOKUP($O96,'NO USAR1'!$A$4:$L$399,6,False)*$Y$19</f>
        <v>1.209937838</v>
      </c>
      <c r="AI96" s="65">
        <f>VLOOKUP($O96,'NO USAR1'!$A$4:$L$399,7,False)*$Z$19</f>
        <v>0</v>
      </c>
      <c r="AJ96" s="65">
        <f>VLOOKUP($O96,'NO USAR1'!$A$4:$L$399,8,False)*$AA$19</f>
        <v>0</v>
      </c>
      <c r="AK96" s="70">
        <f>VLOOKUP($O96,'NO USAR1'!$A$4:$L$399,10,False)*$AB$19</f>
        <v>0.007769179803</v>
      </c>
      <c r="AL96" s="65">
        <f>VLOOKUP($O96,'NO USAR1'!$A$4:$L$399,12,False)*$AC$19</f>
        <v>0</v>
      </c>
      <c r="AM96" s="71">
        <f t="shared" si="2"/>
        <v>-1.771598475</v>
      </c>
      <c r="AN96" s="71">
        <f t="shared" si="3"/>
        <v>-2.455153797</v>
      </c>
    </row>
    <row r="97">
      <c r="A97" t="str">
        <f>IF('NO USAR2'!B95="",ROW('NO USAR2'!B95),'NO USAR2'!B95)</f>
        <v>Isaiah Hartenstein</v>
      </c>
      <c r="B97" s="58">
        <f>IF(TYPE($A97)=1,"",('NO USAR2'!$L95-B$1)/B$2)</f>
        <v>-1.23432262</v>
      </c>
      <c r="C97" s="58">
        <f>IF(TYPE($A97)=1,"",('NO USAR2'!$K95-C$1)/C$2)</f>
        <v>-1.41336001</v>
      </c>
      <c r="D97" s="58">
        <f>IF(TYPE($A97)=1,"",('NO USAR2'!$M95-D$1)/D$2)</f>
        <v>-0.07123221798</v>
      </c>
      <c r="E97" s="58">
        <f>IF(TYPE($A97)=1,"",('NO USAR2'!$N95-E$1)/E$2)</f>
        <v>-0.5031292629</v>
      </c>
      <c r="F97" s="58">
        <f>IF(TYPE($A97)=1,"",('NO USAR2'!$O95-F$1)/F$2)</f>
        <v>-0.6672491657</v>
      </c>
      <c r="G97" s="58">
        <f>IF(TYPE($A97)=1,"",('NO USAR2'!$P95-G$1)/G$2)</f>
        <v>1.035487484</v>
      </c>
      <c r="H97" s="58">
        <f>IF(TYPE($A97)=1,"",('NO USAR2'!$H95-H$1)/H$2*I97/$I$1)</f>
        <v>0.9582979314</v>
      </c>
      <c r="I97" s="58">
        <f>IF(TYPE($A97)=1,"",IF('NO USAR2'!H95=0,0,'NO USAR2'!G95/'NO USAR2'!H95))</f>
        <v>6.7</v>
      </c>
      <c r="J97" s="59">
        <f>IF(TYPE($A97)=1,"",('NO USAR2'!$J95-J$1)/J$2*K97/$K$1)</f>
        <v>-0.7173754784</v>
      </c>
      <c r="K97" s="60">
        <f>IF(TYPE($A97)=1,"",IF('NO USAR2'!J95=0,0,'NO USAR2'!I95/'NO USAR2'!J95))</f>
        <v>2.3</v>
      </c>
      <c r="L97" s="58">
        <f>IF(TYPE($A97)=1,"",-('NO USAR2'!$Q95-L$1)/L$2)</f>
        <v>0.6851542367</v>
      </c>
      <c r="N97" s="2">
        <v>77.0</v>
      </c>
      <c r="O97" s="68" t="str">
        <f>IF('NO USAR2'!B105="",ROW('NO USAR2'!B105),'NO USAR2'!B105)</f>
        <v>Kevin Porter Jr.</v>
      </c>
      <c r="P97" s="68">
        <f>'NO USAR2'!E78</f>
        <v>65</v>
      </c>
      <c r="Q97" s="68" t="str">
        <f>IF('NO USAR2'!C105="",ROW('NO USAR2'!N120),'NO USAR2'!C105)</f>
        <v>PG/SF</v>
      </c>
      <c r="R97" s="65">
        <f>VLOOKUP($O97,'NO USAR1'!$A$4:$L$399,2,False)+VLOOKUP($O97,'NO USAR1'!$A$4:$L$399,3,False)+VLOOKUP($O97,'NO USAR1'!$A$4:$L$399,4,False)+VLOOKUP($O97,'NO USAR1'!$A$4:$L$399,5,False)+VLOOKUP($O97,'NO USAR1'!$A$4:$L$399,6,False)+VLOOKUP($O97,'NO USAR1'!$A$4:$L$399,7,False)+VLOOKUP($O97,'NO USAR1'!$A$4:$L$399,8,False)+VLOOKUP($O97,'NO USAR1'!$A$4:$L$399,10,False)+VLOOKUP($O97,'NO USAR1'!$A$4:$L$399,12,False)*0</f>
        <v>-0.8833700767</v>
      </c>
      <c r="S97" s="65">
        <f>VLOOKUP($O97,'NO USAR1'!$A$4:$L$399,2,False)*$U$19+VLOOKUP($O97,'NO USAR1'!$A$4:$L$399,3,False)*$V$19+VLOOKUP($O97,'NO USAR1'!$A$4:$L$399,4,False)*$W$19+VLOOKUP($O97,'NO USAR1'!$A$4:$L$399,5,False)*$X$19+VLOOKUP($O97,'NO USAR1'!$A$4:$L$399,6,False)*$Y$19+VLOOKUP($O97,'NO USAR1'!$A$4:$L$399,7,False)*$Z$19+VLOOKUP($O97,'NO USAR1'!$A$4:$L$399,8,False)*$AA$19+VLOOKUP($O97,'NO USAR1'!$A$4:$L$399,10,False)*$AB$19+VLOOKUP($O97,'NO USAR1'!$A$4:$L$399,12,False)*$AC$19+IF(Projections!$K$3,-AN97, IF(Projections!$J$3,-AM97,0))</f>
        <v>1.697178988</v>
      </c>
      <c r="T97" s="65">
        <f t="shared" si="1"/>
        <v>2.580549065</v>
      </c>
      <c r="U97" s="65">
        <f>VLOOKUP($O97,'NO USAR2'!$B$2:$R$397,11,False)</f>
        <v>16.9</v>
      </c>
      <c r="V97" s="69">
        <f>VLOOKUP($O97,'NO USAR2'!$B$2:$R$397,10,False)</f>
        <v>2.6</v>
      </c>
      <c r="W97" s="65">
        <f>VLOOKUP($O97,'NO USAR2'!$B$2:$R$397,12,False)</f>
        <v>4.5</v>
      </c>
      <c r="X97" s="65">
        <f>VLOOKUP($O97,'NO USAR2'!$B$2:$R$397,13,False)</f>
        <v>6.3</v>
      </c>
      <c r="Y97" s="65">
        <f>VLOOKUP($O97,'NO USAR2'!$B$2:$R$397,14,False)</f>
        <v>1.1</v>
      </c>
      <c r="Z97" s="70">
        <f>VLOOKUP($O97,'NO USAR2'!$B$2:$R$397,15,False)</f>
        <v>0.4</v>
      </c>
      <c r="AA97" s="65">
        <f>100*VLOOKUP($O97,'NO USAR2'!$B$2:$R$397,7,False)</f>
        <v>42.25352113</v>
      </c>
      <c r="AB97" s="65">
        <f>100*VLOOKUP($O97,'NO USAR2'!$B$2:$R$397,9,False)</f>
        <v>69.6969697</v>
      </c>
      <c r="AC97" s="65">
        <f>VLOOKUP($O97,'NO USAR2'!$B$2:$Q$397,16,False)</f>
        <v>3.2</v>
      </c>
      <c r="AD97" s="65">
        <f>VLOOKUP($O97,'NO USAR1'!$A$4:$L$399,2,False)*$U$19</f>
        <v>-0.01411845854</v>
      </c>
      <c r="AE97" s="65">
        <f>VLOOKUP($O97,'NO USAR1'!$A$4:$L$399,3,False)*$V$19</f>
        <v>0.9865333402</v>
      </c>
      <c r="AF97" s="65">
        <f>VLOOKUP($O97,'NO USAR1'!$A$4:$L$399,4,False)*$W$19</f>
        <v>-0.6427337822</v>
      </c>
      <c r="AG97" s="65">
        <f>VLOOKUP($O97,'NO USAR1'!$A$4:$L$399,5,False)*$X$19</f>
        <v>1.482653301</v>
      </c>
      <c r="AH97" s="65">
        <f>VLOOKUP($O97,'NO USAR1'!$A$4:$L$399,6,False)*$Y$19</f>
        <v>0.3923381197</v>
      </c>
      <c r="AI97" s="65">
        <f>VLOOKUP($O97,'NO USAR1'!$A$4:$L$399,7,False)*$Z$19</f>
        <v>0</v>
      </c>
      <c r="AJ97" s="65">
        <f>VLOOKUP($O97,'NO USAR1'!$A$4:$L$399,8,False)*$AA$19</f>
        <v>0</v>
      </c>
      <c r="AK97" s="70">
        <f>VLOOKUP($O97,'NO USAR1'!$A$4:$L$399,10,False)*$AB$19</f>
        <v>-0.5074935322</v>
      </c>
      <c r="AL97" s="65">
        <f>VLOOKUP($O97,'NO USAR1'!$A$4:$L$399,12,False)*$AC$19</f>
        <v>0</v>
      </c>
      <c r="AM97" s="71">
        <f t="shared" si="2"/>
        <v>-0.6427337822</v>
      </c>
      <c r="AN97" s="71">
        <f t="shared" si="3"/>
        <v>-1.150227314</v>
      </c>
    </row>
    <row r="98">
      <c r="A98" t="str">
        <f>IF('NO USAR2'!B96="",ROW('NO USAR2'!B96),'NO USAR2'!B96)</f>
        <v>Paolo Banchero</v>
      </c>
      <c r="B98" s="58">
        <f>IF(TYPE($A98)=1,"",('NO USAR2'!$L96-B$1)/B$2)</f>
        <v>0.1681109283</v>
      </c>
      <c r="C98" s="58">
        <f>IF(TYPE($A98)=1,"",('NO USAR2'!$K96-C$1)/C$2)</f>
        <v>-0.5134000036</v>
      </c>
      <c r="D98" s="58">
        <f>IF(TYPE($A98)=1,"",('NO USAR2'!$M96-D$1)/D$2)</f>
        <v>0.6635555075</v>
      </c>
      <c r="E98" s="58">
        <f>IF(TYPE($A98)=1,"",('NO USAR2'!$N96-E$1)/E$2)</f>
        <v>-0.2291965217</v>
      </c>
      <c r="F98" s="58">
        <f>IF(TYPE($A98)=1,"",('NO USAR2'!$O96-F$1)/F$2)</f>
        <v>-0.6672491657</v>
      </c>
      <c r="G98" s="58">
        <f>IF(TYPE($A98)=1,"",('NO USAR2'!$P96-G$1)/G$2)</f>
        <v>0.4175129777</v>
      </c>
      <c r="H98" s="58">
        <f>IF(TYPE($A98)=1,"",('NO USAR2'!$H96-H$1)/H$2*I98/$I$1)</f>
        <v>-0.3372783729</v>
      </c>
      <c r="I98" s="58">
        <f>IF(TYPE($A98)=1,"",IF('NO USAR2'!H96=0,0,'NO USAR2'!G96/'NO USAR2'!H96))</f>
        <v>14.1</v>
      </c>
      <c r="J98" s="59">
        <f>IF(TYPE($A98)=1,"",('NO USAR2'!$J96-J$1)/J$2*K98/$K$1)</f>
        <v>-0.9683719856</v>
      </c>
      <c r="K98" s="60">
        <f>IF(TYPE($A98)=1,"",IF('NO USAR2'!J96=0,0,'NO USAR2'!I96/'NO USAR2'!J96))</f>
        <v>4.8</v>
      </c>
      <c r="L98" s="58">
        <f>IF(TYPE($A98)=1,"",-('NO USAR2'!$Q96-L$1)/L$2)</f>
        <v>-0.4184996149</v>
      </c>
      <c r="N98" s="63">
        <v>78.0</v>
      </c>
      <c r="O98" s="68" t="str">
        <f>IF('NO USAR2'!B78="",ROW('NO USAR2'!B78),'NO USAR2'!B78)</f>
        <v>Lauri Markkanen</v>
      </c>
      <c r="P98" s="68">
        <f>'NO USAR2'!E79</f>
        <v>72</v>
      </c>
      <c r="Q98" s="68" t="str">
        <f>IF('NO USAR2'!C78="",ROW('NO USAR2'!N93),'NO USAR2'!C78)</f>
        <v>SF/PF</v>
      </c>
      <c r="R98" s="65">
        <f>VLOOKUP($O98,'NO USAR1'!$A$4:$L$399,2,False)+VLOOKUP($O98,'NO USAR1'!$A$4:$L$399,3,False)+VLOOKUP($O98,'NO USAR1'!$A$4:$L$399,4,False)+VLOOKUP($O98,'NO USAR1'!$A$4:$L$399,5,False)+VLOOKUP($O98,'NO USAR1'!$A$4:$L$399,6,False)+VLOOKUP($O98,'NO USAR1'!$A$4:$L$399,7,False)+VLOOKUP($O98,'NO USAR1'!$A$4:$L$399,8,False)+VLOOKUP($O98,'NO USAR1'!$A$4:$L$399,10,False)+VLOOKUP($O98,'NO USAR1'!$A$4:$L$399,12,False)*0</f>
        <v>-0.9280778528</v>
      </c>
      <c r="S98" s="65">
        <f>VLOOKUP($O98,'NO USAR1'!$A$4:$L$399,2,False)*$U$19+VLOOKUP($O98,'NO USAR1'!$A$4:$L$399,3,False)*$V$19+VLOOKUP($O98,'NO USAR1'!$A$4:$L$399,4,False)*$W$19+VLOOKUP($O98,'NO USAR1'!$A$4:$L$399,5,False)*$X$19+VLOOKUP($O98,'NO USAR1'!$A$4:$L$399,6,False)*$Y$19+VLOOKUP($O98,'NO USAR1'!$A$4:$L$399,7,False)*$Z$19+VLOOKUP($O98,'NO USAR1'!$A$4:$L$399,8,False)*$AA$19+VLOOKUP($O98,'NO USAR1'!$A$4:$L$399,10,False)*$AB$19+VLOOKUP($O98,'NO USAR1'!$A$4:$L$399,12,False)*$AC$19+IF(Projections!$K$3,-AN98, IF(Projections!$J$3,-AM98,0))</f>
        <v>-0.5315321603</v>
      </c>
      <c r="T98" s="65">
        <f t="shared" si="1"/>
        <v>0.3965456925</v>
      </c>
      <c r="U98" s="65">
        <f>VLOOKUP($O98,'NO USAR2'!$B$2:$R$397,11,False)</f>
        <v>17.7</v>
      </c>
      <c r="V98" s="69">
        <f>VLOOKUP($O98,'NO USAR2'!$B$2:$R$397,10,False)</f>
        <v>2.5</v>
      </c>
      <c r="W98" s="65">
        <f>VLOOKUP($O98,'NO USAR2'!$B$2:$R$397,12,False)</f>
        <v>6.4</v>
      </c>
      <c r="X98" s="65">
        <f>VLOOKUP($O98,'NO USAR2'!$B$2:$R$397,13,False)</f>
        <v>1.5</v>
      </c>
      <c r="Y98" s="65">
        <f>VLOOKUP($O98,'NO USAR2'!$B$2:$R$397,14,False)</f>
        <v>0.8</v>
      </c>
      <c r="Z98" s="70">
        <f>VLOOKUP($O98,'NO USAR2'!$B$2:$R$397,15,False)</f>
        <v>0.5</v>
      </c>
      <c r="AA98" s="65">
        <f>100*VLOOKUP($O98,'NO USAR2'!$B$2:$R$397,7,False)</f>
        <v>44.75524476</v>
      </c>
      <c r="AB98" s="65">
        <f>100*VLOOKUP($O98,'NO USAR2'!$B$2:$R$397,9,False)</f>
        <v>86.20689655</v>
      </c>
      <c r="AC98" s="65">
        <f>VLOOKUP($O98,'NO USAR2'!$B$2:$Q$397,16,False)</f>
        <v>1.2</v>
      </c>
      <c r="AD98" s="65">
        <f>VLOOKUP($O98,'NO USAR1'!$A$4:$L$399,2,False)*$U$19</f>
        <v>0.1989094222</v>
      </c>
      <c r="AE98" s="65">
        <f>VLOOKUP($O98,'NO USAR1'!$A$4:$L$399,3,False)*$V$19</f>
        <v>0.886537784</v>
      </c>
      <c r="AF98" s="65">
        <f>VLOOKUP($O98,'NO USAR1'!$A$4:$L$399,4,False)*$W$19</f>
        <v>0.1328754835</v>
      </c>
      <c r="AG98" s="65">
        <f>VLOOKUP($O98,'NO USAR1'!$A$4:$L$399,5,False)*$X$19</f>
        <v>-1.25667411</v>
      </c>
      <c r="AH98" s="65">
        <f>VLOOKUP($O98,'NO USAR1'!$A$4:$L$399,6,False)*$Y$19</f>
        <v>-0.8340614572</v>
      </c>
      <c r="AI98" s="65">
        <f>VLOOKUP($O98,'NO USAR1'!$A$4:$L$399,7,False)*$Z$19</f>
        <v>0</v>
      </c>
      <c r="AJ98" s="65">
        <f>VLOOKUP($O98,'NO USAR1'!$A$4:$L$399,8,False)*$AA$19</f>
        <v>0</v>
      </c>
      <c r="AK98" s="70">
        <f>VLOOKUP($O98,'NO USAR1'!$A$4:$L$399,10,False)*$AB$19</f>
        <v>0.3408807176</v>
      </c>
      <c r="AL98" s="65">
        <f>VLOOKUP($O98,'NO USAR1'!$A$4:$L$399,12,False)*$AC$19</f>
        <v>0</v>
      </c>
      <c r="AM98" s="71">
        <f t="shared" si="2"/>
        <v>-1.25667411</v>
      </c>
      <c r="AN98" s="71">
        <f t="shared" si="3"/>
        <v>-2.090735568</v>
      </c>
    </row>
    <row r="99">
      <c r="A99" t="str">
        <f>IF('NO USAR2'!B97="",ROW('NO USAR2'!B97),'NO USAR2'!B97)</f>
        <v>Monte Morris</v>
      </c>
      <c r="B99" s="58">
        <f>IF(TYPE($A99)=1,"",('NO USAR2'!$L97-B$1)/B$2)</f>
        <v>-0.7727622118</v>
      </c>
      <c r="C99" s="58">
        <f>IF(TYPE($A99)=1,"",('NO USAR2'!$K97-C$1)/C$2)</f>
        <v>0.1865688902</v>
      </c>
      <c r="D99" s="58">
        <f>IF(TYPE($A99)=1,"",('NO USAR2'!$M97-D$1)/D$2)</f>
        <v>-1.255056887</v>
      </c>
      <c r="E99" s="58">
        <f>IF(TYPE($A99)=1,"",('NO USAR2'!$N97-E$1)/E$2)</f>
        <v>1.140467184</v>
      </c>
      <c r="F99" s="58">
        <f>IF(TYPE($A99)=1,"",('NO USAR2'!$O97-F$1)/F$2)</f>
        <v>-0.6672491657</v>
      </c>
      <c r="G99" s="58">
        <f>IF(TYPE($A99)=1,"",('NO USAR2'!$P97-G$1)/G$2)</f>
        <v>-1.024427538</v>
      </c>
      <c r="H99" s="58">
        <f>IF(TYPE($A99)=1,"",('NO USAR2'!$H97-H$1)/H$2*I99/$I$1)</f>
        <v>-0.1009271738</v>
      </c>
      <c r="I99" s="58">
        <f>IF(TYPE($A99)=1,"",IF('NO USAR2'!H97=0,0,'NO USAR2'!G97/'NO USAR2'!H97))</f>
        <v>10</v>
      </c>
      <c r="J99" s="59">
        <f>IF(TYPE($A99)=1,"",('NO USAR2'!$J97-J$1)/J$2*K99/$K$1)</f>
        <v>0.3064580511</v>
      </c>
      <c r="K99" s="60">
        <f>IF(TYPE($A99)=1,"",IF('NO USAR2'!J97=0,0,'NO USAR2'!I97/'NO USAR2'!J97))</f>
        <v>1.4</v>
      </c>
      <c r="L99" s="58">
        <f>IF(TYPE($A99)=1,"",-('NO USAR2'!$Q97-L$1)/L$2)</f>
        <v>1.126615777</v>
      </c>
      <c r="N99" s="63">
        <v>79.0</v>
      </c>
      <c r="O99" s="68" t="str">
        <f>IF('NO USAR2'!B87="",ROW('NO USAR2'!B87),'NO USAR2'!B87)</f>
        <v>Keldon Johnson</v>
      </c>
      <c r="P99" s="68">
        <f>'NO USAR2'!E80</f>
        <v>67</v>
      </c>
      <c r="Q99" s="68" t="str">
        <f>IF('NO USAR2'!C87="",ROW('NO USAR2'!N102),'NO USAR2'!C87)</f>
        <v>SF/PF</v>
      </c>
      <c r="R99" s="65">
        <f>VLOOKUP($O99,'NO USAR1'!$A$4:$L$399,2,False)+VLOOKUP($O99,'NO USAR1'!$A$4:$L$399,3,False)+VLOOKUP($O99,'NO USAR1'!$A$4:$L$399,4,False)+VLOOKUP($O99,'NO USAR1'!$A$4:$L$399,5,False)+VLOOKUP($O99,'NO USAR1'!$A$4:$L$399,6,False)+VLOOKUP($O99,'NO USAR1'!$A$4:$L$399,7,False)+VLOOKUP($O99,'NO USAR1'!$A$4:$L$399,8,False)+VLOOKUP($O99,'NO USAR1'!$A$4:$L$399,10,False)+VLOOKUP($O99,'NO USAR1'!$A$4:$L$399,12,False)*0</f>
        <v>-0.98748912</v>
      </c>
      <c r="S99" s="65">
        <f>VLOOKUP($O99,'NO USAR1'!$A$4:$L$399,2,False)*$U$19+VLOOKUP($O99,'NO USAR1'!$A$4:$L$399,3,False)*$V$19+VLOOKUP($O99,'NO USAR1'!$A$4:$L$399,4,False)*$W$19+VLOOKUP($O99,'NO USAR1'!$A$4:$L$399,5,False)*$X$19+VLOOKUP($O99,'NO USAR1'!$A$4:$L$399,6,False)*$Y$19+VLOOKUP($O99,'NO USAR1'!$A$4:$L$399,7,False)*$Z$19+VLOOKUP($O99,'NO USAR1'!$A$4:$L$399,8,False)*$AA$19+VLOOKUP($O99,'NO USAR1'!$A$4:$L$399,10,False)*$AB$19+VLOOKUP($O99,'NO USAR1'!$A$4:$L$399,12,False)*$AC$19+IF(Projections!$K$3,-AN99, IF(Projections!$J$3,-AM99,0))</f>
        <v>0.5395057948</v>
      </c>
      <c r="T99" s="65">
        <f t="shared" si="1"/>
        <v>1.526994915</v>
      </c>
      <c r="U99" s="65">
        <f>VLOOKUP($O99,'NO USAR2'!$B$2:$R$397,11,False)</f>
        <v>20.1</v>
      </c>
      <c r="V99" s="69">
        <f>VLOOKUP($O99,'NO USAR2'!$B$2:$R$397,10,False)</f>
        <v>2.4</v>
      </c>
      <c r="W99" s="65">
        <f>VLOOKUP($O99,'NO USAR2'!$B$2:$R$397,12,False)</f>
        <v>6.5</v>
      </c>
      <c r="X99" s="65">
        <f>VLOOKUP($O99,'NO USAR2'!$B$2:$R$397,13,False)</f>
        <v>2.3</v>
      </c>
      <c r="Y99" s="65">
        <f>VLOOKUP($O99,'NO USAR2'!$B$2:$R$397,14,False)</f>
        <v>0.9</v>
      </c>
      <c r="Z99" s="70">
        <f>VLOOKUP($O99,'NO USAR2'!$B$2:$R$397,15,False)</f>
        <v>0.2</v>
      </c>
      <c r="AA99" s="65">
        <f>100*VLOOKUP($O99,'NO USAR2'!$B$2:$R$397,7,False)</f>
        <v>46.4516129</v>
      </c>
      <c r="AB99" s="65">
        <f>100*VLOOKUP($O99,'NO USAR2'!$B$2:$R$397,9,False)</f>
        <v>78.57142857</v>
      </c>
      <c r="AC99" s="65">
        <f>VLOOKUP($O99,'NO USAR2'!$B$2:$Q$397,16,False)</f>
        <v>1.6</v>
      </c>
      <c r="AD99" s="65">
        <f>VLOOKUP($O99,'NO USAR1'!$A$4:$L$399,2,False)*$U$19</f>
        <v>0.8379930645</v>
      </c>
      <c r="AE99" s="65">
        <f>VLOOKUP($O99,'NO USAR1'!$A$4:$L$399,3,False)*$V$19</f>
        <v>0.7865422277</v>
      </c>
      <c r="AF99" s="65">
        <f>VLOOKUP($O99,'NO USAR1'!$A$4:$L$399,4,False)*$W$19</f>
        <v>0.1736970238</v>
      </c>
      <c r="AG99" s="65">
        <f>VLOOKUP($O99,'NO USAR1'!$A$4:$L$399,5,False)*$X$19</f>
        <v>-0.8001195418</v>
      </c>
      <c r="AH99" s="65">
        <f>VLOOKUP($O99,'NO USAR1'!$A$4:$L$399,6,False)*$Y$19</f>
        <v>-0.4252615982</v>
      </c>
      <c r="AI99" s="65">
        <f>VLOOKUP($O99,'NO USAR1'!$A$4:$L$399,7,False)*$Z$19</f>
        <v>0</v>
      </c>
      <c r="AJ99" s="65">
        <f>VLOOKUP($O99,'NO USAR1'!$A$4:$L$399,8,False)*$AA$19</f>
        <v>0</v>
      </c>
      <c r="AK99" s="70">
        <f>VLOOKUP($O99,'NO USAR1'!$A$4:$L$399,10,False)*$AB$19</f>
        <v>-0.03334538123</v>
      </c>
      <c r="AL99" s="65">
        <f>VLOOKUP($O99,'NO USAR1'!$A$4:$L$399,12,False)*$AC$19</f>
        <v>0</v>
      </c>
      <c r="AM99" s="71">
        <f t="shared" si="2"/>
        <v>-0.8001195418</v>
      </c>
      <c r="AN99" s="71">
        <f t="shared" si="3"/>
        <v>-1.22538114</v>
      </c>
    </row>
    <row r="100">
      <c r="A100" t="str">
        <f>IF('NO USAR2'!B98="",ROW('NO USAR2'!B98),'NO USAR2'!B98)</f>
        <v>Josh Giddey</v>
      </c>
      <c r="B100" s="58">
        <f>IF(TYPE($A100)=1,"",('NO USAR2'!$L98-B$1)/B$2)</f>
        <v>-0.4354680672</v>
      </c>
      <c r="C100" s="58">
        <f>IF(TYPE($A100)=1,"",('NO USAR2'!$K98-C$1)/C$2)</f>
        <v>-0.4134044473</v>
      </c>
      <c r="D100" s="58">
        <f>IF(TYPE($A100)=1,"",('NO USAR2'!$M98-D$1)/D$2)</f>
        <v>0.867663209</v>
      </c>
      <c r="E100" s="58">
        <f>IF(TYPE($A100)=1,"",('NO USAR2'!$N98-E$1)/E$2)</f>
        <v>1.368744469</v>
      </c>
      <c r="F100" s="58">
        <f>IF(TYPE($A100)=1,"",('NO USAR2'!$O98-F$1)/F$2)</f>
        <v>-0.01316939143</v>
      </c>
      <c r="G100" s="58">
        <f>IF(TYPE($A100)=1,"",('NO USAR2'!$P98-G$1)/G$2)</f>
        <v>-0.6124445335</v>
      </c>
      <c r="H100" s="58">
        <f>IF(TYPE($A100)=1,"",('NO USAR2'!$H98-H$1)/H$2*I100/$I$1)</f>
        <v>-1.033603579</v>
      </c>
      <c r="I100" s="58">
        <f>IF(TYPE($A100)=1,"",IF('NO USAR2'!H98=0,0,'NO USAR2'!G98/'NO USAR2'!H98))</f>
        <v>14.1</v>
      </c>
      <c r="J100" s="59">
        <f>IF(TYPE($A100)=1,"",('NO USAR2'!$J98-J$1)/J$2*K100/$K$1)</f>
        <v>-0.4042255328</v>
      </c>
      <c r="K100" s="60">
        <f>IF(TYPE($A100)=1,"",IF('NO USAR2'!J98=0,0,'NO USAR2'!I98/'NO USAR2'!J98))</f>
        <v>1.8</v>
      </c>
      <c r="L100" s="58">
        <f>IF(TYPE($A100)=1,"",-('NO USAR2'!$Q98-L$1)/L$2)</f>
        <v>-1.522153466</v>
      </c>
      <c r="N100" s="2">
        <v>80.0</v>
      </c>
      <c r="O100" s="68" t="str">
        <f>IF('NO USAR2'!B71="",ROW('NO USAR2'!B71),'NO USAR2'!B71)</f>
        <v>Tobias Harris</v>
      </c>
      <c r="P100" s="68">
        <f>'NO USAR2'!E81</f>
        <v>70</v>
      </c>
      <c r="Q100" s="68" t="str">
        <f>IF('NO USAR2'!C71="",ROW('NO USAR2'!N86),'NO USAR2'!C71)</f>
        <v>SF/PF</v>
      </c>
      <c r="R100" s="65">
        <f>VLOOKUP($O100,'NO USAR1'!$A$4:$L$399,2,False)+VLOOKUP($O100,'NO USAR1'!$A$4:$L$399,3,False)+VLOOKUP($O100,'NO USAR1'!$A$4:$L$399,4,False)+VLOOKUP($O100,'NO USAR1'!$A$4:$L$399,5,False)+VLOOKUP($O100,'NO USAR1'!$A$4:$L$399,6,False)+VLOOKUP($O100,'NO USAR1'!$A$4:$L$399,7,False)+VLOOKUP($O100,'NO USAR1'!$A$4:$L$399,8,False)+VLOOKUP($O100,'NO USAR1'!$A$4:$L$399,10,False)+VLOOKUP($O100,'NO USAR1'!$A$4:$L$399,12,False)*0</f>
        <v>-1.138651351</v>
      </c>
      <c r="S100" s="65">
        <f>VLOOKUP($O100,'NO USAR1'!$A$4:$L$399,2,False)*$U$19+VLOOKUP($O100,'NO USAR1'!$A$4:$L$399,3,False)*$V$19+VLOOKUP($O100,'NO USAR1'!$A$4:$L$399,4,False)*$W$19+VLOOKUP($O100,'NO USAR1'!$A$4:$L$399,5,False)*$X$19+VLOOKUP($O100,'NO USAR1'!$A$4:$L$399,6,False)*$Y$19+VLOOKUP($O100,'NO USAR1'!$A$4:$L$399,7,False)*$Z$19+VLOOKUP($O100,'NO USAR1'!$A$4:$L$399,8,False)*$AA$19+VLOOKUP($O100,'NO USAR1'!$A$4:$L$399,10,False)*$AB$19+VLOOKUP($O100,'NO USAR1'!$A$4:$L$399,12,False)*$AC$19+IF(Projections!$K$3,-AN100, IF(Projections!$J$3,-AM100,0))</f>
        <v>-1.591624515</v>
      </c>
      <c r="T100" s="65">
        <f t="shared" si="1"/>
        <v>-0.4529731639</v>
      </c>
      <c r="U100" s="65">
        <f>VLOOKUP($O100,'NO USAR2'!$B$2:$R$397,11,False)</f>
        <v>16.8</v>
      </c>
      <c r="V100" s="69">
        <f>VLOOKUP($O100,'NO USAR2'!$B$2:$R$397,10,False)</f>
        <v>1.4</v>
      </c>
      <c r="W100" s="65">
        <f>VLOOKUP($O100,'NO USAR2'!$B$2:$R$397,12,False)</f>
        <v>6.6</v>
      </c>
      <c r="X100" s="65">
        <f>VLOOKUP($O100,'NO USAR2'!$B$2:$R$397,13,False)</f>
        <v>3.4</v>
      </c>
      <c r="Y100" s="65">
        <f>VLOOKUP($O100,'NO USAR2'!$B$2:$R$397,14,False)</f>
        <v>0.6</v>
      </c>
      <c r="Z100" s="70">
        <f>VLOOKUP($O100,'NO USAR2'!$B$2:$R$397,15,False)</f>
        <v>0.6</v>
      </c>
      <c r="AA100" s="65">
        <f>100*VLOOKUP($O100,'NO USAR2'!$B$2:$R$397,7,False)</f>
        <v>48.88888889</v>
      </c>
      <c r="AB100" s="65">
        <f>100*VLOOKUP($O100,'NO USAR2'!$B$2:$R$397,9,False)</f>
        <v>85.18518519</v>
      </c>
      <c r="AC100" s="65">
        <f>VLOOKUP($O100,'NO USAR2'!$B$2:$Q$397,16,False)</f>
        <v>1.5</v>
      </c>
      <c r="AD100" s="65">
        <f>VLOOKUP($O100,'NO USAR1'!$A$4:$L$399,2,False)*$U$19</f>
        <v>-0.04074694364</v>
      </c>
      <c r="AE100" s="65">
        <f>VLOOKUP($O100,'NO USAR1'!$A$4:$L$399,3,False)*$V$19</f>
        <v>-0.2134133348</v>
      </c>
      <c r="AF100" s="65">
        <f>VLOOKUP($O100,'NO USAR1'!$A$4:$L$399,4,False)*$W$19</f>
        <v>0.2145185641</v>
      </c>
      <c r="AG100" s="65">
        <f>VLOOKUP($O100,'NO USAR1'!$A$4:$L$399,5,False)*$X$19</f>
        <v>-0.17235701</v>
      </c>
      <c r="AH100" s="65">
        <f>VLOOKUP($O100,'NO USAR1'!$A$4:$L$399,6,False)*$Y$19</f>
        <v>-1.651661175</v>
      </c>
      <c r="AI100" s="65">
        <f>VLOOKUP($O100,'NO USAR1'!$A$4:$L$399,7,False)*$Z$19</f>
        <v>0</v>
      </c>
      <c r="AJ100" s="65">
        <f>VLOOKUP($O100,'NO USAR1'!$A$4:$L$399,8,False)*$AA$19</f>
        <v>0</v>
      </c>
      <c r="AK100" s="70">
        <f>VLOOKUP($O100,'NO USAR1'!$A$4:$L$399,10,False)*$AB$19</f>
        <v>0.2720353846</v>
      </c>
      <c r="AL100" s="65">
        <f>VLOOKUP($O100,'NO USAR1'!$A$4:$L$399,12,False)*$AC$19</f>
        <v>0</v>
      </c>
      <c r="AM100" s="71">
        <f t="shared" si="2"/>
        <v>-1.651661175</v>
      </c>
      <c r="AN100" s="71">
        <f t="shared" si="3"/>
        <v>-1.86507451</v>
      </c>
    </row>
    <row r="101">
      <c r="A101" t="str">
        <f>IF('NO USAR2'!B99="",ROW('NO USAR2'!B99),'NO USAR2'!B99)</f>
        <v>Christian Wood</v>
      </c>
      <c r="B101" s="58">
        <f>IF(TYPE($A101)=1,"",('NO USAR2'!$L99-B$1)/B$2)</f>
        <v>0.0260923411</v>
      </c>
      <c r="C101" s="58">
        <f>IF(TYPE($A101)=1,"",('NO USAR2'!$K99-C$1)/C$2)</f>
        <v>0.08657333394</v>
      </c>
      <c r="D101" s="58">
        <f>IF(TYPE($A101)=1,"",('NO USAR2'!$M99-D$1)/D$2)</f>
        <v>1.357521693</v>
      </c>
      <c r="E101" s="58">
        <f>IF(TYPE($A101)=1,"",('NO USAR2'!$N99-E$1)/E$2)</f>
        <v>-0.7770620041</v>
      </c>
      <c r="F101" s="58">
        <f>IF(TYPE($A101)=1,"",('NO USAR2'!$O99-F$1)/F$2)</f>
        <v>-0.6672491657</v>
      </c>
      <c r="G101" s="58">
        <f>IF(TYPE($A101)=1,"",('NO USAR2'!$P99-G$1)/G$2)</f>
        <v>0.62350448</v>
      </c>
      <c r="H101" s="58">
        <f>IF(TYPE($A101)=1,"",('NO USAR2'!$H99-H$1)/H$2*I101/$I$1)</f>
        <v>0.1626647233</v>
      </c>
      <c r="I101" s="58">
        <f>IF(TYPE($A101)=1,"",IF('NO USAR2'!H99=0,0,'NO USAR2'!G99/'NO USAR2'!H99))</f>
        <v>12.4</v>
      </c>
      <c r="J101" s="59">
        <f>IF(TYPE($A101)=1,"",('NO USAR2'!$J99-J$1)/J$2*K101/$K$1)</f>
        <v>-2.1609729</v>
      </c>
      <c r="K101" s="60">
        <f>IF(TYPE($A101)=1,"",IF('NO USAR2'!J99=0,0,'NO USAR2'!I99/'NO USAR2'!J99))</f>
        <v>4.5</v>
      </c>
      <c r="L101" s="58">
        <f>IF(TYPE($A101)=1,"",-('NO USAR2'!$Q99-L$1)/L$2)</f>
        <v>0.2436926961</v>
      </c>
      <c r="N101" s="63">
        <v>81.0</v>
      </c>
      <c r="O101" s="68" t="str">
        <f>IF('NO USAR2'!B90="",ROW('NO USAR2'!B90),'NO USAR2'!B90)</f>
        <v>Saddiq Bey</v>
      </c>
      <c r="P101" s="68">
        <f>'NO USAR2'!E82</f>
        <v>77</v>
      </c>
      <c r="Q101" s="68" t="str">
        <f>IF('NO USAR2'!C90="",ROW('NO USAR2'!N105),'NO USAR2'!C90)</f>
        <v>SF/PF</v>
      </c>
      <c r="R101" s="65">
        <f>VLOOKUP($O101,'NO USAR1'!$A$4:$L$399,2,False)+VLOOKUP($O101,'NO USAR1'!$A$4:$L$399,3,False)+VLOOKUP($O101,'NO USAR1'!$A$4:$L$399,4,False)+VLOOKUP($O101,'NO USAR1'!$A$4:$L$399,5,False)+VLOOKUP($O101,'NO USAR1'!$A$4:$L$399,6,False)+VLOOKUP($O101,'NO USAR1'!$A$4:$L$399,7,False)+VLOOKUP($O101,'NO USAR1'!$A$4:$L$399,8,False)+VLOOKUP($O101,'NO USAR1'!$A$4:$L$399,10,False)+VLOOKUP($O101,'NO USAR1'!$A$4:$L$399,12,False)*0</f>
        <v>-1.18501522</v>
      </c>
      <c r="S101" s="65">
        <f>VLOOKUP($O101,'NO USAR1'!$A$4:$L$399,2,False)*$U$19+VLOOKUP($O101,'NO USAR1'!$A$4:$L$399,3,False)*$V$19+VLOOKUP($O101,'NO USAR1'!$A$4:$L$399,4,False)*$W$19+VLOOKUP($O101,'NO USAR1'!$A$4:$L$399,5,False)*$X$19+VLOOKUP($O101,'NO USAR1'!$A$4:$L$399,6,False)*$Y$19+VLOOKUP($O101,'NO USAR1'!$A$4:$L$399,7,False)*$Z$19+VLOOKUP($O101,'NO USAR1'!$A$4:$L$399,8,False)*$AA$19+VLOOKUP($O101,'NO USAR1'!$A$4:$L$399,10,False)*$AB$19+VLOOKUP($O101,'NO USAR1'!$A$4:$L$399,12,False)*$AC$19+IF(Projections!$K$3,-AN101, IF(Projections!$J$3,-AM101,0))</f>
        <v>0.635314973</v>
      </c>
      <c r="T101" s="65">
        <f t="shared" si="1"/>
        <v>1.820330193</v>
      </c>
      <c r="U101" s="65">
        <f>VLOOKUP($O101,'NO USAR2'!$B$2:$R$397,11,False)</f>
        <v>17.5</v>
      </c>
      <c r="V101" s="69">
        <f>VLOOKUP($O101,'NO USAR2'!$B$2:$R$397,10,False)</f>
        <v>2.9</v>
      </c>
      <c r="W101" s="65">
        <f>VLOOKUP($O101,'NO USAR2'!$B$2:$R$397,12,False)</f>
        <v>5.6</v>
      </c>
      <c r="X101" s="65">
        <f>VLOOKUP($O101,'NO USAR2'!$B$2:$R$397,13,False)</f>
        <v>2.9</v>
      </c>
      <c r="Y101" s="65">
        <f>VLOOKUP($O101,'NO USAR2'!$B$2:$R$397,14,False)</f>
        <v>0.9</v>
      </c>
      <c r="Z101" s="70">
        <f>VLOOKUP($O101,'NO USAR2'!$B$2:$R$397,15,False)</f>
        <v>0.2</v>
      </c>
      <c r="AA101" s="65">
        <f>100*VLOOKUP($O101,'NO USAR2'!$B$2:$R$397,7,False)</f>
        <v>41.66666667</v>
      </c>
      <c r="AB101" s="65">
        <f>100*VLOOKUP($O101,'NO USAR2'!$B$2:$R$397,9,False)</f>
        <v>84.375</v>
      </c>
      <c r="AC101" s="65">
        <f>VLOOKUP($O101,'NO USAR2'!$B$2:$Q$397,16,False)</f>
        <v>1.2</v>
      </c>
      <c r="AD101" s="65">
        <f>VLOOKUP($O101,'NO USAR1'!$A$4:$L$399,2,False)*$U$19</f>
        <v>0.145652452</v>
      </c>
      <c r="AE101" s="65">
        <f>VLOOKUP($O101,'NO USAR1'!$A$4:$L$399,3,False)*$V$19</f>
        <v>1.286520009</v>
      </c>
      <c r="AF101" s="65">
        <f>VLOOKUP($O101,'NO USAR1'!$A$4:$L$399,4,False)*$W$19</f>
        <v>-0.1936968389</v>
      </c>
      <c r="AG101" s="65">
        <f>VLOOKUP($O101,'NO USAR1'!$A$4:$L$399,5,False)*$X$19</f>
        <v>-0.4577036154</v>
      </c>
      <c r="AH101" s="65">
        <f>VLOOKUP($O101,'NO USAR1'!$A$4:$L$399,6,False)*$Y$19</f>
        <v>-0.4252615982</v>
      </c>
      <c r="AI101" s="65">
        <f>VLOOKUP($O101,'NO USAR1'!$A$4:$L$399,7,False)*$Z$19</f>
        <v>0</v>
      </c>
      <c r="AJ101" s="65">
        <f>VLOOKUP($O101,'NO USAR1'!$A$4:$L$399,8,False)*$AA$19</f>
        <v>0</v>
      </c>
      <c r="AK101" s="70">
        <f>VLOOKUP($O101,'NO USAR1'!$A$4:$L$399,10,False)*$AB$19</f>
        <v>0.2798045644</v>
      </c>
      <c r="AL101" s="65">
        <f>VLOOKUP($O101,'NO USAR1'!$A$4:$L$399,12,False)*$AC$19</f>
        <v>0</v>
      </c>
      <c r="AM101" s="71">
        <f t="shared" si="2"/>
        <v>-0.4577036154</v>
      </c>
      <c r="AN101" s="71">
        <f t="shared" si="3"/>
        <v>-0.8829652136</v>
      </c>
    </row>
    <row r="102">
      <c r="A102" t="str">
        <f>IF('NO USAR2'!B100="",ROW('NO USAR2'!B100),'NO USAR2'!B100)</f>
        <v>Jusuf Nurkic</v>
      </c>
      <c r="B102" s="58">
        <f>IF(TYPE($A102)=1,"",('NO USAR2'!$L100-B$1)/B$2)</f>
        <v>-0.559734331</v>
      </c>
      <c r="C102" s="58">
        <f>IF(TYPE($A102)=1,"",('NO USAR2'!$K100-C$1)/C$2)</f>
        <v>-1.313364454</v>
      </c>
      <c r="D102" s="58">
        <f>IF(TYPE($A102)=1,"",('NO USAR2'!$M100-D$1)/D$2)</f>
        <v>1.969844797</v>
      </c>
      <c r="E102" s="58">
        <f>IF(TYPE($A102)=1,"",('NO USAR2'!$N100-E$1)/E$2)</f>
        <v>-0.5031292629</v>
      </c>
      <c r="F102" s="58">
        <f>IF(TYPE($A102)=1,"",('NO USAR2'!$O100-F$1)/F$2)</f>
        <v>0.3138704957</v>
      </c>
      <c r="G102" s="58">
        <f>IF(TYPE($A102)=1,"",('NO USAR2'!$P100-G$1)/G$2)</f>
        <v>0.2115214755</v>
      </c>
      <c r="H102" s="58">
        <f>IF(TYPE($A102)=1,"",('NO USAR2'!$H100-H$1)/H$2*I102/$I$1)</f>
        <v>0.3065743424</v>
      </c>
      <c r="I102" s="58">
        <f>IF(TYPE($A102)=1,"",IF('NO USAR2'!H100=0,0,'NO USAR2'!G100/'NO USAR2'!H100))</f>
        <v>10.1</v>
      </c>
      <c r="J102" s="59">
        <f>IF(TYPE($A102)=1,"",('NO USAR2'!$J100-J$1)/J$2*K102/$K$1)</f>
        <v>-1.832284595</v>
      </c>
      <c r="K102" s="60">
        <f>IF(TYPE($A102)=1,"",IF('NO USAR2'!J100=0,0,'NO USAR2'!I100/'NO USAR2'!J100))</f>
        <v>4.5</v>
      </c>
      <c r="L102" s="58">
        <f>IF(TYPE($A102)=1,"",-('NO USAR2'!$Q100-L$1)/L$2)</f>
        <v>-0.7495957703</v>
      </c>
      <c r="N102" s="63">
        <v>82.0</v>
      </c>
      <c r="O102" s="68" t="str">
        <f>IF('NO USAR2'!B91="",ROW('NO USAR2'!B91),'NO USAR2'!B91)</f>
        <v>Robert Covington</v>
      </c>
      <c r="P102" s="68">
        <f>'NO USAR2'!E83</f>
        <v>70</v>
      </c>
      <c r="Q102" s="68" t="str">
        <f>IF('NO USAR2'!C91="",ROW('NO USAR2'!N106),'NO USAR2'!C91)</f>
        <v>SF/PF</v>
      </c>
      <c r="R102" s="65">
        <f>VLOOKUP($O102,'NO USAR1'!$A$4:$L$399,2,False)+VLOOKUP($O102,'NO USAR1'!$A$4:$L$399,3,False)+VLOOKUP($O102,'NO USAR1'!$A$4:$L$399,4,False)+VLOOKUP($O102,'NO USAR1'!$A$4:$L$399,5,False)+VLOOKUP($O102,'NO USAR1'!$A$4:$L$399,6,False)+VLOOKUP($O102,'NO USAR1'!$A$4:$L$399,7,False)+VLOOKUP($O102,'NO USAR1'!$A$4:$L$399,8,False)+VLOOKUP($O102,'NO USAR1'!$A$4:$L$399,10,False)+VLOOKUP($O102,'NO USAR1'!$A$4:$L$399,12,False)*0</f>
        <v>-1.31189317</v>
      </c>
      <c r="S102" s="65">
        <f>VLOOKUP($O102,'NO USAR1'!$A$4:$L$399,2,False)*$U$19+VLOOKUP($O102,'NO USAR1'!$A$4:$L$399,3,False)*$V$19+VLOOKUP($O102,'NO USAR1'!$A$4:$L$399,4,False)*$W$19+VLOOKUP($O102,'NO USAR1'!$A$4:$L$399,5,False)*$X$19+VLOOKUP($O102,'NO USAR1'!$A$4:$L$399,6,False)*$Y$19+VLOOKUP($O102,'NO USAR1'!$A$4:$L$399,7,False)*$Z$19+VLOOKUP($O102,'NO USAR1'!$A$4:$L$399,8,False)*$AA$19+VLOOKUP($O102,'NO USAR1'!$A$4:$L$399,10,False)*$AB$19+VLOOKUP($O102,'NO USAR1'!$A$4:$L$399,12,False)*$AC$19+IF(Projections!$K$3,-AN102, IF(Projections!$J$3,-AM102,0))</f>
        <v>-2.564904247</v>
      </c>
      <c r="T102" s="65">
        <f t="shared" si="1"/>
        <v>-1.253011076</v>
      </c>
      <c r="U102" s="65">
        <f>VLOOKUP($O102,'NO USAR2'!$B$2:$R$397,11,False)</f>
        <v>8.2</v>
      </c>
      <c r="V102" s="69">
        <f>VLOOKUP($O102,'NO USAR2'!$B$2:$R$397,10,False)</f>
        <v>1.8</v>
      </c>
      <c r="W102" s="65">
        <f>VLOOKUP($O102,'NO USAR2'!$B$2:$R$397,12,False)</f>
        <v>5.4</v>
      </c>
      <c r="X102" s="65">
        <f>VLOOKUP($O102,'NO USAR2'!$B$2:$R$397,13,False)</f>
        <v>1.3</v>
      </c>
      <c r="Y102" s="65">
        <f>VLOOKUP($O102,'NO USAR2'!$B$2:$R$397,14,False)</f>
        <v>1.3</v>
      </c>
      <c r="Z102" s="70">
        <f>VLOOKUP($O102,'NO USAR2'!$B$2:$R$397,15,False)</f>
        <v>1.2</v>
      </c>
      <c r="AA102" s="65">
        <f>100*VLOOKUP($O102,'NO USAR2'!$B$2:$R$397,7,False)</f>
        <v>41.17647059</v>
      </c>
      <c r="AB102" s="65">
        <f>100*VLOOKUP($O102,'NO USAR2'!$B$2:$R$397,9,False)</f>
        <v>80</v>
      </c>
      <c r="AC102" s="65">
        <f>VLOOKUP($O102,'NO USAR2'!$B$2:$Q$397,16,False)</f>
        <v>1.1</v>
      </c>
      <c r="AD102" s="65">
        <f>VLOOKUP($O102,'NO USAR1'!$A$4:$L$399,2,False)*$U$19</f>
        <v>-2.330796662</v>
      </c>
      <c r="AE102" s="65">
        <f>VLOOKUP($O102,'NO USAR1'!$A$4:$L$399,3,False)*$V$19</f>
        <v>0.1865688902</v>
      </c>
      <c r="AF102" s="65">
        <f>VLOOKUP($O102,'NO USAR1'!$A$4:$L$399,4,False)*$W$19</f>
        <v>-0.2753399195</v>
      </c>
      <c r="AG102" s="65">
        <f>VLOOKUP($O102,'NO USAR1'!$A$4:$L$399,5,False)*$X$19</f>
        <v>-1.370812753</v>
      </c>
      <c r="AH102" s="65">
        <f>VLOOKUP($O102,'NO USAR1'!$A$4:$L$399,6,False)*$Y$19</f>
        <v>1.209937838</v>
      </c>
      <c r="AI102" s="65">
        <f>VLOOKUP($O102,'NO USAR1'!$A$4:$L$399,7,False)*$Z$19</f>
        <v>0</v>
      </c>
      <c r="AJ102" s="65">
        <f>VLOOKUP($O102,'NO USAR1'!$A$4:$L$399,8,False)*$AA$19</f>
        <v>0</v>
      </c>
      <c r="AK102" s="70">
        <f>VLOOKUP($O102,'NO USAR1'!$A$4:$L$399,10,False)*$AB$19</f>
        <v>0.01553835961</v>
      </c>
      <c r="AL102" s="65">
        <f>VLOOKUP($O102,'NO USAR1'!$A$4:$L$399,12,False)*$AC$19</f>
        <v>0</v>
      </c>
      <c r="AM102" s="71">
        <f t="shared" si="2"/>
        <v>-2.330796662</v>
      </c>
      <c r="AN102" s="71">
        <f t="shared" si="3"/>
        <v>-3.701609414</v>
      </c>
    </row>
    <row r="103">
      <c r="A103" t="str">
        <f>IF('NO USAR2'!B101="",ROW('NO USAR2'!B101),'NO USAR2'!B101)</f>
        <v>Mike Conley</v>
      </c>
      <c r="B103" s="58">
        <f>IF(TYPE($A103)=1,"",('NO USAR2'!$L101-B$1)/B$2)</f>
        <v>-0.648495948</v>
      </c>
      <c r="C103" s="58">
        <f>IF(TYPE($A103)=1,"",('NO USAR2'!$K101-C$1)/C$2)</f>
        <v>0.6865466715</v>
      </c>
      <c r="D103" s="58">
        <f>IF(TYPE($A103)=1,"",('NO USAR2'!$M101-D$1)/D$2)</f>
        <v>-1.255056887</v>
      </c>
      <c r="E103" s="58">
        <f>IF(TYPE($A103)=1,"",('NO USAR2'!$N101-E$1)/E$2)</f>
        <v>0.6382571587</v>
      </c>
      <c r="F103" s="58">
        <f>IF(TYPE($A103)=1,"",('NO USAR2'!$O101-F$1)/F$2)</f>
        <v>0.3138704957</v>
      </c>
      <c r="G103" s="58">
        <f>IF(TYPE($A103)=1,"",('NO USAR2'!$P101-G$1)/G$2)</f>
        <v>-0.8184360358</v>
      </c>
      <c r="H103" s="58">
        <f>IF(TYPE($A103)=1,"",('NO USAR2'!$H101-H$1)/H$2*I103/$I$1)</f>
        <v>-0.6733273056</v>
      </c>
      <c r="I103" s="58">
        <f>IF(TYPE($A103)=1,"",IF('NO USAR2'!H101=0,0,'NO USAR2'!G101/'NO USAR2'!H101))</f>
        <v>10.6</v>
      </c>
      <c r="J103" s="59">
        <f>IF(TYPE($A103)=1,"",('NO USAR2'!$J101-J$1)/J$2*K103/$K$1)</f>
        <v>0.1309987714</v>
      </c>
      <c r="K103" s="60">
        <f>IF(TYPE($A103)=1,"",IF('NO USAR2'!J101=0,0,'NO USAR2'!I101/'NO USAR2'!J101))</f>
        <v>2.1</v>
      </c>
      <c r="L103" s="58">
        <f>IF(TYPE($A103)=1,"",-('NO USAR2'!$Q101-L$1)/L$2)</f>
        <v>0.4644234664</v>
      </c>
      <c r="N103" s="2">
        <v>83.0</v>
      </c>
      <c r="O103" s="68" t="str">
        <f>IF('NO USAR2'!B112="",ROW('NO USAR2'!B112),'NO USAR2'!B112)</f>
        <v>Kyle Kuzma</v>
      </c>
      <c r="P103" s="68">
        <f>'NO USAR2'!E84</f>
        <v>68</v>
      </c>
      <c r="Q103" s="68" t="str">
        <f>IF('NO USAR2'!C112="",ROW('NO USAR2'!N127),'NO USAR2'!C112)</f>
        <v>SF/PF</v>
      </c>
      <c r="R103" s="65">
        <f>VLOOKUP($O103,'NO USAR1'!$A$4:$L$399,2,False)+VLOOKUP($O103,'NO USAR1'!$A$4:$L$399,3,False)+VLOOKUP($O103,'NO USAR1'!$A$4:$L$399,4,False)+VLOOKUP($O103,'NO USAR1'!$A$4:$L$399,5,False)+VLOOKUP($O103,'NO USAR1'!$A$4:$L$399,6,False)+VLOOKUP($O103,'NO USAR1'!$A$4:$L$399,7,False)+VLOOKUP($O103,'NO USAR1'!$A$4:$L$399,8,False)+VLOOKUP($O103,'NO USAR1'!$A$4:$L$399,10,False)+VLOOKUP($O103,'NO USAR1'!$A$4:$L$399,12,False)*0</f>
        <v>-1.3403945</v>
      </c>
      <c r="S103" s="65">
        <f>VLOOKUP($O103,'NO USAR1'!$A$4:$L$399,2,False)*$U$19+VLOOKUP($O103,'NO USAR1'!$A$4:$L$399,3,False)*$V$19+VLOOKUP($O103,'NO USAR1'!$A$4:$L$399,4,False)*$W$19+VLOOKUP($O103,'NO USAR1'!$A$4:$L$399,5,False)*$X$19+VLOOKUP($O103,'NO USAR1'!$A$4:$L$399,6,False)*$Y$19+VLOOKUP($O103,'NO USAR1'!$A$4:$L$399,7,False)*$Z$19+VLOOKUP($O103,'NO USAR1'!$A$4:$L$399,8,False)*$AA$19+VLOOKUP($O103,'NO USAR1'!$A$4:$L$399,10,False)*$AB$19+VLOOKUP($O103,'NO USAR1'!$A$4:$L$399,12,False)*$AC$19+IF(Projections!$K$3,-AN103, IF(Projections!$J$3,-AM103,0))</f>
        <v>-1.311179145</v>
      </c>
      <c r="T103" s="65">
        <f t="shared" si="1"/>
        <v>0.02921535489</v>
      </c>
      <c r="U103" s="65">
        <f>VLOOKUP($O103,'NO USAR2'!$B$2:$R$397,11,False)</f>
        <v>16.5</v>
      </c>
      <c r="V103" s="69">
        <f>VLOOKUP($O103,'NO USAR2'!$B$2:$R$397,10,False)</f>
        <v>1.9</v>
      </c>
      <c r="W103" s="65">
        <f>VLOOKUP($O103,'NO USAR2'!$B$2:$R$397,12,False)</f>
        <v>8.1</v>
      </c>
      <c r="X103" s="65">
        <f>VLOOKUP($O103,'NO USAR2'!$B$2:$R$397,13,False)</f>
        <v>3.1</v>
      </c>
      <c r="Y103" s="65">
        <f>VLOOKUP($O103,'NO USAR2'!$B$2:$R$397,14,False)</f>
        <v>0.6</v>
      </c>
      <c r="Z103" s="70">
        <f>VLOOKUP($O103,'NO USAR2'!$B$2:$R$397,15,False)</f>
        <v>0.9</v>
      </c>
      <c r="AA103" s="65">
        <f>100*VLOOKUP($O103,'NO USAR2'!$B$2:$R$397,7,False)</f>
        <v>45.18518519</v>
      </c>
      <c r="AB103" s="65">
        <f>100*VLOOKUP($O103,'NO USAR2'!$B$2:$R$397,9,False)</f>
        <v>73.52941176</v>
      </c>
      <c r="AC103" s="65">
        <f>VLOOKUP($O103,'NO USAR2'!$B$2:$Q$397,16,False)</f>
        <v>2.7</v>
      </c>
      <c r="AD103" s="65">
        <f>VLOOKUP($O103,'NO USAR1'!$A$4:$L$399,2,False)*$U$19</f>
        <v>-0.1206323989</v>
      </c>
      <c r="AE103" s="65">
        <f>VLOOKUP($O103,'NO USAR1'!$A$4:$L$399,3,False)*$V$19</f>
        <v>0.2865644464</v>
      </c>
      <c r="AF103" s="65">
        <f>VLOOKUP($O103,'NO USAR1'!$A$4:$L$399,4,False)*$W$19</f>
        <v>0.8268416687</v>
      </c>
      <c r="AG103" s="65">
        <f>VLOOKUP($O103,'NO USAR1'!$A$4:$L$399,5,False)*$X$19</f>
        <v>-0.3435649732</v>
      </c>
      <c r="AH103" s="65">
        <f>VLOOKUP($O103,'NO USAR1'!$A$4:$L$399,6,False)*$Y$19</f>
        <v>-1.651661175</v>
      </c>
      <c r="AI103" s="65">
        <f>VLOOKUP($O103,'NO USAR1'!$A$4:$L$399,7,False)*$Z$19</f>
        <v>0</v>
      </c>
      <c r="AJ103" s="65">
        <f>VLOOKUP($O103,'NO USAR1'!$A$4:$L$399,8,False)*$AA$19</f>
        <v>0</v>
      </c>
      <c r="AK103" s="70">
        <f>VLOOKUP($O103,'NO USAR1'!$A$4:$L$399,10,False)*$AB$19</f>
        <v>-0.3087267131</v>
      </c>
      <c r="AL103" s="65">
        <f>VLOOKUP($O103,'NO USAR1'!$A$4:$L$399,12,False)*$AC$19</f>
        <v>0</v>
      </c>
      <c r="AM103" s="71">
        <f t="shared" si="2"/>
        <v>-1.651661175</v>
      </c>
      <c r="AN103" s="71">
        <f t="shared" si="3"/>
        <v>-1.995226148</v>
      </c>
    </row>
    <row r="104">
      <c r="A104" t="str">
        <f>IF('NO USAR2'!B102="",ROW('NO USAR2'!B102),'NO USAR2'!B102)</f>
        <v>Jabari Smith Jr</v>
      </c>
      <c r="B104" s="58">
        <f>IF(TYPE($A104)=1,"",('NO USAR2'!$L102-B$1)/B$2)</f>
        <v>-0.08042159928</v>
      </c>
      <c r="C104" s="58">
        <f>IF(TYPE($A104)=1,"",('NO USAR2'!$K102-C$1)/C$2)</f>
        <v>-0.3134088911</v>
      </c>
      <c r="D104" s="58">
        <f>IF(TYPE($A104)=1,"",('NO USAR2'!$M102-D$1)/D$2)</f>
        <v>0.5410908866</v>
      </c>
      <c r="E104" s="58">
        <f>IF(TYPE($A104)=1,"",('NO USAR2'!$N102-E$1)/E$2)</f>
        <v>-1.005339288</v>
      </c>
      <c r="F104" s="58">
        <f>IF(TYPE($A104)=1,"",('NO USAR2'!$O102-F$1)/F$2)</f>
        <v>-0.6672491657</v>
      </c>
      <c r="G104" s="58">
        <f>IF(TYPE($A104)=1,"",('NO USAR2'!$P102-G$1)/G$2)</f>
        <v>0.8294959822</v>
      </c>
      <c r="H104" s="58">
        <f>IF(TYPE($A104)=1,"",('NO USAR2'!$H102-H$1)/H$2*I104/$I$1)</f>
        <v>-0.6418438108</v>
      </c>
      <c r="I104" s="58">
        <f>IF(TYPE($A104)=1,"",IF('NO USAR2'!H102=0,0,'NO USAR2'!G102/'NO USAR2'!H102))</f>
        <v>13</v>
      </c>
      <c r="J104" s="59">
        <f>IF(TYPE($A104)=1,"",('NO USAR2'!$J102-J$1)/J$2*K104/$K$1)</f>
        <v>-0.4486860411</v>
      </c>
      <c r="K104" s="60">
        <f>IF(TYPE($A104)=1,"",IF('NO USAR2'!J102=0,0,'NO USAR2'!I102/'NO USAR2'!J102))</f>
        <v>4.6</v>
      </c>
      <c r="L104" s="58">
        <f>IF(TYPE($A104)=1,"",-('NO USAR2'!$Q102-L$1)/L$2)</f>
        <v>0.1333273109</v>
      </c>
      <c r="N104" s="63">
        <v>84.0</v>
      </c>
      <c r="O104" s="68" t="str">
        <f>IF('NO USAR2'!B99="",ROW('NO USAR2'!B99),'NO USAR2'!B99)</f>
        <v>Christian Wood</v>
      </c>
      <c r="P104" s="68">
        <f>'NO USAR2'!E85</f>
        <v>76</v>
      </c>
      <c r="Q104" s="68" t="str">
        <f>IF('NO USAR2'!C99="",ROW('NO USAR2'!N114),'NO USAR2'!C99)</f>
        <v>PF/C</v>
      </c>
      <c r="R104" s="65">
        <f>VLOOKUP($O104,'NO USAR1'!$A$4:$L$399,2,False)+VLOOKUP($O104,'NO USAR1'!$A$4:$L$399,3,False)+VLOOKUP($O104,'NO USAR1'!$A$4:$L$399,4,False)+VLOOKUP($O104,'NO USAR1'!$A$4:$L$399,5,False)+VLOOKUP($O104,'NO USAR1'!$A$4:$L$399,6,False)+VLOOKUP($O104,'NO USAR1'!$A$4:$L$399,7,False)+VLOOKUP($O104,'NO USAR1'!$A$4:$L$399,8,False)+VLOOKUP($O104,'NO USAR1'!$A$4:$L$399,10,False)+VLOOKUP($O104,'NO USAR1'!$A$4:$L$399,12,False)*0</f>
        <v>-1.348927499</v>
      </c>
      <c r="S104" s="65">
        <f>VLOOKUP($O104,'NO USAR1'!$A$4:$L$399,2,False)*$U$19+VLOOKUP($O104,'NO USAR1'!$A$4:$L$399,3,False)*$V$19+VLOOKUP($O104,'NO USAR1'!$A$4:$L$399,4,False)*$W$19+VLOOKUP($O104,'NO USAR1'!$A$4:$L$399,5,False)*$X$19+VLOOKUP($O104,'NO USAR1'!$A$4:$L$399,6,False)*$Y$19+VLOOKUP($O104,'NO USAR1'!$A$4:$L$399,7,False)*$Z$19+VLOOKUP($O104,'NO USAR1'!$A$4:$L$399,8,False)*$AA$19+VLOOKUP($O104,'NO USAR1'!$A$4:$L$399,10,False)*$AB$19+VLOOKUP($O104,'NO USAR1'!$A$4:$L$399,12,False)*$AC$19+IF(Projections!$K$3,-AN104, IF(Projections!$J$3,-AM104,0))</f>
        <v>-1.402641874</v>
      </c>
      <c r="T104" s="65">
        <f t="shared" si="1"/>
        <v>-0.05371437499</v>
      </c>
      <c r="U104" s="65">
        <f>VLOOKUP($O104,'NO USAR2'!$B$2:$R$397,11,False)</f>
        <v>17.1</v>
      </c>
      <c r="V104" s="69">
        <f>VLOOKUP($O104,'NO USAR2'!$B$2:$R$397,10,False)</f>
        <v>1.7</v>
      </c>
      <c r="W104" s="65">
        <f>VLOOKUP($O104,'NO USAR2'!$B$2:$R$397,12,False)</f>
        <v>9.4</v>
      </c>
      <c r="X104" s="65">
        <f>VLOOKUP($O104,'NO USAR2'!$B$2:$R$397,13,False)</f>
        <v>2</v>
      </c>
      <c r="Y104" s="65">
        <f>VLOOKUP($O104,'NO USAR2'!$B$2:$R$397,14,False)</f>
        <v>0.8</v>
      </c>
      <c r="Z104" s="70">
        <f>VLOOKUP($O104,'NO USAR2'!$B$2:$R$397,15,False)</f>
        <v>1</v>
      </c>
      <c r="AA104" s="65">
        <f>100*VLOOKUP($O104,'NO USAR2'!$B$2:$R$397,7,False)</f>
        <v>50</v>
      </c>
      <c r="AB104" s="65">
        <f>100*VLOOKUP($O104,'NO USAR2'!$B$2:$R$397,9,False)</f>
        <v>64.44444444</v>
      </c>
      <c r="AC104" s="65">
        <f>VLOOKUP($O104,'NO USAR2'!$B$2:$Q$397,16,False)</f>
        <v>1.8</v>
      </c>
      <c r="AD104" s="65">
        <f>VLOOKUP($O104,'NO USAR1'!$A$4:$L$399,2,False)*$U$19</f>
        <v>0.03913851165</v>
      </c>
      <c r="AE104" s="65">
        <f>VLOOKUP($O104,'NO USAR1'!$A$4:$L$399,3,False)*$V$19</f>
        <v>0.08657333394</v>
      </c>
      <c r="AF104" s="65">
        <f>VLOOKUP($O104,'NO USAR1'!$A$4:$L$399,4,False)*$W$19</f>
        <v>1.357521693</v>
      </c>
      <c r="AG104" s="65">
        <f>VLOOKUP($O104,'NO USAR1'!$A$4:$L$399,5,False)*$X$19</f>
        <v>-0.9713275051</v>
      </c>
      <c r="AH104" s="65">
        <f>VLOOKUP($O104,'NO USAR1'!$A$4:$L$399,6,False)*$Y$19</f>
        <v>-0.8340614572</v>
      </c>
      <c r="AI104" s="65">
        <f>VLOOKUP($O104,'NO USAR1'!$A$4:$L$399,7,False)*$Z$19</f>
        <v>0</v>
      </c>
      <c r="AJ104" s="65">
        <f>VLOOKUP($O104,'NO USAR1'!$A$4:$L$399,8,False)*$AA$19</f>
        <v>0</v>
      </c>
      <c r="AK104" s="70">
        <f>VLOOKUP($O104,'NO USAR1'!$A$4:$L$399,10,False)*$AB$19</f>
        <v>-1.08048645</v>
      </c>
      <c r="AL104" s="65">
        <f>VLOOKUP($O104,'NO USAR1'!$A$4:$L$399,12,False)*$AC$19</f>
        <v>0</v>
      </c>
      <c r="AM104" s="71">
        <f t="shared" si="2"/>
        <v>-1.08048645</v>
      </c>
      <c r="AN104" s="71">
        <f t="shared" si="3"/>
        <v>-2.051813955</v>
      </c>
    </row>
    <row r="105">
      <c r="A105" t="str">
        <f>IF('NO USAR2'!B103="",ROW('NO USAR2'!B103),'NO USAR2'!B103)</f>
        <v>JaVale McGee</v>
      </c>
      <c r="B105" s="58">
        <f>IF(TYPE($A105)=1,"",('NO USAR2'!$L103-B$1)/B$2)</f>
        <v>-0.9147807989</v>
      </c>
      <c r="C105" s="58">
        <f>IF(TYPE($A105)=1,"",('NO USAR2'!$K103-C$1)/C$2)</f>
        <v>-1.613351122</v>
      </c>
      <c r="D105" s="58">
        <f>IF(TYPE($A105)=1,"",('NO USAR2'!$M103-D$1)/D$2)</f>
        <v>1.112592451</v>
      </c>
      <c r="E105" s="58">
        <f>IF(TYPE($A105)=1,"",('NO USAR2'!$N103-E$1)/E$2)</f>
        <v>-1.27927203</v>
      </c>
      <c r="F105" s="58">
        <f>IF(TYPE($A105)=1,"",('NO USAR2'!$O103-F$1)/F$2)</f>
        <v>-1.975408714</v>
      </c>
      <c r="G105" s="58">
        <f>IF(TYPE($A105)=1,"",('NO USAR2'!$P103-G$1)/G$2)</f>
        <v>1.447470489</v>
      </c>
      <c r="H105" s="58">
        <f>IF(TYPE($A105)=1,"",('NO USAR2'!$H103-H$1)/H$2*I105/$I$1)</f>
        <v>0.9278188888</v>
      </c>
      <c r="I105" s="58">
        <f>IF(TYPE($A105)=1,"",IF('NO USAR2'!H103=0,0,'NO USAR2'!G103/'NO USAR2'!H103))</f>
        <v>8.8</v>
      </c>
      <c r="J105" s="59">
        <f>IF(TYPE($A105)=1,"",('NO USAR2'!$J103-J$1)/J$2*K105/$K$1)</f>
        <v>-0.5263778391</v>
      </c>
      <c r="K105" s="60">
        <f>IF(TYPE($A105)=1,"",IF('NO USAR2'!J103=0,0,'NO USAR2'!I103/'NO USAR2'!J103))</f>
        <v>2.1</v>
      </c>
      <c r="L105" s="58">
        <f>IF(TYPE($A105)=1,"",-('NO USAR2'!$Q103-L$1)/L$2)</f>
        <v>0.1333273109</v>
      </c>
      <c r="N105" s="63">
        <v>85.0</v>
      </c>
      <c r="O105" s="68" t="str">
        <f>IF('NO USAR2'!B75="",ROW('NO USAR2'!B75),'NO USAR2'!B75)</f>
        <v>Zion Williamson</v>
      </c>
      <c r="P105" s="68">
        <f>'NO USAR2'!E86</f>
        <v>68</v>
      </c>
      <c r="Q105" s="68" t="str">
        <f>IF('NO USAR2'!C75="",ROW('NO USAR2'!N90),'NO USAR2'!C75)</f>
        <v>PF</v>
      </c>
      <c r="R105" s="65">
        <f>VLOOKUP($O105,'NO USAR1'!$A$4:$L$399,2,False)+VLOOKUP($O105,'NO USAR1'!$A$4:$L$399,3,False)+VLOOKUP($O105,'NO USAR1'!$A$4:$L$399,4,False)+VLOOKUP($O105,'NO USAR1'!$A$4:$L$399,5,False)+VLOOKUP($O105,'NO USAR1'!$A$4:$L$399,6,False)+VLOOKUP($O105,'NO USAR1'!$A$4:$L$399,7,False)+VLOOKUP($O105,'NO USAR1'!$A$4:$L$399,8,False)+VLOOKUP($O105,'NO USAR1'!$A$4:$L$399,10,False)+VLOOKUP($O105,'NO USAR1'!$A$4:$L$399,12,False)*0</f>
        <v>-1.394591562</v>
      </c>
      <c r="S105" s="65">
        <f>VLOOKUP($O105,'NO USAR1'!$A$4:$L$399,2,False)*$U$19+VLOOKUP($O105,'NO USAR1'!$A$4:$L$399,3,False)*$V$19+VLOOKUP($O105,'NO USAR1'!$A$4:$L$399,4,False)*$W$19+VLOOKUP($O105,'NO USAR1'!$A$4:$L$399,5,False)*$X$19+VLOOKUP($O105,'NO USAR1'!$A$4:$L$399,6,False)*$Y$19+VLOOKUP($O105,'NO USAR1'!$A$4:$L$399,7,False)*$Z$19+VLOOKUP($O105,'NO USAR1'!$A$4:$L$399,8,False)*$AA$19+VLOOKUP($O105,'NO USAR1'!$A$4:$L$399,10,False)*$AB$19+VLOOKUP($O105,'NO USAR1'!$A$4:$L$399,12,False)*$AC$19+IF(Projections!$K$3,-AN105, IF(Projections!$J$3,-AM105,0))</f>
        <v>-1.058539152</v>
      </c>
      <c r="T105" s="65">
        <f t="shared" si="1"/>
        <v>0.3360524104</v>
      </c>
      <c r="U105" s="65">
        <f>VLOOKUP($O105,'NO USAR2'!$B$2:$R$397,11,False)</f>
        <v>25.5</v>
      </c>
      <c r="V105" s="69">
        <f>VLOOKUP($O105,'NO USAR2'!$B$2:$R$397,10,False)</f>
        <v>0.2</v>
      </c>
      <c r="W105" s="65">
        <f>VLOOKUP($O105,'NO USAR2'!$B$2:$R$397,12,False)</f>
        <v>7.3</v>
      </c>
      <c r="X105" s="65">
        <f>VLOOKUP($O105,'NO USAR2'!$B$2:$R$397,13,False)</f>
        <v>3.1</v>
      </c>
      <c r="Y105" s="65">
        <f>VLOOKUP($O105,'NO USAR2'!$B$2:$R$397,14,False)</f>
        <v>0.8</v>
      </c>
      <c r="Z105" s="70">
        <f>VLOOKUP($O105,'NO USAR2'!$B$2:$R$397,15,False)</f>
        <v>0.5</v>
      </c>
      <c r="AA105" s="65">
        <f>100*VLOOKUP($O105,'NO USAR2'!$B$2:$R$397,7,False)</f>
        <v>58.64197531</v>
      </c>
      <c r="AB105" s="65">
        <f>100*VLOOKUP($O105,'NO USAR2'!$B$2:$R$397,9,False)</f>
        <v>70.45454545</v>
      </c>
      <c r="AC105" s="65">
        <f>VLOOKUP($O105,'NO USAR2'!$B$2:$Q$397,16,False)</f>
        <v>2.7</v>
      </c>
      <c r="AD105" s="65">
        <f>VLOOKUP($O105,'NO USAR1'!$A$4:$L$399,2,False)*$U$19</f>
        <v>2.27593126</v>
      </c>
      <c r="AE105" s="65">
        <f>VLOOKUP($O105,'NO USAR1'!$A$4:$L$399,3,False)*$V$19</f>
        <v>-1.41336001</v>
      </c>
      <c r="AF105" s="65">
        <f>VLOOKUP($O105,'NO USAR1'!$A$4:$L$399,4,False)*$W$19</f>
        <v>0.5002693463</v>
      </c>
      <c r="AG105" s="65">
        <f>VLOOKUP($O105,'NO USAR1'!$A$4:$L$399,5,False)*$X$19</f>
        <v>-0.3435649732</v>
      </c>
      <c r="AH105" s="65">
        <f>VLOOKUP($O105,'NO USAR1'!$A$4:$L$399,6,False)*$Y$19</f>
        <v>-0.8340614572</v>
      </c>
      <c r="AI105" s="65">
        <f>VLOOKUP($O105,'NO USAR1'!$A$4:$L$399,7,False)*$Z$19</f>
        <v>0</v>
      </c>
      <c r="AJ105" s="65">
        <f>VLOOKUP($O105,'NO USAR1'!$A$4:$L$399,8,False)*$AA$19</f>
        <v>0</v>
      </c>
      <c r="AK105" s="70">
        <f>VLOOKUP($O105,'NO USAR1'!$A$4:$L$399,10,False)*$AB$19</f>
        <v>-1.243753318</v>
      </c>
      <c r="AL105" s="65">
        <f>VLOOKUP($O105,'NO USAR1'!$A$4:$L$399,12,False)*$AC$19</f>
        <v>0</v>
      </c>
      <c r="AM105" s="71">
        <f t="shared" si="2"/>
        <v>-1.41336001</v>
      </c>
      <c r="AN105" s="71">
        <f t="shared" si="3"/>
        <v>-2.657113327</v>
      </c>
    </row>
    <row r="106">
      <c r="A106" t="str">
        <f>IF('NO USAR2'!B104="",ROW('NO USAR2'!B104),'NO USAR2'!B104)</f>
        <v>Tre Jones</v>
      </c>
      <c r="B106" s="58">
        <f>IF(TYPE($A106)=1,"",('NO USAR2'!$L104-B$1)/B$2)</f>
        <v>-0.8437715053</v>
      </c>
      <c r="C106" s="58">
        <f>IF(TYPE($A106)=1,"",('NO USAR2'!$K104-C$1)/C$2)</f>
        <v>-0.9133822286</v>
      </c>
      <c r="D106" s="58">
        <f>IF(TYPE($A106)=1,"",('NO USAR2'!$M104-D$1)/D$2)</f>
        <v>-0.8468414838</v>
      </c>
      <c r="E106" s="58">
        <f>IF(TYPE($A106)=1,"",('NO USAR2'!$N104-E$1)/E$2)</f>
        <v>1.140467184</v>
      </c>
      <c r="F106" s="58">
        <f>IF(TYPE($A106)=1,"",('NO USAR2'!$O104-F$1)/F$2)</f>
        <v>0.3138704957</v>
      </c>
      <c r="G106" s="58">
        <f>IF(TYPE($A106)=1,"",('NO USAR2'!$P104-G$1)/G$2)</f>
        <v>-1.024427538</v>
      </c>
      <c r="H106" s="58">
        <f>IF(TYPE($A106)=1,"",('NO USAR2'!$H104-H$1)/H$2*I106/$I$1)</f>
        <v>-0.2169813749</v>
      </c>
      <c r="I106" s="58">
        <f>IF(TYPE($A106)=1,"",IF('NO USAR2'!H104=0,0,'NO USAR2'!G104/'NO USAR2'!H104))</f>
        <v>10</v>
      </c>
      <c r="J106" s="59">
        <f>IF(TYPE($A106)=1,"",('NO USAR2'!$J104-J$1)/J$2*K106/$K$1)</f>
        <v>0.3375347703</v>
      </c>
      <c r="K106" s="60">
        <f>IF(TYPE($A106)=1,"",IF('NO USAR2'!J104=0,0,'NO USAR2'!I104/'NO USAR2'!J104))</f>
        <v>2.4</v>
      </c>
      <c r="L106" s="58">
        <f>IF(TYPE($A106)=1,"",-('NO USAR2'!$Q104-L$1)/L$2)</f>
        <v>0.7955196219</v>
      </c>
      <c r="N106" s="2">
        <v>86.0</v>
      </c>
      <c r="O106" s="68" t="str">
        <f>IF('NO USAR2'!B92="",ROW('NO USAR2'!B92),'NO USAR2'!B92)</f>
        <v>Kelly Olynyk</v>
      </c>
      <c r="P106" s="68">
        <f>'NO USAR2'!E87</f>
        <v>68</v>
      </c>
      <c r="Q106" s="68" t="str">
        <f>IF('NO USAR2'!C92="",ROW('NO USAR2'!N107),'NO USAR2'!C92)</f>
        <v>PF/C</v>
      </c>
      <c r="R106" s="65">
        <f>VLOOKUP($O106,'NO USAR1'!$A$4:$L$399,2,False)+VLOOKUP($O106,'NO USAR1'!$A$4:$L$399,3,False)+VLOOKUP($O106,'NO USAR1'!$A$4:$L$399,4,False)+VLOOKUP($O106,'NO USAR1'!$A$4:$L$399,5,False)+VLOOKUP($O106,'NO USAR1'!$A$4:$L$399,6,False)+VLOOKUP($O106,'NO USAR1'!$A$4:$L$399,7,False)+VLOOKUP($O106,'NO USAR1'!$A$4:$L$399,8,False)+VLOOKUP($O106,'NO USAR1'!$A$4:$L$399,10,False)+VLOOKUP($O106,'NO USAR1'!$A$4:$L$399,12,False)*0</f>
        <v>-1.405442273</v>
      </c>
      <c r="S106" s="65">
        <f>VLOOKUP($O106,'NO USAR1'!$A$4:$L$399,2,False)*$U$19+VLOOKUP($O106,'NO USAR1'!$A$4:$L$399,3,False)*$V$19+VLOOKUP($O106,'NO USAR1'!$A$4:$L$399,4,False)*$W$19+VLOOKUP($O106,'NO USAR1'!$A$4:$L$399,5,False)*$X$19+VLOOKUP($O106,'NO USAR1'!$A$4:$L$399,6,False)*$Y$19+VLOOKUP($O106,'NO USAR1'!$A$4:$L$399,7,False)*$Z$19+VLOOKUP($O106,'NO USAR1'!$A$4:$L$399,8,False)*$AA$19+VLOOKUP($O106,'NO USAR1'!$A$4:$L$399,10,False)*$AB$19+VLOOKUP($O106,'NO USAR1'!$A$4:$L$399,12,False)*$AC$19+IF(Projections!$K$3,-AN106, IF(Projections!$J$3,-AM106,0))</f>
        <v>-1.299981014</v>
      </c>
      <c r="T106" s="65">
        <f t="shared" si="1"/>
        <v>0.1054612594</v>
      </c>
      <c r="U106" s="65">
        <f>VLOOKUP($O106,'NO USAR2'!$B$2:$R$397,11,False)</f>
        <v>11.5</v>
      </c>
      <c r="V106" s="69">
        <f>VLOOKUP($O106,'NO USAR2'!$B$2:$R$397,10,False)</f>
        <v>1.3</v>
      </c>
      <c r="W106" s="65">
        <f>VLOOKUP($O106,'NO USAR2'!$B$2:$R$397,12,False)</f>
        <v>6.2</v>
      </c>
      <c r="X106" s="65">
        <f>VLOOKUP($O106,'NO USAR2'!$B$2:$R$397,13,False)</f>
        <v>3.9</v>
      </c>
      <c r="Y106" s="65">
        <f>VLOOKUP($O106,'NO USAR2'!$B$2:$R$397,14,False)</f>
        <v>1.1</v>
      </c>
      <c r="Z106" s="70">
        <f>VLOOKUP($O106,'NO USAR2'!$B$2:$R$397,15,False)</f>
        <v>0.7</v>
      </c>
      <c r="AA106" s="65">
        <f>100*VLOOKUP($O106,'NO USAR2'!$B$2:$R$397,7,False)</f>
        <v>45.05494505</v>
      </c>
      <c r="AB106" s="65">
        <f>100*VLOOKUP($O106,'NO USAR2'!$B$2:$R$397,9,False)</f>
        <v>76.92307692</v>
      </c>
      <c r="AC106" s="65">
        <f>VLOOKUP($O106,'NO USAR2'!$B$2:$Q$397,16,False)</f>
        <v>2.1</v>
      </c>
      <c r="AD106" s="65">
        <f>VLOOKUP($O106,'NO USAR1'!$A$4:$L$399,2,False)*$U$19</f>
        <v>-1.452056654</v>
      </c>
      <c r="AE106" s="65">
        <f>VLOOKUP($O106,'NO USAR1'!$A$4:$L$399,3,False)*$V$19</f>
        <v>-0.3134088911</v>
      </c>
      <c r="AF106" s="65">
        <f>VLOOKUP($O106,'NO USAR1'!$A$4:$L$399,4,False)*$W$19</f>
        <v>0.05123240293</v>
      </c>
      <c r="AG106" s="65">
        <f>VLOOKUP($O106,'NO USAR1'!$A$4:$L$399,5,False)*$X$19</f>
        <v>0.1129895954</v>
      </c>
      <c r="AH106" s="65">
        <f>VLOOKUP($O106,'NO USAR1'!$A$4:$L$399,6,False)*$Y$19</f>
        <v>0.3923381197</v>
      </c>
      <c r="AI106" s="65">
        <f>VLOOKUP($O106,'NO USAR1'!$A$4:$L$399,7,False)*$Z$19</f>
        <v>0</v>
      </c>
      <c r="AJ106" s="65">
        <f>VLOOKUP($O106,'NO USAR1'!$A$4:$L$399,8,False)*$AA$19</f>
        <v>0</v>
      </c>
      <c r="AK106" s="70">
        <f>VLOOKUP($O106,'NO USAR1'!$A$4:$L$399,10,False)*$AB$19</f>
        <v>-0.09107558713</v>
      </c>
      <c r="AL106" s="65">
        <f>VLOOKUP($O106,'NO USAR1'!$A$4:$L$399,12,False)*$AC$19</f>
        <v>0</v>
      </c>
      <c r="AM106" s="71">
        <f t="shared" si="2"/>
        <v>-1.452056654</v>
      </c>
      <c r="AN106" s="71">
        <f t="shared" si="3"/>
        <v>-1.765465545</v>
      </c>
    </row>
    <row r="107">
      <c r="A107" t="str">
        <f>IF('NO USAR2'!B105="",ROW('NO USAR2'!B105),'NO USAR2'!B105)</f>
        <v>Kevin Porter Jr.</v>
      </c>
      <c r="B107" s="58">
        <f>IF(TYPE($A107)=1,"",('NO USAR2'!$L105-B$1)/B$2)</f>
        <v>-0.009412305694</v>
      </c>
      <c r="C107" s="58">
        <f>IF(TYPE($A107)=1,"",('NO USAR2'!$K105-C$1)/C$2)</f>
        <v>0.9865333402</v>
      </c>
      <c r="D107" s="58">
        <f>IF(TYPE($A107)=1,"",('NO USAR2'!$M105-D$1)/D$2)</f>
        <v>-0.6427337822</v>
      </c>
      <c r="E107" s="58">
        <f>IF(TYPE($A107)=1,"",('NO USAR2'!$N105-E$1)/E$2)</f>
        <v>1.186122641</v>
      </c>
      <c r="F107" s="58">
        <f>IF(TYPE($A107)=1,"",('NO USAR2'!$O105-F$1)/F$2)</f>
        <v>0.3138704957</v>
      </c>
      <c r="G107" s="58">
        <f>IF(TYPE($A107)=1,"",('NO USAR2'!$P105-G$1)/G$2)</f>
        <v>-0.6124445335</v>
      </c>
      <c r="H107" s="58">
        <f>IF(TYPE($A107)=1,"",('NO USAR2'!$H105-H$1)/H$2*I107/$I$1)</f>
        <v>-1.090318868</v>
      </c>
      <c r="I107" s="58">
        <f>IF(TYPE($A107)=1,"",IF('NO USAR2'!H105=0,0,'NO USAR2'!G105/'NO USAR2'!H105))</f>
        <v>14.2</v>
      </c>
      <c r="J107" s="59">
        <f>IF(TYPE($A107)=1,"",('NO USAR2'!$J105-J$1)/J$2*K107/$K$1)</f>
        <v>-1.014987064</v>
      </c>
      <c r="K107" s="60">
        <f>IF(TYPE($A107)=1,"",IF('NO USAR2'!J105=0,0,'NO USAR2'!I105/'NO USAR2'!J105))</f>
        <v>3.3</v>
      </c>
      <c r="L107" s="58">
        <f>IF(TYPE($A107)=1,"",-('NO USAR2'!$Q105-L$1)/L$2)</f>
        <v>-1.301422696</v>
      </c>
      <c r="N107" s="63">
        <v>87.0</v>
      </c>
      <c r="O107" s="68" t="str">
        <f>IF('NO USAR2'!B100="",ROW('NO USAR2'!B100),'NO USAR2'!B100)</f>
        <v>Jusuf Nurkic</v>
      </c>
      <c r="P107" s="68">
        <f>'NO USAR2'!E88</f>
        <v>70</v>
      </c>
      <c r="Q107" s="68" t="str">
        <f>IF('NO USAR2'!C100="",ROW('NO USAR2'!N115),'NO USAR2'!C100)</f>
        <v>C</v>
      </c>
      <c r="R107" s="65">
        <f>VLOOKUP($O107,'NO USAR1'!$A$4:$L$399,2,False)+VLOOKUP($O107,'NO USAR1'!$A$4:$L$399,3,False)+VLOOKUP($O107,'NO USAR1'!$A$4:$L$399,4,False)+VLOOKUP($O107,'NO USAR1'!$A$4:$L$399,5,False)+VLOOKUP($O107,'NO USAR1'!$A$4:$L$399,6,False)+VLOOKUP($O107,'NO USAR1'!$A$4:$L$399,7,False)+VLOOKUP($O107,'NO USAR1'!$A$4:$L$399,8,False)+VLOOKUP($O107,'NO USAR1'!$A$4:$L$399,10,False)+VLOOKUP($O107,'NO USAR1'!$A$4:$L$399,12,False)*0</f>
        <v>-1.406701532</v>
      </c>
      <c r="S107" s="65">
        <f>VLOOKUP($O107,'NO USAR1'!$A$4:$L$399,2,False)*$U$19+VLOOKUP($O107,'NO USAR1'!$A$4:$L$399,3,False)*$V$19+VLOOKUP($O107,'NO USAR1'!$A$4:$L$399,4,False)*$W$19+VLOOKUP($O107,'NO USAR1'!$A$4:$L$399,5,False)*$X$19+VLOOKUP($O107,'NO USAR1'!$A$4:$L$399,6,False)*$Y$19+VLOOKUP($O107,'NO USAR1'!$A$4:$L$399,7,False)*$Z$19+VLOOKUP($O107,'NO USAR1'!$A$4:$L$399,8,False)*$AA$19+VLOOKUP($O107,'NO USAR1'!$A$4:$L$399,10,False)*$AB$19+VLOOKUP($O107,'NO USAR1'!$A$4:$L$399,12,False)*$AC$19+IF(Projections!$K$3,-AN107, IF(Projections!$J$3,-AM107,0))</f>
        <v>-1.335836909</v>
      </c>
      <c r="T107" s="65">
        <f t="shared" si="1"/>
        <v>0.07086462238</v>
      </c>
      <c r="U107" s="65">
        <f>VLOOKUP($O107,'NO USAR2'!$B$2:$R$397,11,False)</f>
        <v>13.8</v>
      </c>
      <c r="V107" s="69">
        <f>VLOOKUP($O107,'NO USAR2'!$B$2:$R$397,10,False)</f>
        <v>0.3</v>
      </c>
      <c r="W107" s="65">
        <f>VLOOKUP($O107,'NO USAR2'!$B$2:$R$397,12,False)</f>
        <v>10.9</v>
      </c>
      <c r="X107" s="65">
        <f>VLOOKUP($O107,'NO USAR2'!$B$2:$R$397,13,False)</f>
        <v>2.6</v>
      </c>
      <c r="Y107" s="65">
        <f>VLOOKUP($O107,'NO USAR2'!$B$2:$R$397,14,False)</f>
        <v>1.1</v>
      </c>
      <c r="Z107" s="70">
        <f>VLOOKUP($O107,'NO USAR2'!$B$2:$R$397,15,False)</f>
        <v>0.8</v>
      </c>
      <c r="AA107" s="65">
        <f>100*VLOOKUP($O107,'NO USAR2'!$B$2:$R$397,7,False)</f>
        <v>51.48514851</v>
      </c>
      <c r="AB107" s="65">
        <f>100*VLOOKUP($O107,'NO USAR2'!$B$2:$R$397,9,False)</f>
        <v>66.66666667</v>
      </c>
      <c r="AC107" s="65">
        <f>VLOOKUP($O107,'NO USAR2'!$B$2:$Q$397,16,False)</f>
        <v>2.7</v>
      </c>
      <c r="AD107" s="65">
        <f>VLOOKUP($O107,'NO USAR1'!$A$4:$L$399,2,False)*$U$19</f>
        <v>-0.8396014965</v>
      </c>
      <c r="AE107" s="65">
        <f>VLOOKUP($O107,'NO USAR1'!$A$4:$L$399,3,False)*$V$19</f>
        <v>-1.313364454</v>
      </c>
      <c r="AF107" s="65">
        <f>VLOOKUP($O107,'NO USAR1'!$A$4:$L$399,4,False)*$W$19</f>
        <v>1.969844797</v>
      </c>
      <c r="AG107" s="65">
        <f>VLOOKUP($O107,'NO USAR1'!$A$4:$L$399,5,False)*$X$19</f>
        <v>-0.6289115786</v>
      </c>
      <c r="AH107" s="65">
        <f>VLOOKUP($O107,'NO USAR1'!$A$4:$L$399,6,False)*$Y$19</f>
        <v>0.3923381197</v>
      </c>
      <c r="AI107" s="65">
        <f>VLOOKUP($O107,'NO USAR1'!$A$4:$L$399,7,False)*$Z$19</f>
        <v>0</v>
      </c>
      <c r="AJ107" s="65">
        <f>VLOOKUP($O107,'NO USAR1'!$A$4:$L$399,8,False)*$AA$19</f>
        <v>0</v>
      </c>
      <c r="AK107" s="70">
        <f>VLOOKUP($O107,'NO USAR1'!$A$4:$L$399,10,False)*$AB$19</f>
        <v>-0.9161422975</v>
      </c>
      <c r="AL107" s="65">
        <f>VLOOKUP($O107,'NO USAR1'!$A$4:$L$399,12,False)*$AC$19</f>
        <v>0</v>
      </c>
      <c r="AM107" s="71">
        <f t="shared" si="2"/>
        <v>-1.313364454</v>
      </c>
      <c r="AN107" s="71">
        <f t="shared" si="3"/>
        <v>-2.229506751</v>
      </c>
    </row>
    <row r="108">
      <c r="A108" t="str">
        <f>IF('NO USAR2'!B106="",ROW('NO USAR2'!B106),'NO USAR2'!B106)</f>
        <v>Jarred Vanderbilt</v>
      </c>
      <c r="B108" s="58">
        <f>IF(TYPE($A108)=1,"",('NO USAR2'!$L106-B$1)/B$2)</f>
        <v>-1.429598177</v>
      </c>
      <c r="C108" s="58">
        <f>IF(TYPE($A108)=1,"",('NO USAR2'!$K106-C$1)/C$2)</f>
        <v>-1.613351122</v>
      </c>
      <c r="D108" s="58">
        <f>IF(TYPE($A108)=1,"",('NO USAR2'!$M106-D$1)/D$2)</f>
        <v>1.357521693</v>
      </c>
      <c r="E108" s="58">
        <f>IF(TYPE($A108)=1,"",('NO USAR2'!$N106-E$1)/E$2)</f>
        <v>-1.005339288</v>
      </c>
      <c r="F108" s="58">
        <f>IF(TYPE($A108)=1,"",('NO USAR2'!$O106-F$1)/F$2)</f>
        <v>0.96795027</v>
      </c>
      <c r="G108" s="58">
        <f>IF(TYPE($A108)=1,"",('NO USAR2'!$P106-G$1)/G$2)</f>
        <v>0.005529973215</v>
      </c>
      <c r="H108" s="58">
        <f>IF(TYPE($A108)=1,"",('NO USAR2'!$H106-H$1)/H$2*I108/$I$1)</f>
        <v>0.6668506163</v>
      </c>
      <c r="I108" s="58">
        <f>IF(TYPE($A108)=1,"",IF('NO USAR2'!H106=0,0,'NO USAR2'!G106/'NO USAR2'!H106))</f>
        <v>6.6</v>
      </c>
      <c r="J108" s="59">
        <f>IF(TYPE($A108)=1,"",('NO USAR2'!$J106-J$1)/J$2*K108/$K$1)</f>
        <v>-0.9239114773</v>
      </c>
      <c r="K108" s="60">
        <f>IF(TYPE($A108)=1,"",IF('NO USAR2'!J106=0,0,'NO USAR2'!I106/'NO USAR2'!J106))</f>
        <v>2</v>
      </c>
      <c r="L108" s="58">
        <f>IF(TYPE($A108)=1,"",-('NO USAR2'!$Q106-L$1)/L$2)</f>
        <v>1.016250392</v>
      </c>
      <c r="N108" s="63">
        <v>88.0</v>
      </c>
      <c r="O108" s="68" t="str">
        <f>IF('NO USAR2'!B96="",ROW('NO USAR2'!B96),'NO USAR2'!B96)</f>
        <v>Paolo Banchero</v>
      </c>
      <c r="P108" s="68">
        <f>'NO USAR2'!E89</f>
        <v>80</v>
      </c>
      <c r="Q108" s="68" t="str">
        <f>IF('NO USAR2'!C96="",ROW('NO USAR2'!N111),'NO USAR2'!C96)</f>
        <v>PF</v>
      </c>
      <c r="R108" s="65">
        <f>VLOOKUP($O108,'NO USAR1'!$A$4:$L$399,2,False)+VLOOKUP($O108,'NO USAR1'!$A$4:$L$399,3,False)+VLOOKUP($O108,'NO USAR1'!$A$4:$L$399,4,False)+VLOOKUP($O108,'NO USAR1'!$A$4:$L$399,5,False)+VLOOKUP($O108,'NO USAR1'!$A$4:$L$399,6,False)+VLOOKUP($O108,'NO USAR1'!$A$4:$L$399,7,False)+VLOOKUP($O108,'NO USAR1'!$A$4:$L$399,8,False)+VLOOKUP($O108,'NO USAR1'!$A$4:$L$399,10,False)+VLOOKUP($O108,'NO USAR1'!$A$4:$L$399,12,False)*0</f>
        <v>-1.466316636</v>
      </c>
      <c r="S108" s="65">
        <f>VLOOKUP($O108,'NO USAR1'!$A$4:$L$399,2,False)*$U$19+VLOOKUP($O108,'NO USAR1'!$A$4:$L$399,3,False)*$V$19+VLOOKUP($O108,'NO USAR1'!$A$4:$L$399,4,False)*$W$19+VLOOKUP($O108,'NO USAR1'!$A$4:$L$399,5,False)*$X$19+VLOOKUP($O108,'NO USAR1'!$A$4:$L$399,6,False)*$Y$19+VLOOKUP($O108,'NO USAR1'!$A$4:$L$399,7,False)*$Z$19+VLOOKUP($O108,'NO USAR1'!$A$4:$L$399,8,False)*$AA$19+VLOOKUP($O108,'NO USAR1'!$A$4:$L$399,10,False)*$AB$19+VLOOKUP($O108,'NO USAR1'!$A$4:$L$399,12,False)*$AC$19+IF(Projections!$K$3,-AN108, IF(Projections!$J$3,-AM108,0))</f>
        <v>-1.202421206</v>
      </c>
      <c r="T108" s="65">
        <f t="shared" si="1"/>
        <v>0.2638954302</v>
      </c>
      <c r="U108" s="65">
        <f>VLOOKUP($O108,'NO USAR2'!$B$2:$R$397,11,False)</f>
        <v>17.9</v>
      </c>
      <c r="V108" s="69">
        <f>VLOOKUP($O108,'NO USAR2'!$B$2:$R$397,10,False)</f>
        <v>1.1</v>
      </c>
      <c r="W108" s="65">
        <f>VLOOKUP($O108,'NO USAR2'!$B$2:$R$397,12,False)</f>
        <v>7.7</v>
      </c>
      <c r="X108" s="65">
        <f>VLOOKUP($O108,'NO USAR2'!$B$2:$R$397,13,False)</f>
        <v>3.2</v>
      </c>
      <c r="Y108" s="65">
        <f>VLOOKUP($O108,'NO USAR2'!$B$2:$R$397,14,False)</f>
        <v>0.8</v>
      </c>
      <c r="Z108" s="70">
        <f>VLOOKUP($O108,'NO USAR2'!$B$2:$R$397,15,False)</f>
        <v>0.9</v>
      </c>
      <c r="AA108" s="65">
        <f>100*VLOOKUP($O108,'NO USAR2'!$B$2:$R$397,7,False)</f>
        <v>46.80851064</v>
      </c>
      <c r="AB108" s="65">
        <f>100*VLOOKUP($O108,'NO USAR2'!$B$2:$R$397,9,False)</f>
        <v>72.91666667</v>
      </c>
      <c r="AC108" s="65">
        <f>VLOOKUP($O108,'NO USAR2'!$B$2:$Q$397,16,False)</f>
        <v>2.4</v>
      </c>
      <c r="AD108" s="65">
        <f>VLOOKUP($O108,'NO USAR1'!$A$4:$L$399,2,False)*$U$19</f>
        <v>0.2521663924</v>
      </c>
      <c r="AE108" s="65">
        <f>VLOOKUP($O108,'NO USAR1'!$A$4:$L$399,3,False)*$V$19</f>
        <v>-0.5134000036</v>
      </c>
      <c r="AF108" s="65">
        <f>VLOOKUP($O108,'NO USAR1'!$A$4:$L$399,4,False)*$W$19</f>
        <v>0.6635555075</v>
      </c>
      <c r="AG108" s="65">
        <f>VLOOKUP($O108,'NO USAR1'!$A$4:$L$399,5,False)*$X$19</f>
        <v>-0.2864956521</v>
      </c>
      <c r="AH108" s="65">
        <f>VLOOKUP($O108,'NO USAR1'!$A$4:$L$399,6,False)*$Y$19</f>
        <v>-0.8340614572</v>
      </c>
      <c r="AI108" s="65">
        <f>VLOOKUP($O108,'NO USAR1'!$A$4:$L$399,7,False)*$Z$19</f>
        <v>0</v>
      </c>
      <c r="AJ108" s="65">
        <f>VLOOKUP($O108,'NO USAR1'!$A$4:$L$399,8,False)*$AA$19</f>
        <v>0</v>
      </c>
      <c r="AK108" s="70">
        <f>VLOOKUP($O108,'NO USAR1'!$A$4:$L$399,10,False)*$AB$19</f>
        <v>-0.4841859928</v>
      </c>
      <c r="AL108" s="65">
        <f>VLOOKUP($O108,'NO USAR1'!$A$4:$L$399,12,False)*$AC$19</f>
        <v>0</v>
      </c>
      <c r="AM108" s="71">
        <f t="shared" si="2"/>
        <v>-0.8340614572</v>
      </c>
      <c r="AN108" s="71">
        <f t="shared" si="3"/>
        <v>-1.347461461</v>
      </c>
    </row>
    <row r="109">
      <c r="A109" t="str">
        <f>IF('NO USAR2'!B107="",ROW('NO USAR2'!B107),'NO USAR2'!B107)</f>
        <v>Clint Capela</v>
      </c>
      <c r="B109" s="58">
        <f>IF(TYPE($A109)=1,"",('NO USAR2'!$L107-B$1)/B$2)</f>
        <v>-1.056799386</v>
      </c>
      <c r="C109" s="58">
        <f>IF(TYPE($A109)=1,"",('NO USAR2'!$K107-C$1)/C$2)</f>
        <v>-1.613351122</v>
      </c>
      <c r="D109" s="58">
        <f>IF(TYPE($A109)=1,"",('NO USAR2'!$M107-D$1)/D$2)</f>
        <v>2.33723866</v>
      </c>
      <c r="E109" s="58">
        <f>IF(TYPE($A109)=1,"",('NO USAR2'!$N107-E$1)/E$2)</f>
        <v>-1.142305659</v>
      </c>
      <c r="F109" s="58">
        <f>IF(TYPE($A109)=1,"",('NO USAR2'!$O107-F$1)/F$2)</f>
        <v>-0.9942890529</v>
      </c>
      <c r="G109" s="58">
        <f>IF(TYPE($A109)=1,"",('NO USAR2'!$P107-G$1)/G$2)</f>
        <v>1.241478987</v>
      </c>
      <c r="H109" s="58">
        <f>IF(TYPE($A109)=1,"",('NO USAR2'!$H107-H$1)/H$2*I109/$I$1)</f>
        <v>1.208771706</v>
      </c>
      <c r="I109" s="58">
        <f>IF(TYPE($A109)=1,"",IF('NO USAR2'!H107=0,0,'NO USAR2'!G107/'NO USAR2'!H107))</f>
        <v>8.1</v>
      </c>
      <c r="J109" s="59">
        <f>IF(TYPE($A109)=1,"",('NO USAR2'!$J107-J$1)/J$2*K109/$K$1)</f>
        <v>-2.360817005</v>
      </c>
      <c r="K109" s="60">
        <f>IF(TYPE($A109)=1,"",IF('NO USAR2'!J107=0,0,'NO USAR2'!I107/'NO USAR2'!J107))</f>
        <v>2.3</v>
      </c>
      <c r="L109" s="58">
        <f>IF(TYPE($A109)=1,"",-('NO USAR2'!$Q107-L$1)/L$2)</f>
        <v>1.568077318</v>
      </c>
      <c r="N109" s="2">
        <v>89.0</v>
      </c>
      <c r="O109" s="68" t="str">
        <f>IF('NO USAR2'!B82="",ROW('NO USAR2'!B82),'NO USAR2'!B82)</f>
        <v>Jalen Brunson</v>
      </c>
      <c r="P109" s="68">
        <f>'NO USAR2'!E90</f>
        <v>80</v>
      </c>
      <c r="Q109" s="68" t="str">
        <f>IF('NO USAR2'!C82="",ROW('NO USAR2'!N97),'NO USAR2'!C82)</f>
        <v>PG/SG</v>
      </c>
      <c r="R109" s="65">
        <f>VLOOKUP($O109,'NO USAR1'!$A$4:$L$399,2,False)+VLOOKUP($O109,'NO USAR1'!$A$4:$L$399,3,False)+VLOOKUP($O109,'NO USAR1'!$A$4:$L$399,4,False)+VLOOKUP($O109,'NO USAR1'!$A$4:$L$399,5,False)+VLOOKUP($O109,'NO USAR1'!$A$4:$L$399,6,False)+VLOOKUP($O109,'NO USAR1'!$A$4:$L$399,7,False)+VLOOKUP($O109,'NO USAR1'!$A$4:$L$399,8,False)+VLOOKUP($O109,'NO USAR1'!$A$4:$L$399,10,False)+VLOOKUP($O109,'NO USAR1'!$A$4:$L$399,12,False)*0</f>
        <v>-1.501927304</v>
      </c>
      <c r="S109" s="65">
        <f>VLOOKUP($O109,'NO USAR1'!$A$4:$L$399,2,False)*$U$19+VLOOKUP($O109,'NO USAR1'!$A$4:$L$399,3,False)*$V$19+VLOOKUP($O109,'NO USAR1'!$A$4:$L$399,4,False)*$W$19+VLOOKUP($O109,'NO USAR1'!$A$4:$L$399,5,False)*$X$19+VLOOKUP($O109,'NO USAR1'!$A$4:$L$399,6,False)*$Y$19+VLOOKUP($O109,'NO USAR1'!$A$4:$L$399,7,False)*$Z$19+VLOOKUP($O109,'NO USAR1'!$A$4:$L$399,8,False)*$AA$19+VLOOKUP($O109,'NO USAR1'!$A$4:$L$399,10,False)*$AB$19+VLOOKUP($O109,'NO USAR1'!$A$4:$L$399,12,False)*$AC$19+IF(Projections!$K$3,-AN109, IF(Projections!$J$3,-AM109,0))</f>
        <v>0.2312339778</v>
      </c>
      <c r="T109" s="65">
        <f t="shared" si="1"/>
        <v>1.733161282</v>
      </c>
      <c r="U109" s="65">
        <f>VLOOKUP($O109,'NO USAR2'!$B$2:$R$397,11,False)</f>
        <v>17.6</v>
      </c>
      <c r="V109" s="69">
        <f>VLOOKUP($O109,'NO USAR2'!$B$2:$R$397,10,False)</f>
        <v>1.3</v>
      </c>
      <c r="W109" s="65">
        <f>VLOOKUP($O109,'NO USAR2'!$B$2:$R$397,12,False)</f>
        <v>3.6</v>
      </c>
      <c r="X109" s="65">
        <f>VLOOKUP($O109,'NO USAR2'!$B$2:$R$397,13,False)</f>
        <v>6.5</v>
      </c>
      <c r="Y109" s="65">
        <f>VLOOKUP($O109,'NO USAR2'!$B$2:$R$397,14,False)</f>
        <v>0.9</v>
      </c>
      <c r="Z109" s="70">
        <f>VLOOKUP($O109,'NO USAR2'!$B$2:$R$397,15,False)</f>
        <v>0</v>
      </c>
      <c r="AA109" s="65">
        <f>100*VLOOKUP($O109,'NO USAR2'!$B$2:$R$397,7,False)</f>
        <v>47.5862069</v>
      </c>
      <c r="AB109" s="65">
        <f>100*VLOOKUP($O109,'NO USAR2'!$B$2:$R$397,9,False)</f>
        <v>83.33333333</v>
      </c>
      <c r="AC109" s="65">
        <f>VLOOKUP($O109,'NO USAR2'!$B$2:$Q$397,16,False)</f>
        <v>1.7</v>
      </c>
      <c r="AD109" s="65">
        <f>VLOOKUP($O109,'NO USAR1'!$A$4:$L$399,2,False)*$U$19</f>
        <v>0.1722809371</v>
      </c>
      <c r="AE109" s="65">
        <f>VLOOKUP($O109,'NO USAR1'!$A$4:$L$399,3,False)*$V$19</f>
        <v>-0.3134088911</v>
      </c>
      <c r="AF109" s="65">
        <f>VLOOKUP($O109,'NO USAR1'!$A$4:$L$399,4,False)*$W$19</f>
        <v>-1.010127645</v>
      </c>
      <c r="AG109" s="65">
        <f>VLOOKUP($O109,'NO USAR1'!$A$4:$L$399,5,False)*$X$19</f>
        <v>1.596791943</v>
      </c>
      <c r="AH109" s="65">
        <f>VLOOKUP($O109,'NO USAR1'!$A$4:$L$399,6,False)*$Y$19</f>
        <v>-0.4252615982</v>
      </c>
      <c r="AI109" s="65">
        <f>VLOOKUP($O109,'NO USAR1'!$A$4:$L$399,7,False)*$Z$19</f>
        <v>0</v>
      </c>
      <c r="AJ109" s="65">
        <f>VLOOKUP($O109,'NO USAR1'!$A$4:$L$399,8,False)*$AA$19</f>
        <v>0</v>
      </c>
      <c r="AK109" s="70">
        <f>VLOOKUP($O109,'NO USAR1'!$A$4:$L$399,10,False)*$AB$19</f>
        <v>0.2109592314</v>
      </c>
      <c r="AL109" s="65">
        <f>VLOOKUP($O109,'NO USAR1'!$A$4:$L$399,12,False)*$AC$19</f>
        <v>0</v>
      </c>
      <c r="AM109" s="71">
        <f t="shared" si="2"/>
        <v>-1.010127645</v>
      </c>
      <c r="AN109" s="71">
        <f t="shared" si="3"/>
        <v>-1.435389243</v>
      </c>
    </row>
    <row r="110">
      <c r="A110" t="str">
        <f>IF('NO USAR2'!B108="",ROW('NO USAR2'!B108),'NO USAR2'!B108)</f>
        <v>Herbert Jones</v>
      </c>
      <c r="B110" s="58">
        <f>IF(TYPE($A110)=1,"",('NO USAR2'!$L108-B$1)/B$2)</f>
        <v>-1.28757959</v>
      </c>
      <c r="C110" s="58">
        <f>IF(TYPE($A110)=1,"",('NO USAR2'!$K108-C$1)/C$2)</f>
        <v>-0.9133822286</v>
      </c>
      <c r="D110" s="58">
        <f>IF(TYPE($A110)=1,"",('NO USAR2'!$M108-D$1)/D$2)</f>
        <v>-0.8876630241</v>
      </c>
      <c r="E110" s="58">
        <f>IF(TYPE($A110)=1,"",('NO USAR2'!$N108-E$1)/E$2)</f>
        <v>-0.7770620041</v>
      </c>
      <c r="F110" s="58">
        <f>IF(TYPE($A110)=1,"",('NO USAR2'!$O108-F$1)/F$2)</f>
        <v>1.622030044</v>
      </c>
      <c r="G110" s="58">
        <f>IF(TYPE($A110)=1,"",('NO USAR2'!$P108-G$1)/G$2)</f>
        <v>0.005529973215</v>
      </c>
      <c r="H110" s="58">
        <f>IF(TYPE($A110)=1,"",('NO USAR2'!$H108-H$1)/H$2*I110/$I$1)</f>
        <v>-0.1324106686</v>
      </c>
      <c r="I110" s="58">
        <f>IF(TYPE($A110)=1,"",IF('NO USAR2'!H108=0,0,'NO USAR2'!G108/'NO USAR2'!H108))</f>
        <v>7.6</v>
      </c>
      <c r="J110" s="59">
        <f>IF(TYPE($A110)=1,"",('NO USAR2'!$J108-J$1)/J$2*K110/$K$1)</f>
        <v>0.4596870767</v>
      </c>
      <c r="K110" s="60">
        <f>IF(TYPE($A110)=1,"",IF('NO USAR2'!J108=0,0,'NO USAR2'!I108/'NO USAR2'!J108))</f>
        <v>2.1</v>
      </c>
      <c r="L110" s="58">
        <f>IF(TYPE($A110)=1,"",-('NO USAR2'!$Q108-L$1)/L$2)</f>
        <v>0.7955196219</v>
      </c>
      <c r="N110" s="63">
        <v>90.0</v>
      </c>
      <c r="O110" s="68" t="str">
        <f>IF('NO USAR2'!B93="",ROW('NO USAR2'!B93),'NO USAR2'!B93)</f>
        <v>Klay Thompson</v>
      </c>
      <c r="P110" s="68">
        <f>'NO USAR2'!E91</f>
        <v>72</v>
      </c>
      <c r="Q110" s="68" t="str">
        <f>IF('NO USAR2'!C93="",ROW('NO USAR2'!N108),'NO USAR2'!C93)</f>
        <v>SG</v>
      </c>
      <c r="R110" s="65">
        <f>VLOOKUP($O110,'NO USAR1'!$A$4:$L$399,2,False)+VLOOKUP($O110,'NO USAR1'!$A$4:$L$399,3,False)+VLOOKUP($O110,'NO USAR1'!$A$4:$L$399,4,False)+VLOOKUP($O110,'NO USAR1'!$A$4:$L$399,5,False)+VLOOKUP($O110,'NO USAR1'!$A$4:$L$399,6,False)+VLOOKUP($O110,'NO USAR1'!$A$4:$L$399,7,False)+VLOOKUP($O110,'NO USAR1'!$A$4:$L$399,8,False)+VLOOKUP($O110,'NO USAR1'!$A$4:$L$399,10,False)+VLOOKUP($O110,'NO USAR1'!$A$4:$L$399,12,False)*0</f>
        <v>-1.568266357</v>
      </c>
      <c r="S110" s="65">
        <f>VLOOKUP($O110,'NO USAR1'!$A$4:$L$399,2,False)*$U$19+VLOOKUP($O110,'NO USAR1'!$A$4:$L$399,3,False)*$V$19+VLOOKUP($O110,'NO USAR1'!$A$4:$L$399,4,False)*$W$19+VLOOKUP($O110,'NO USAR1'!$A$4:$L$399,5,False)*$X$19+VLOOKUP($O110,'NO USAR1'!$A$4:$L$399,6,False)*$Y$19+VLOOKUP($O110,'NO USAR1'!$A$4:$L$399,7,False)*$Z$19+VLOOKUP($O110,'NO USAR1'!$A$4:$L$399,8,False)*$AA$19+VLOOKUP($O110,'NO USAR1'!$A$4:$L$399,10,False)*$AB$19+VLOOKUP($O110,'NO USAR1'!$A$4:$L$399,12,False)*$AC$19+IF(Projections!$K$3,-AN110, IF(Projections!$J$3,-AM110,0))</f>
        <v>-0.4364507696</v>
      </c>
      <c r="T110" s="65">
        <f t="shared" si="1"/>
        <v>1.131815587</v>
      </c>
      <c r="U110" s="65">
        <f>VLOOKUP($O110,'NO USAR2'!$B$2:$R$397,11,False)</f>
        <v>20.4</v>
      </c>
      <c r="V110" s="69">
        <f>VLOOKUP($O110,'NO USAR2'!$B$2:$R$397,10,False)</f>
        <v>3.5</v>
      </c>
      <c r="W110" s="65">
        <f>VLOOKUP($O110,'NO USAR2'!$B$2:$R$397,12,False)</f>
        <v>3.9</v>
      </c>
      <c r="X110" s="65">
        <f>VLOOKUP($O110,'NO USAR2'!$B$2:$R$397,13,False)</f>
        <v>2.8</v>
      </c>
      <c r="Y110" s="65">
        <f>VLOOKUP($O110,'NO USAR2'!$B$2:$R$397,14,False)</f>
        <v>0.5</v>
      </c>
      <c r="Z110" s="70">
        <f>VLOOKUP($O110,'NO USAR2'!$B$2:$R$397,15,False)</f>
        <v>0.5</v>
      </c>
      <c r="AA110" s="65">
        <f>100*VLOOKUP($O110,'NO USAR2'!$B$2:$R$397,7,False)</f>
        <v>43.33333333</v>
      </c>
      <c r="AB110" s="65">
        <f>100*VLOOKUP($O110,'NO USAR2'!$B$2:$R$397,9,False)</f>
        <v>87.5</v>
      </c>
      <c r="AC110" s="65">
        <f>VLOOKUP($O110,'NO USAR2'!$B$2:$Q$397,16,False)</f>
        <v>1.3</v>
      </c>
      <c r="AD110" s="65">
        <f>VLOOKUP($O110,'NO USAR1'!$A$4:$L$399,2,False)*$U$19</f>
        <v>0.9178785198</v>
      </c>
      <c r="AE110" s="65">
        <f>VLOOKUP($O110,'NO USAR1'!$A$4:$L$399,3,False)*$V$19</f>
        <v>1.886493347</v>
      </c>
      <c r="AF110" s="65">
        <f>VLOOKUP($O110,'NO USAR1'!$A$4:$L$399,4,False)*$W$19</f>
        <v>-0.8876630241</v>
      </c>
      <c r="AG110" s="65">
        <f>VLOOKUP($O110,'NO USAR1'!$A$4:$L$399,5,False)*$X$19</f>
        <v>-0.5147729365</v>
      </c>
      <c r="AH110" s="65">
        <f>VLOOKUP($O110,'NO USAR1'!$A$4:$L$399,6,False)*$Y$19</f>
        <v>-2.060461034</v>
      </c>
      <c r="AI110" s="65">
        <f>VLOOKUP($O110,'NO USAR1'!$A$4:$L$399,7,False)*$Z$19</f>
        <v>0</v>
      </c>
      <c r="AJ110" s="65">
        <f>VLOOKUP($O110,'NO USAR1'!$A$4:$L$399,8,False)*$AA$19</f>
        <v>0</v>
      </c>
      <c r="AK110" s="70">
        <f>VLOOKUP($O110,'NO USAR1'!$A$4:$L$399,10,False)*$AB$19</f>
        <v>0.2220743585</v>
      </c>
      <c r="AL110" s="65">
        <f>VLOOKUP($O110,'NO USAR1'!$A$4:$L$399,12,False)*$AC$19</f>
        <v>0</v>
      </c>
      <c r="AM110" s="71">
        <f t="shared" si="2"/>
        <v>-2.060461034</v>
      </c>
      <c r="AN110" s="71">
        <f t="shared" si="3"/>
        <v>-2.948124058</v>
      </c>
    </row>
    <row r="111">
      <c r="A111" t="str">
        <f>IF('NO USAR2'!B109="",ROW('NO USAR2'!B109),'NO USAR2'!B109)</f>
        <v>Bobby Portis</v>
      </c>
      <c r="B111" s="58">
        <f>IF(TYPE($A111)=1,"",('NO USAR2'!$L109-B$1)/B$2)</f>
        <v>-0.559734331</v>
      </c>
      <c r="C111" s="58">
        <f>IF(TYPE($A111)=1,"",('NO USAR2'!$K109-C$1)/C$2)</f>
        <v>0.1865688902</v>
      </c>
      <c r="D111" s="58">
        <f>IF(TYPE($A111)=1,"",('NO USAR2'!$M109-D$1)/D$2)</f>
        <v>1.03094937</v>
      </c>
      <c r="E111" s="58">
        <f>IF(TYPE($A111)=1,"",('NO USAR2'!$N109-E$1)/E$2)</f>
        <v>-1.187961116</v>
      </c>
      <c r="F111" s="58">
        <f>IF(TYPE($A111)=1,"",('NO USAR2'!$O109-F$1)/F$2)</f>
        <v>-0.9942890529</v>
      </c>
      <c r="G111" s="58">
        <f>IF(TYPE($A111)=1,"",('NO USAR2'!$P109-G$1)/G$2)</f>
        <v>0.005529973215</v>
      </c>
      <c r="H111" s="58">
        <f>IF(TYPE($A111)=1,"",('NO USAR2'!$H109-H$1)/H$2*I111/$I$1)</f>
        <v>-0.08256180177</v>
      </c>
      <c r="I111" s="58">
        <f>IF(TYPE($A111)=1,"",IF('NO USAR2'!H109=0,0,'NO USAR2'!G109/'NO USAR2'!H109))</f>
        <v>11.4</v>
      </c>
      <c r="J111" s="59">
        <f>IF(TYPE($A111)=1,"",('NO USAR2'!$J109-J$1)/J$2*K111/$K$1)</f>
        <v>-0.2820732264</v>
      </c>
      <c r="K111" s="60">
        <f>IF(TYPE($A111)=1,"",IF('NO USAR2'!J109=0,0,'NO USAR2'!I109/'NO USAR2'!J109))</f>
        <v>1.5</v>
      </c>
      <c r="L111" s="58">
        <f>IF(TYPE($A111)=1,"",-('NO USAR2'!$Q109-L$1)/L$2)</f>
        <v>0.905885007</v>
      </c>
      <c r="N111" s="63">
        <v>91.0</v>
      </c>
      <c r="O111" s="68" t="str">
        <f>IF('NO USAR2'!B110="",ROW('NO USAR2'!B110),'NO USAR2'!B110)</f>
        <v>Buddy Hield</v>
      </c>
      <c r="P111" s="68">
        <f>'NO USAR2'!E92</f>
        <v>70</v>
      </c>
      <c r="Q111" s="68" t="str">
        <f>IF('NO USAR2'!C110="",ROW('NO USAR2'!N125),'NO USAR2'!C110)</f>
        <v>SG/SF</v>
      </c>
      <c r="R111" s="65">
        <f>VLOOKUP($O111,'NO USAR1'!$A$4:$L$399,2,False)+VLOOKUP($O111,'NO USAR1'!$A$4:$L$399,3,False)+VLOOKUP($O111,'NO USAR1'!$A$4:$L$399,4,False)+VLOOKUP($O111,'NO USAR1'!$A$4:$L$399,5,False)+VLOOKUP($O111,'NO USAR1'!$A$4:$L$399,6,False)+VLOOKUP($O111,'NO USAR1'!$A$4:$L$399,7,False)+VLOOKUP($O111,'NO USAR1'!$A$4:$L$399,8,False)+VLOOKUP($O111,'NO USAR1'!$A$4:$L$399,10,False)+VLOOKUP($O111,'NO USAR1'!$A$4:$L$399,12,False)*0</f>
        <v>-1.569686361</v>
      </c>
      <c r="S111" s="65">
        <f>VLOOKUP($O111,'NO USAR1'!$A$4:$L$399,2,False)*$U$19+VLOOKUP($O111,'NO USAR1'!$A$4:$L$399,3,False)*$V$19+VLOOKUP($O111,'NO USAR1'!$A$4:$L$399,4,False)*$W$19+VLOOKUP($O111,'NO USAR1'!$A$4:$L$399,5,False)*$X$19+VLOOKUP($O111,'NO USAR1'!$A$4:$L$399,6,False)*$Y$19+VLOOKUP($O111,'NO USAR1'!$A$4:$L$399,7,False)*$Z$19+VLOOKUP($O111,'NO USAR1'!$A$4:$L$399,8,False)*$AA$19+VLOOKUP($O111,'NO USAR1'!$A$4:$L$399,10,False)*$AB$19+VLOOKUP($O111,'NO USAR1'!$A$4:$L$399,12,False)*$AC$19+IF(Projections!$K$3,-AN111, IF(Projections!$J$3,-AM111,0))</f>
        <v>-0.1628621558</v>
      </c>
      <c r="T111" s="65">
        <f t="shared" si="1"/>
        <v>1.406824205</v>
      </c>
      <c r="U111" s="65">
        <f>VLOOKUP($O111,'NO USAR2'!$B$2:$R$397,11,False)</f>
        <v>15.8</v>
      </c>
      <c r="V111" s="69">
        <f>VLOOKUP($O111,'NO USAR2'!$B$2:$R$397,10,False)</f>
        <v>3.2</v>
      </c>
      <c r="W111" s="65">
        <f>VLOOKUP($O111,'NO USAR2'!$B$2:$R$397,12,False)</f>
        <v>4.3</v>
      </c>
      <c r="X111" s="65">
        <f>VLOOKUP($O111,'NO USAR2'!$B$2:$R$397,13,False)</f>
        <v>2.8</v>
      </c>
      <c r="Y111" s="65">
        <f>VLOOKUP($O111,'NO USAR2'!$B$2:$R$397,14,False)</f>
        <v>0.9</v>
      </c>
      <c r="Z111" s="70">
        <f>VLOOKUP($O111,'NO USAR2'!$B$2:$R$397,15,False)</f>
        <v>0.3</v>
      </c>
      <c r="AA111" s="65">
        <f>100*VLOOKUP($O111,'NO USAR2'!$B$2:$R$397,7,False)</f>
        <v>41.79104478</v>
      </c>
      <c r="AB111" s="65">
        <f>100*VLOOKUP($O111,'NO USAR2'!$B$2:$R$397,9,False)</f>
        <v>87.5</v>
      </c>
      <c r="AC111" s="65">
        <f>VLOOKUP($O111,'NO USAR2'!$B$2:$Q$397,16,False)</f>
        <v>1.9</v>
      </c>
      <c r="AD111" s="65">
        <f>VLOOKUP($O111,'NO USAR1'!$A$4:$L$399,2,False)*$U$19</f>
        <v>-0.3070317946</v>
      </c>
      <c r="AE111" s="65">
        <f>VLOOKUP($O111,'NO USAR1'!$A$4:$L$399,3,False)*$V$19</f>
        <v>1.586506678</v>
      </c>
      <c r="AF111" s="65">
        <f>VLOOKUP($O111,'NO USAR1'!$A$4:$L$399,4,False)*$W$19</f>
        <v>-0.7243768628</v>
      </c>
      <c r="AG111" s="65">
        <f>VLOOKUP($O111,'NO USAR1'!$A$4:$L$399,5,False)*$X$19</f>
        <v>-0.5147729365</v>
      </c>
      <c r="AH111" s="65">
        <f>VLOOKUP($O111,'NO USAR1'!$A$4:$L$399,6,False)*$Y$19</f>
        <v>-0.4252615982</v>
      </c>
      <c r="AI111" s="65">
        <f>VLOOKUP($O111,'NO USAR1'!$A$4:$L$399,7,False)*$Z$19</f>
        <v>0</v>
      </c>
      <c r="AJ111" s="65">
        <f>VLOOKUP($O111,'NO USAR1'!$A$4:$L$399,8,False)*$AA$19</f>
        <v>0</v>
      </c>
      <c r="AK111" s="70">
        <f>VLOOKUP($O111,'NO USAR1'!$A$4:$L$399,10,False)*$AB$19</f>
        <v>0.2220743585</v>
      </c>
      <c r="AL111" s="65">
        <f>VLOOKUP($O111,'NO USAR1'!$A$4:$L$399,12,False)*$AC$19</f>
        <v>0</v>
      </c>
      <c r="AM111" s="71">
        <f t="shared" si="2"/>
        <v>-0.7243768628</v>
      </c>
      <c r="AN111" s="71">
        <f t="shared" si="3"/>
        <v>-1.239149799</v>
      </c>
    </row>
    <row r="112">
      <c r="A112" t="str">
        <f>IF('NO USAR2'!B110="",ROW('NO USAR2'!B110),'NO USAR2'!B110)</f>
        <v>Buddy Hield</v>
      </c>
      <c r="B112" s="58">
        <f>IF(TYPE($A112)=1,"",('NO USAR2'!$L110-B$1)/B$2)</f>
        <v>-0.2046878631</v>
      </c>
      <c r="C112" s="58">
        <f>IF(TYPE($A112)=1,"",('NO USAR2'!$K110-C$1)/C$2)</f>
        <v>1.586506678</v>
      </c>
      <c r="D112" s="58">
        <f>IF(TYPE($A112)=1,"",('NO USAR2'!$M110-D$1)/D$2)</f>
        <v>-0.7243768628</v>
      </c>
      <c r="E112" s="58">
        <f>IF(TYPE($A112)=1,"",('NO USAR2'!$N110-E$1)/E$2)</f>
        <v>-0.4118183492</v>
      </c>
      <c r="F112" s="58">
        <f>IF(TYPE($A112)=1,"",('NO USAR2'!$O110-F$1)/F$2)</f>
        <v>-0.3402092786</v>
      </c>
      <c r="G112" s="58">
        <f>IF(TYPE($A112)=1,"",('NO USAR2'!$P110-G$1)/G$2)</f>
        <v>-0.8184360358</v>
      </c>
      <c r="H112" s="58">
        <f>IF(TYPE($A112)=1,"",('NO USAR2'!$H110-H$1)/H$2*I112/$I$1)</f>
        <v>-1.100813366</v>
      </c>
      <c r="I112" s="58">
        <f>IF(TYPE($A112)=1,"",IF('NO USAR2'!H110=0,0,'NO USAR2'!G110/'NO USAR2'!H110))</f>
        <v>13.4</v>
      </c>
      <c r="J112" s="59">
        <f>IF(TYPE($A112)=1,"",('NO USAR2'!$J110-J$1)/J$2*K112/$K$1)</f>
        <v>0.444148717</v>
      </c>
      <c r="K112" s="60">
        <f>IF(TYPE($A112)=1,"",IF('NO USAR2'!J110=0,0,'NO USAR2'!I110/'NO USAR2'!J110))</f>
        <v>1.6</v>
      </c>
      <c r="L112" s="58">
        <f>IF(TYPE($A112)=1,"",-('NO USAR2'!$Q110-L$1)/L$2)</f>
        <v>0.1333273109</v>
      </c>
      <c r="N112" s="2">
        <v>92.0</v>
      </c>
      <c r="O112" s="68" t="str">
        <f>IF('NO USAR2'!B73="",ROW('NO USAR2'!B73),'NO USAR2'!B73)</f>
        <v>Ivica Zubac</v>
      </c>
      <c r="P112" s="68">
        <f>'NO USAR2'!E93</f>
        <v>69</v>
      </c>
      <c r="Q112" s="68" t="str">
        <f>IF('NO USAR2'!C73="",ROW('NO USAR2'!N88),'NO USAR2'!C73)</f>
        <v>C</v>
      </c>
      <c r="R112" s="65">
        <f>VLOOKUP($O112,'NO USAR1'!$A$4:$L$399,2,False)+VLOOKUP($O112,'NO USAR1'!$A$4:$L$399,3,False)+VLOOKUP($O112,'NO USAR1'!$A$4:$L$399,4,False)+VLOOKUP($O112,'NO USAR1'!$A$4:$L$399,5,False)+VLOOKUP($O112,'NO USAR1'!$A$4:$L$399,6,False)+VLOOKUP($O112,'NO USAR1'!$A$4:$L$399,7,False)+VLOOKUP($O112,'NO USAR1'!$A$4:$L$399,8,False)+VLOOKUP($O112,'NO USAR1'!$A$4:$L$399,10,False)+VLOOKUP($O112,'NO USAR1'!$A$4:$L$399,12,False)*0</f>
        <v>-1.618992821</v>
      </c>
      <c r="S112" s="65">
        <f>VLOOKUP($O112,'NO USAR1'!$A$4:$L$399,2,False)*$U$19+VLOOKUP($O112,'NO USAR1'!$A$4:$L$399,3,False)*$V$19+VLOOKUP($O112,'NO USAR1'!$A$4:$L$399,4,False)*$W$19+VLOOKUP($O112,'NO USAR1'!$A$4:$L$399,5,False)*$X$19+VLOOKUP($O112,'NO USAR1'!$A$4:$L$399,6,False)*$Y$19+VLOOKUP($O112,'NO USAR1'!$A$4:$L$399,7,False)*$Z$19+VLOOKUP($O112,'NO USAR1'!$A$4:$L$399,8,False)*$AA$19+VLOOKUP($O112,'NO USAR1'!$A$4:$L$399,10,False)*$AB$19+VLOOKUP($O112,'NO USAR1'!$A$4:$L$399,12,False)*$AC$19+IF(Projections!$K$3,-AN112, IF(Projections!$J$3,-AM112,0))</f>
        <v>-4.598313357</v>
      </c>
      <c r="T112" s="65">
        <f t="shared" si="1"/>
        <v>-2.979320535</v>
      </c>
      <c r="U112" s="65">
        <f>VLOOKUP($O112,'NO USAR2'!$B$2:$R$397,11,False)</f>
        <v>12.2</v>
      </c>
      <c r="V112" s="69">
        <f>VLOOKUP($O112,'NO USAR2'!$B$2:$R$397,10,False)</f>
        <v>0</v>
      </c>
      <c r="W112" s="65">
        <f>VLOOKUP($O112,'NO USAR2'!$B$2:$R$397,12,False)</f>
        <v>9.1</v>
      </c>
      <c r="X112" s="65">
        <f>VLOOKUP($O112,'NO USAR2'!$B$2:$R$397,13,False)</f>
        <v>1.9</v>
      </c>
      <c r="Y112" s="65">
        <f>VLOOKUP($O112,'NO USAR2'!$B$2:$R$397,14,False)</f>
        <v>0.6</v>
      </c>
      <c r="Z112" s="70">
        <f>VLOOKUP($O112,'NO USAR2'!$B$2:$R$397,15,False)</f>
        <v>1.2</v>
      </c>
      <c r="AA112" s="65">
        <f>100*VLOOKUP($O112,'NO USAR2'!$B$2:$R$397,7,False)</f>
        <v>63.15789474</v>
      </c>
      <c r="AB112" s="65">
        <f>100*VLOOKUP($O112,'NO USAR2'!$B$2:$R$397,9,False)</f>
        <v>74.28571429</v>
      </c>
      <c r="AC112" s="65">
        <f>VLOOKUP($O112,'NO USAR2'!$B$2:$Q$397,16,False)</f>
        <v>1.8</v>
      </c>
      <c r="AD112" s="65">
        <f>VLOOKUP($O112,'NO USAR1'!$A$4:$L$399,2,False)*$U$19</f>
        <v>-1.265657258</v>
      </c>
      <c r="AE112" s="65">
        <f>VLOOKUP($O112,'NO USAR1'!$A$4:$L$399,3,False)*$V$19</f>
        <v>-1.613351122</v>
      </c>
      <c r="AF112" s="65">
        <f>VLOOKUP($O112,'NO USAR1'!$A$4:$L$399,4,False)*$W$19</f>
        <v>1.235057072</v>
      </c>
      <c r="AG112" s="65">
        <f>VLOOKUP($O112,'NO USAR1'!$A$4:$L$399,5,False)*$X$19</f>
        <v>-1.028396826</v>
      </c>
      <c r="AH112" s="65">
        <f>VLOOKUP($O112,'NO USAR1'!$A$4:$L$399,6,False)*$Y$19</f>
        <v>-1.651661175</v>
      </c>
      <c r="AI112" s="65">
        <f>VLOOKUP($O112,'NO USAR1'!$A$4:$L$399,7,False)*$Z$19</f>
        <v>0</v>
      </c>
      <c r="AJ112" s="65">
        <f>VLOOKUP($O112,'NO USAR1'!$A$4:$L$399,8,False)*$AA$19</f>
        <v>0</v>
      </c>
      <c r="AK112" s="70">
        <f>VLOOKUP($O112,'NO USAR1'!$A$4:$L$399,10,False)*$AB$19</f>
        <v>-0.2743040466</v>
      </c>
      <c r="AL112" s="65">
        <f>VLOOKUP($O112,'NO USAR1'!$A$4:$L$399,12,False)*$AC$19</f>
        <v>0</v>
      </c>
      <c r="AM112" s="71">
        <f t="shared" si="2"/>
        <v>-1.651661175</v>
      </c>
      <c r="AN112" s="71">
        <f t="shared" si="3"/>
        <v>-3.265012297</v>
      </c>
    </row>
    <row r="113">
      <c r="A113" t="str">
        <f>IF('NO USAR2'!B111="",ROW('NO USAR2'!B111),'NO USAR2'!B111)</f>
        <v>Dorian Finney-Smith</v>
      </c>
      <c r="B113" s="58">
        <f>IF(TYPE($A113)=1,"",('NO USAR2'!$L111-B$1)/B$2)</f>
        <v>-0.8792761521</v>
      </c>
      <c r="C113" s="58">
        <f>IF(TYPE($A113)=1,"",('NO USAR2'!$K111-C$1)/C$2)</f>
        <v>0.5865511152</v>
      </c>
      <c r="D113" s="58">
        <f>IF(TYPE($A113)=1,"",('NO USAR2'!$M111-D$1)/D$2)</f>
        <v>-0.5610907016</v>
      </c>
      <c r="E113" s="58">
        <f>IF(TYPE($A113)=1,"",('NO USAR2'!$N111-E$1)/E$2)</f>
        <v>-0.8227174609</v>
      </c>
      <c r="F113" s="58">
        <f>IF(TYPE($A113)=1,"",('NO USAR2'!$O111-F$1)/F$2)</f>
        <v>0.3138704957</v>
      </c>
      <c r="G113" s="58">
        <f>IF(TYPE($A113)=1,"",('NO USAR2'!$P111-G$1)/G$2)</f>
        <v>-0.4064530313</v>
      </c>
      <c r="H113" s="58">
        <f>IF(TYPE($A113)=1,"",('NO USAR2'!$H111-H$1)/H$2*I113/$I$1)</f>
        <v>-0.1655133357</v>
      </c>
      <c r="I113" s="58">
        <f>IF(TYPE($A113)=1,"",IF('NO USAR2'!H111=0,0,'NO USAR2'!G111/'NO USAR2'!H111))</f>
        <v>9.5</v>
      </c>
      <c r="J113" s="59">
        <f>IF(TYPE($A113)=1,"",('NO USAR2'!$J111-J$1)/J$2*K113/$K$1)</f>
        <v>0.03107671921</v>
      </c>
      <c r="K113" s="60">
        <f>IF(TYPE($A113)=1,"",IF('NO USAR2'!J111=0,0,'NO USAR2'!I111/'NO USAR2'!J111))</f>
        <v>1</v>
      </c>
      <c r="L113" s="58">
        <f>IF(TYPE($A113)=1,"",-('NO USAR2'!$Q111-L$1)/L$2)</f>
        <v>1.126615777</v>
      </c>
      <c r="N113" s="63">
        <v>93.0</v>
      </c>
      <c r="O113" s="68" t="str">
        <f>IF('NO USAR2'!B101="",ROW('NO USAR2'!B101),'NO USAR2'!B101)</f>
        <v>Mike Conley</v>
      </c>
      <c r="P113" s="68">
        <f>'NO USAR2'!E94</f>
        <v>50</v>
      </c>
      <c r="Q113" s="68" t="str">
        <f>IF('NO USAR2'!C101="",ROW('NO USAR2'!N116),'NO USAR2'!C101)</f>
        <v>PG</v>
      </c>
      <c r="R113" s="65">
        <f>VLOOKUP($O113,'NO USAR1'!$A$4:$L$399,2,False)+VLOOKUP($O113,'NO USAR1'!$A$4:$L$399,3,False)+VLOOKUP($O113,'NO USAR1'!$A$4:$L$399,4,False)+VLOOKUP($O113,'NO USAR1'!$A$4:$L$399,5,False)+VLOOKUP($O113,'NO USAR1'!$A$4:$L$399,6,False)+VLOOKUP($O113,'NO USAR1'!$A$4:$L$399,7,False)+VLOOKUP($O113,'NO USAR1'!$A$4:$L$399,8,False)+VLOOKUP($O113,'NO USAR1'!$A$4:$L$399,10,False)+VLOOKUP($O113,'NO USAR1'!$A$4:$L$399,12,False)*0</f>
        <v>-1.625643079</v>
      </c>
      <c r="S113" s="65">
        <f>VLOOKUP($O113,'NO USAR1'!$A$4:$L$399,2,False)*$U$19+VLOOKUP($O113,'NO USAR1'!$A$4:$L$399,3,False)*$V$19+VLOOKUP($O113,'NO USAR1'!$A$4:$L$399,4,False)*$W$19+VLOOKUP($O113,'NO USAR1'!$A$4:$L$399,5,False)*$X$19+VLOOKUP($O113,'NO USAR1'!$A$4:$L$399,6,False)*$Y$19+VLOOKUP($O113,'NO USAR1'!$A$4:$L$399,7,False)*$Z$19+VLOOKUP($O113,'NO USAR1'!$A$4:$L$399,8,False)*$AA$19+VLOOKUP($O113,'NO USAR1'!$A$4:$L$399,10,False)*$AB$19+VLOOKUP($O113,'NO USAR1'!$A$4:$L$399,12,False)*$AC$19+IF(Projections!$K$3,-AN113, IF(Projections!$J$3,-AM113,0))</f>
        <v>-0.2855951836</v>
      </c>
      <c r="T113" s="65">
        <f t="shared" si="1"/>
        <v>1.340047895</v>
      </c>
      <c r="U113" s="65">
        <f>VLOOKUP($O113,'NO USAR2'!$B$2:$R$397,11,False)</f>
        <v>13.3</v>
      </c>
      <c r="V113" s="69">
        <f>VLOOKUP($O113,'NO USAR2'!$B$2:$R$397,10,False)</f>
        <v>2.3</v>
      </c>
      <c r="W113" s="65">
        <f>VLOOKUP($O113,'NO USAR2'!$B$2:$R$397,12,False)</f>
        <v>3</v>
      </c>
      <c r="X113" s="65">
        <f>VLOOKUP($O113,'NO USAR2'!$B$2:$R$397,13,False)</f>
        <v>5.1</v>
      </c>
      <c r="Y113" s="65">
        <f>VLOOKUP($O113,'NO USAR2'!$B$2:$R$397,14,False)</f>
        <v>1.1</v>
      </c>
      <c r="Z113" s="70">
        <f>VLOOKUP($O113,'NO USAR2'!$B$2:$R$397,15,False)</f>
        <v>0.3</v>
      </c>
      <c r="AA113" s="65">
        <f>100*VLOOKUP($O113,'NO USAR2'!$B$2:$R$397,7,False)</f>
        <v>43.39622642</v>
      </c>
      <c r="AB113" s="65">
        <f>100*VLOOKUP($O113,'NO USAR2'!$B$2:$R$397,9,False)</f>
        <v>80.95238095</v>
      </c>
      <c r="AC113" s="65">
        <f>VLOOKUP($O113,'NO USAR2'!$B$2:$Q$397,16,False)</f>
        <v>1.6</v>
      </c>
      <c r="AD113" s="65">
        <f>VLOOKUP($O113,'NO USAR1'!$A$4:$L$399,2,False)*$U$19</f>
        <v>-0.972743922</v>
      </c>
      <c r="AE113" s="65">
        <f>VLOOKUP($O113,'NO USAR1'!$A$4:$L$399,3,False)*$V$19</f>
        <v>0.6865466715</v>
      </c>
      <c r="AF113" s="65">
        <f>VLOOKUP($O113,'NO USAR1'!$A$4:$L$399,4,False)*$W$19</f>
        <v>-1.255056887</v>
      </c>
      <c r="AG113" s="65">
        <f>VLOOKUP($O113,'NO USAR1'!$A$4:$L$399,5,False)*$X$19</f>
        <v>0.7978214484</v>
      </c>
      <c r="AH113" s="65">
        <f>VLOOKUP($O113,'NO USAR1'!$A$4:$L$399,6,False)*$Y$19</f>
        <v>0.3923381197</v>
      </c>
      <c r="AI113" s="65">
        <f>VLOOKUP($O113,'NO USAR1'!$A$4:$L$399,7,False)*$Z$19</f>
        <v>0</v>
      </c>
      <c r="AJ113" s="65">
        <f>VLOOKUP($O113,'NO USAR1'!$A$4:$L$399,8,False)*$AA$19</f>
        <v>0</v>
      </c>
      <c r="AK113" s="70">
        <f>VLOOKUP($O113,'NO USAR1'!$A$4:$L$399,10,False)*$AB$19</f>
        <v>0.0654993857</v>
      </c>
      <c r="AL113" s="65">
        <f>VLOOKUP($O113,'NO USAR1'!$A$4:$L$399,12,False)*$AC$19</f>
        <v>0</v>
      </c>
      <c r="AM113" s="71">
        <f t="shared" si="2"/>
        <v>-1.255056887</v>
      </c>
      <c r="AN113" s="71">
        <f t="shared" si="3"/>
        <v>-2.227800809</v>
      </c>
    </row>
    <row r="114">
      <c r="A114" t="str">
        <f>IF('NO USAR2'!B112="",ROW('NO USAR2'!B112),'NO USAR2'!B112)</f>
        <v>Kyle Kuzma</v>
      </c>
      <c r="B114" s="58">
        <f>IF(TYPE($A114)=1,"",('NO USAR2'!$L112-B$1)/B$2)</f>
        <v>-0.08042159928</v>
      </c>
      <c r="C114" s="58">
        <f>IF(TYPE($A114)=1,"",('NO USAR2'!$K112-C$1)/C$2)</f>
        <v>0.2865644464</v>
      </c>
      <c r="D114" s="58">
        <f>IF(TYPE($A114)=1,"",('NO USAR2'!$M112-D$1)/D$2)</f>
        <v>0.8268416687</v>
      </c>
      <c r="E114" s="58">
        <f>IF(TYPE($A114)=1,"",('NO USAR2'!$N112-E$1)/E$2)</f>
        <v>-0.2748519786</v>
      </c>
      <c r="F114" s="58">
        <f>IF(TYPE($A114)=1,"",('NO USAR2'!$O112-F$1)/F$2)</f>
        <v>-1.32132894</v>
      </c>
      <c r="G114" s="58">
        <f>IF(TYPE($A114)=1,"",('NO USAR2'!$P112-G$1)/G$2)</f>
        <v>0.4175129777</v>
      </c>
      <c r="H114" s="58">
        <f>IF(TYPE($A114)=1,"",('NO USAR2'!$H112-H$1)/H$2*I114/$I$1)</f>
        <v>-0.5772576488</v>
      </c>
      <c r="I114" s="58">
        <f>IF(TYPE($A114)=1,"",IF('NO USAR2'!H112=0,0,'NO USAR2'!G112/'NO USAR2'!H112))</f>
        <v>13.5</v>
      </c>
      <c r="J114" s="59">
        <f>IF(TYPE($A114)=1,"",('NO USAR2'!$J112-J$1)/J$2*K114/$K$1)</f>
        <v>-0.6174534262</v>
      </c>
      <c r="K114" s="60">
        <f>IF(TYPE($A114)=1,"",IF('NO USAR2'!J112=0,0,'NO USAR2'!I112/'NO USAR2'!J112))</f>
        <v>3.4</v>
      </c>
      <c r="L114" s="58">
        <f>IF(TYPE($A114)=1,"",-('NO USAR2'!$Q112-L$1)/L$2)</f>
        <v>-0.7495957703</v>
      </c>
      <c r="N114" s="63">
        <v>94.0</v>
      </c>
      <c r="O114" s="68" t="str">
        <f>IF('NO USAR2'!B77="",ROW('NO USAR2'!B77),'NO USAR2'!B77)</f>
        <v>Wendell Carter Jr.</v>
      </c>
      <c r="P114" s="68">
        <f>'NO USAR2'!E95</f>
        <v>69</v>
      </c>
      <c r="Q114" s="68" t="str">
        <f>IF('NO USAR2'!C77="",ROW('NO USAR2'!N92),'NO USAR2'!C77)</f>
        <v>PF/C</v>
      </c>
      <c r="R114" s="65">
        <f>VLOOKUP($O114,'NO USAR1'!$A$4:$L$399,2,False)+VLOOKUP($O114,'NO USAR1'!$A$4:$L$399,3,False)+VLOOKUP($O114,'NO USAR1'!$A$4:$L$399,4,False)+VLOOKUP($O114,'NO USAR1'!$A$4:$L$399,5,False)+VLOOKUP($O114,'NO USAR1'!$A$4:$L$399,6,False)+VLOOKUP($O114,'NO USAR1'!$A$4:$L$399,7,False)+VLOOKUP($O114,'NO USAR1'!$A$4:$L$399,8,False)+VLOOKUP($O114,'NO USAR1'!$A$4:$L$399,10,False)+VLOOKUP($O114,'NO USAR1'!$A$4:$L$399,12,False)*0</f>
        <v>-1.675743877</v>
      </c>
      <c r="S114" s="65">
        <f>VLOOKUP($O114,'NO USAR1'!$A$4:$L$399,2,False)*$U$19+VLOOKUP($O114,'NO USAR1'!$A$4:$L$399,3,False)*$V$19+VLOOKUP($O114,'NO USAR1'!$A$4:$L$399,4,False)*$W$19+VLOOKUP($O114,'NO USAR1'!$A$4:$L$399,5,False)*$X$19+VLOOKUP($O114,'NO USAR1'!$A$4:$L$399,6,False)*$Y$19+VLOOKUP($O114,'NO USAR1'!$A$4:$L$399,7,False)*$Z$19+VLOOKUP($O114,'NO USAR1'!$A$4:$L$399,8,False)*$AA$19+VLOOKUP($O114,'NO USAR1'!$A$4:$L$399,10,False)*$AB$19+VLOOKUP($O114,'NO USAR1'!$A$4:$L$399,12,False)*$AC$19+IF(Projections!$K$3,-AN114, IF(Projections!$J$3,-AM114,0))</f>
        <v>-2.43178892</v>
      </c>
      <c r="T114" s="65">
        <f t="shared" si="1"/>
        <v>-0.7560450429</v>
      </c>
      <c r="U114" s="65">
        <f>VLOOKUP($O114,'NO USAR2'!$B$2:$R$397,11,False)</f>
        <v>14.8</v>
      </c>
      <c r="V114" s="69">
        <f>VLOOKUP($O114,'NO USAR2'!$B$2:$R$397,10,False)</f>
        <v>1</v>
      </c>
      <c r="W114" s="65">
        <f>VLOOKUP($O114,'NO USAR2'!$B$2:$R$397,12,False)</f>
        <v>9.9</v>
      </c>
      <c r="X114" s="65">
        <f>VLOOKUP($O114,'NO USAR2'!$B$2:$R$397,13,False)</f>
        <v>2.4</v>
      </c>
      <c r="Y114" s="65">
        <f>VLOOKUP($O114,'NO USAR2'!$B$2:$R$397,14,False)</f>
        <v>0.6</v>
      </c>
      <c r="Z114" s="70">
        <f>VLOOKUP($O114,'NO USAR2'!$B$2:$R$397,15,False)</f>
        <v>0.7</v>
      </c>
      <c r="AA114" s="65">
        <f>100*VLOOKUP($O114,'NO USAR2'!$B$2:$R$397,7,False)</f>
        <v>52.72727273</v>
      </c>
      <c r="AB114" s="65">
        <f>100*VLOOKUP($O114,'NO USAR2'!$B$2:$R$397,9,False)</f>
        <v>70.96774194</v>
      </c>
      <c r="AC114" s="65">
        <f>VLOOKUP($O114,'NO USAR2'!$B$2:$Q$397,16,False)</f>
        <v>1.9</v>
      </c>
      <c r="AD114" s="65">
        <f>VLOOKUP($O114,'NO USAR1'!$A$4:$L$399,2,False)*$U$19</f>
        <v>-0.5733166455</v>
      </c>
      <c r="AE114" s="65">
        <f>VLOOKUP($O114,'NO USAR1'!$A$4:$L$399,3,False)*$V$19</f>
        <v>-0.6133955598</v>
      </c>
      <c r="AF114" s="65">
        <f>VLOOKUP($O114,'NO USAR1'!$A$4:$L$399,4,False)*$W$19</f>
        <v>1.561629394</v>
      </c>
      <c r="AG114" s="65">
        <f>VLOOKUP($O114,'NO USAR1'!$A$4:$L$399,5,False)*$X$19</f>
        <v>-0.7430502208</v>
      </c>
      <c r="AH114" s="65">
        <f>VLOOKUP($O114,'NO USAR1'!$A$4:$L$399,6,False)*$Y$19</f>
        <v>-1.651661175</v>
      </c>
      <c r="AI114" s="65">
        <f>VLOOKUP($O114,'NO USAR1'!$A$4:$L$399,7,False)*$Z$19</f>
        <v>0</v>
      </c>
      <c r="AJ114" s="65">
        <f>VLOOKUP($O114,'NO USAR1'!$A$4:$L$399,8,False)*$AA$19</f>
        <v>0</v>
      </c>
      <c r="AK114" s="70">
        <f>VLOOKUP($O114,'NO USAR1'!$A$4:$L$399,10,False)*$AB$19</f>
        <v>-0.4119947126</v>
      </c>
      <c r="AL114" s="65">
        <f>VLOOKUP($O114,'NO USAR1'!$A$4:$L$399,12,False)*$AC$19</f>
        <v>0</v>
      </c>
      <c r="AM114" s="71">
        <f t="shared" si="2"/>
        <v>-1.651661175</v>
      </c>
      <c r="AN114" s="71">
        <f t="shared" si="3"/>
        <v>-2.394711396</v>
      </c>
    </row>
    <row r="115">
      <c r="A115" t="str">
        <f>IF('NO USAR2'!B113="",ROW('NO USAR2'!B113),'NO USAR2'!B113)</f>
        <v>Cameron Johnson</v>
      </c>
      <c r="B115" s="58">
        <f>IF(TYPE($A115)=1,"",('NO USAR2'!$L113-B$1)/B$2)</f>
        <v>-0.6307436246</v>
      </c>
      <c r="C115" s="58">
        <f>IF(TYPE($A115)=1,"",('NO USAR2'!$K113-C$1)/C$2)</f>
        <v>0.9865333402</v>
      </c>
      <c r="D115" s="58">
        <f>IF(TYPE($A115)=1,"",('NO USAR2'!$M113-D$1)/D$2)</f>
        <v>-0.6427337822</v>
      </c>
      <c r="E115" s="58">
        <f>IF(TYPE($A115)=1,"",('NO USAR2'!$N113-E$1)/E$2)</f>
        <v>-0.9596838315</v>
      </c>
      <c r="F115" s="58">
        <f>IF(TYPE($A115)=1,"",('NO USAR2'!$O113-F$1)/F$2)</f>
        <v>-0.01316939143</v>
      </c>
      <c r="G115" s="58">
        <f>IF(TYPE($A115)=1,"",('NO USAR2'!$P113-G$1)/G$2)</f>
        <v>-1.024427538</v>
      </c>
      <c r="H115" s="58">
        <f>IF(TYPE($A115)=1,"",('NO USAR2'!$H113-H$1)/H$2*I115/$I$1)</f>
        <v>-0.3897508642</v>
      </c>
      <c r="I115" s="58">
        <f>IF(TYPE($A115)=1,"",IF('NO USAR2'!H113=0,0,'NO USAR2'!G113/'NO USAR2'!H113))</f>
        <v>10.1</v>
      </c>
      <c r="J115" s="59">
        <f>IF(TYPE($A115)=1,"",('NO USAR2'!$J113-J$1)/J$2*K115/$K$1)</f>
        <v>0.3219964107</v>
      </c>
      <c r="K115" s="60">
        <f>IF(TYPE($A115)=1,"",IF('NO USAR2'!J113=0,0,'NO USAR2'!I113/'NO USAR2'!J113))</f>
        <v>1.9</v>
      </c>
      <c r="L115" s="58">
        <f>IF(TYPE($A115)=1,"",-('NO USAR2'!$Q113-L$1)/L$2)</f>
        <v>1.347346548</v>
      </c>
      <c r="N115" s="2">
        <v>95.0</v>
      </c>
      <c r="O115" s="68" t="str">
        <f>IF('NO USAR2'!B102="",ROW('NO USAR2'!B102),'NO USAR2'!B102)</f>
        <v>Jabari Smith Jr</v>
      </c>
      <c r="P115" s="68">
        <f>'NO USAR2'!E96</f>
        <v>73</v>
      </c>
      <c r="Q115" s="68" t="str">
        <f>IF('NO USAR2'!C102="",ROW('NO USAR2'!N117),'NO USAR2'!C102)</f>
        <v>PF</v>
      </c>
      <c r="R115" s="65">
        <f>VLOOKUP($O115,'NO USAR1'!$A$4:$L$399,2,False)+VLOOKUP($O115,'NO USAR1'!$A$4:$L$399,3,False)+VLOOKUP($O115,'NO USAR1'!$A$4:$L$399,4,False)+VLOOKUP($O115,'NO USAR1'!$A$4:$L$399,5,False)+VLOOKUP($O115,'NO USAR1'!$A$4:$L$399,6,False)+VLOOKUP($O115,'NO USAR1'!$A$4:$L$399,7,False)+VLOOKUP($O115,'NO USAR1'!$A$4:$L$399,8,False)+VLOOKUP($O115,'NO USAR1'!$A$4:$L$399,10,False)+VLOOKUP($O115,'NO USAR1'!$A$4:$L$399,12,False)*0</f>
        <v>-1.786361928</v>
      </c>
      <c r="S115" s="65">
        <f>VLOOKUP($O115,'NO USAR1'!$A$4:$L$399,2,False)*$U$19+VLOOKUP($O115,'NO USAR1'!$A$4:$L$399,3,False)*$V$19+VLOOKUP($O115,'NO USAR1'!$A$4:$L$399,4,False)*$W$19+VLOOKUP($O115,'NO USAR1'!$A$4:$L$399,5,False)*$X$19+VLOOKUP($O115,'NO USAR1'!$A$4:$L$399,6,False)*$Y$19+VLOOKUP($O115,'NO USAR1'!$A$4:$L$399,7,False)*$Z$19+VLOOKUP($O115,'NO USAR1'!$A$4:$L$399,8,False)*$AA$19+VLOOKUP($O115,'NO USAR1'!$A$4:$L$399,10,False)*$AB$19+VLOOKUP($O115,'NO USAR1'!$A$4:$L$399,12,False)*$AC$19+IF(Projections!$K$3,-AN115, IF(Projections!$J$3,-AM115,0))</f>
        <v>-2.208028992</v>
      </c>
      <c r="T115" s="65">
        <f t="shared" si="1"/>
        <v>-0.4216670641</v>
      </c>
      <c r="U115" s="65">
        <f>VLOOKUP($O115,'NO USAR2'!$B$2:$R$397,11,False)</f>
        <v>16.5</v>
      </c>
      <c r="V115" s="69">
        <f>VLOOKUP($O115,'NO USAR2'!$B$2:$R$397,10,False)</f>
        <v>1.3</v>
      </c>
      <c r="W115" s="65">
        <f>VLOOKUP($O115,'NO USAR2'!$B$2:$R$397,12,False)</f>
        <v>7.4</v>
      </c>
      <c r="X115" s="65">
        <f>VLOOKUP($O115,'NO USAR2'!$B$2:$R$397,13,False)</f>
        <v>1.5</v>
      </c>
      <c r="Y115" s="65">
        <f>VLOOKUP($O115,'NO USAR2'!$B$2:$R$397,14,False)</f>
        <v>0.8</v>
      </c>
      <c r="Z115" s="70">
        <f>VLOOKUP($O115,'NO USAR2'!$B$2:$R$397,15,False)</f>
        <v>1.1</v>
      </c>
      <c r="AA115" s="65">
        <f>100*VLOOKUP($O115,'NO USAR2'!$B$2:$R$397,7,False)</f>
        <v>44.61538462</v>
      </c>
      <c r="AB115" s="65">
        <f>100*VLOOKUP($O115,'NO USAR2'!$B$2:$R$397,9,False)</f>
        <v>76.08695652</v>
      </c>
      <c r="AC115" s="65">
        <f>VLOOKUP($O115,'NO USAR2'!$B$2:$Q$397,16,False)</f>
        <v>1.9</v>
      </c>
      <c r="AD115" s="65">
        <f>VLOOKUP($O115,'NO USAR1'!$A$4:$L$399,2,False)*$U$19</f>
        <v>-0.1206323989</v>
      </c>
      <c r="AE115" s="65">
        <f>VLOOKUP($O115,'NO USAR1'!$A$4:$L$399,3,False)*$V$19</f>
        <v>-0.3134088911</v>
      </c>
      <c r="AF115" s="65">
        <f>VLOOKUP($O115,'NO USAR1'!$A$4:$L$399,4,False)*$W$19</f>
        <v>0.5410908866</v>
      </c>
      <c r="AG115" s="65">
        <f>VLOOKUP($O115,'NO USAR1'!$A$4:$L$399,5,False)*$X$19</f>
        <v>-1.25667411</v>
      </c>
      <c r="AH115" s="65">
        <f>VLOOKUP($O115,'NO USAR1'!$A$4:$L$399,6,False)*$Y$19</f>
        <v>-0.8340614572</v>
      </c>
      <c r="AI115" s="65">
        <f>VLOOKUP($O115,'NO USAR1'!$A$4:$L$399,7,False)*$Z$19</f>
        <v>0</v>
      </c>
      <c r="AJ115" s="65">
        <f>VLOOKUP($O115,'NO USAR1'!$A$4:$L$399,8,False)*$AA$19</f>
        <v>0</v>
      </c>
      <c r="AK115" s="70">
        <f>VLOOKUP($O115,'NO USAR1'!$A$4:$L$399,10,False)*$AB$19</f>
        <v>-0.2243430205</v>
      </c>
      <c r="AL115" s="65">
        <f>VLOOKUP($O115,'NO USAR1'!$A$4:$L$399,12,False)*$AC$19</f>
        <v>0</v>
      </c>
      <c r="AM115" s="71">
        <f t="shared" si="2"/>
        <v>-1.25667411</v>
      </c>
      <c r="AN115" s="71">
        <f t="shared" si="3"/>
        <v>-2.090735568</v>
      </c>
    </row>
    <row r="116">
      <c r="A116" t="str">
        <f>IF('NO USAR2'!B114="",ROW('NO USAR2'!B114),'NO USAR2'!B114)</f>
        <v>Bogdan Bogdanovic</v>
      </c>
      <c r="B116" s="58">
        <f>IF(TYPE($A116)=1,"",('NO USAR2'!$L114-B$1)/B$2)</f>
        <v>-0.3999634204</v>
      </c>
      <c r="C116" s="58">
        <f>IF(TYPE($A116)=1,"",('NO USAR2'!$K114-C$1)/C$2)</f>
        <v>0.9865333402</v>
      </c>
      <c r="D116" s="58">
        <f>IF(TYPE($A116)=1,"",('NO USAR2'!$M114-D$1)/D$2)</f>
        <v>-0.8876630241</v>
      </c>
      <c r="E116" s="58">
        <f>IF(TYPE($A116)=1,"",('NO USAR2'!$N114-E$1)/E$2)</f>
        <v>-0.3661628923</v>
      </c>
      <c r="F116" s="58">
        <f>IF(TYPE($A116)=1,"",('NO USAR2'!$O114-F$1)/F$2)</f>
        <v>0.3138704957</v>
      </c>
      <c r="G116" s="58">
        <f>IF(TYPE($A116)=1,"",('NO USAR2'!$P114-G$1)/G$2)</f>
        <v>-1.024427538</v>
      </c>
      <c r="H116" s="58">
        <f>IF(TYPE($A116)=1,"",('NO USAR2'!$H114-H$1)/H$2*I116/$I$1)</f>
        <v>-0.7683925101</v>
      </c>
      <c r="I116" s="58">
        <f>IF(TYPE($A116)=1,"",IF('NO USAR2'!H114=0,0,'NO USAR2'!G114/'NO USAR2'!H114))</f>
        <v>12.2</v>
      </c>
      <c r="J116" s="59">
        <f>IF(TYPE($A116)=1,"",('NO USAR2'!$J114-J$1)/J$2*K116/$K$1)</f>
        <v>0.2531510777</v>
      </c>
      <c r="K116" s="60">
        <f>IF(TYPE($A116)=1,"",IF('NO USAR2'!J114=0,0,'NO USAR2'!I114/'NO USAR2'!J114))</f>
        <v>1.8</v>
      </c>
      <c r="L116" s="58">
        <f>IF(TYPE($A116)=1,"",-('NO USAR2'!$Q114-L$1)/L$2)</f>
        <v>1.016250392</v>
      </c>
      <c r="N116" s="63">
        <v>96.0</v>
      </c>
      <c r="O116" s="68" t="str">
        <f>IF('NO USAR2'!B131="",ROW('NO USAR2'!B131),'NO USAR2'!B131)</f>
        <v>De'Anthony Melton</v>
      </c>
      <c r="P116" s="68">
        <f>'NO USAR2'!E97</f>
        <v>72</v>
      </c>
      <c r="Q116" s="68" t="str">
        <f>IF('NO USAR2'!C131="",ROW('NO USAR2'!N146),'NO USAR2'!C131)</f>
        <v>PG/SG</v>
      </c>
      <c r="R116" s="65">
        <f>VLOOKUP($O116,'NO USAR1'!$A$4:$L$399,2,False)+VLOOKUP($O116,'NO USAR1'!$A$4:$L$399,3,False)+VLOOKUP($O116,'NO USAR1'!$A$4:$L$399,4,False)+VLOOKUP($O116,'NO USAR1'!$A$4:$L$399,5,False)+VLOOKUP($O116,'NO USAR1'!$A$4:$L$399,6,False)+VLOOKUP($O116,'NO USAR1'!$A$4:$L$399,7,False)+VLOOKUP($O116,'NO USAR1'!$A$4:$L$399,8,False)+VLOOKUP($O116,'NO USAR1'!$A$4:$L$399,10,False)+VLOOKUP($O116,'NO USAR1'!$A$4:$L$399,12,False)*0</f>
        <v>-1.817659419</v>
      </c>
      <c r="S116" s="65">
        <f>VLOOKUP($O116,'NO USAR1'!$A$4:$L$399,2,False)*$U$19+VLOOKUP($O116,'NO USAR1'!$A$4:$L$399,3,False)*$V$19+VLOOKUP($O116,'NO USAR1'!$A$4:$L$399,4,False)*$W$19+VLOOKUP($O116,'NO USAR1'!$A$4:$L$399,5,False)*$X$19+VLOOKUP($O116,'NO USAR1'!$A$4:$L$399,6,False)*$Y$19+VLOOKUP($O116,'NO USAR1'!$A$4:$L$399,7,False)*$Z$19+VLOOKUP($O116,'NO USAR1'!$A$4:$L$399,8,False)*$AA$19+VLOOKUP($O116,'NO USAR1'!$A$4:$L$399,10,False)*$AB$19+VLOOKUP($O116,'NO USAR1'!$A$4:$L$399,12,False)*$AC$19+IF(Projections!$K$3,-AN116, IF(Projections!$J$3,-AM116,0))</f>
        <v>-1.015919898</v>
      </c>
      <c r="T116" s="65">
        <f t="shared" si="1"/>
        <v>0.8017395208</v>
      </c>
      <c r="U116" s="65">
        <f>VLOOKUP($O116,'NO USAR2'!$B$2:$R$397,11,False)</f>
        <v>12.1</v>
      </c>
      <c r="V116" s="69">
        <f>VLOOKUP($O116,'NO USAR2'!$B$2:$R$397,10,False)</f>
        <v>2</v>
      </c>
      <c r="W116" s="65">
        <f>VLOOKUP($O116,'NO USAR2'!$B$2:$R$397,12,False)</f>
        <v>4.1</v>
      </c>
      <c r="X116" s="65">
        <f>VLOOKUP($O116,'NO USAR2'!$B$2:$R$397,13,False)</f>
        <v>2.7</v>
      </c>
      <c r="Y116" s="65">
        <f>VLOOKUP($O116,'NO USAR2'!$B$2:$R$397,14,False)</f>
        <v>1.3</v>
      </c>
      <c r="Z116" s="70">
        <f>VLOOKUP($O116,'NO USAR2'!$B$2:$R$397,15,False)</f>
        <v>0.6</v>
      </c>
      <c r="AA116" s="65">
        <f>100*VLOOKUP($O116,'NO USAR2'!$B$2:$R$397,7,False)</f>
        <v>41.12149533</v>
      </c>
      <c r="AB116" s="65">
        <f>100*VLOOKUP($O116,'NO USAR2'!$B$2:$R$397,9,False)</f>
        <v>81.25</v>
      </c>
      <c r="AC116" s="65">
        <f>VLOOKUP($O116,'NO USAR2'!$B$2:$Q$397,16,False)</f>
        <v>1.7</v>
      </c>
      <c r="AD116" s="65">
        <f>VLOOKUP($O116,'NO USAR1'!$A$4:$L$399,2,False)*$U$19</f>
        <v>-1.292285743</v>
      </c>
      <c r="AE116" s="65">
        <f>VLOOKUP($O116,'NO USAR1'!$A$4:$L$399,3,False)*$V$19</f>
        <v>0.3865600027</v>
      </c>
      <c r="AF116" s="65">
        <f>VLOOKUP($O116,'NO USAR1'!$A$4:$L$399,4,False)*$W$19</f>
        <v>-0.8060199435</v>
      </c>
      <c r="AG116" s="65">
        <f>VLOOKUP($O116,'NO USAR1'!$A$4:$L$399,5,False)*$X$19</f>
        <v>-0.5718422575</v>
      </c>
      <c r="AH116" s="65">
        <f>VLOOKUP($O116,'NO USAR1'!$A$4:$L$399,6,False)*$Y$19</f>
        <v>1.209937838</v>
      </c>
      <c r="AI116" s="65">
        <f>VLOOKUP($O116,'NO USAR1'!$A$4:$L$399,7,False)*$Z$19</f>
        <v>0</v>
      </c>
      <c r="AJ116" s="65">
        <f>VLOOKUP($O116,'NO USAR1'!$A$4:$L$399,8,False)*$AA$19</f>
        <v>0</v>
      </c>
      <c r="AK116" s="70">
        <f>VLOOKUP($O116,'NO USAR1'!$A$4:$L$399,10,False)*$AB$19</f>
        <v>0.0577302059</v>
      </c>
      <c r="AL116" s="65">
        <f>VLOOKUP($O116,'NO USAR1'!$A$4:$L$399,12,False)*$AC$19</f>
        <v>0</v>
      </c>
      <c r="AM116" s="71">
        <f t="shared" si="2"/>
        <v>-1.292285743</v>
      </c>
      <c r="AN116" s="71">
        <f t="shared" si="3"/>
        <v>-2.098305687</v>
      </c>
    </row>
    <row r="117">
      <c r="A117" t="str">
        <f>IF('NO USAR2'!B115="",ROW('NO USAR2'!B115),'NO USAR2'!B115)</f>
        <v>Jalen Green</v>
      </c>
      <c r="B117" s="58">
        <f>IF(TYPE($A117)=1,"",('NO USAR2'!$L115-B$1)/B$2)</f>
        <v>0.7006806302</v>
      </c>
      <c r="C117" s="58">
        <f>IF(TYPE($A117)=1,"",('NO USAR2'!$K115-C$1)/C$2)</f>
        <v>1.086528896</v>
      </c>
      <c r="D117" s="58">
        <f>IF(TYPE($A117)=1,"",('NO USAR2'!$M115-D$1)/D$2)</f>
        <v>-0.9693061047</v>
      </c>
      <c r="E117" s="58">
        <f>IF(TYPE($A117)=1,"",('NO USAR2'!$N115-E$1)/E$2)</f>
        <v>-0.2748519786</v>
      </c>
      <c r="F117" s="58">
        <f>IF(TYPE($A117)=1,"",('NO USAR2'!$O115-F$1)/F$2)</f>
        <v>-0.6672491657</v>
      </c>
      <c r="G117" s="58">
        <f>IF(TYPE($A117)=1,"",('NO USAR2'!$P115-G$1)/G$2)</f>
        <v>-0.8184360358</v>
      </c>
      <c r="H117" s="58">
        <f>IF(TYPE($A117)=1,"",('NO USAR2'!$H115-H$1)/H$2*I117/$I$1)</f>
        <v>-1.048340875</v>
      </c>
      <c r="I117" s="58">
        <f>IF(TYPE($A117)=1,"",IF('NO USAR2'!H115=0,0,'NO USAR2'!G115/'NO USAR2'!H115))</f>
        <v>17.4</v>
      </c>
      <c r="J117" s="59">
        <f>IF(TYPE($A117)=1,"",('NO USAR2'!$J115-J$1)/J$2*K117/$K$1)</f>
        <v>-0.01338378909</v>
      </c>
      <c r="K117" s="60">
        <f>IF(TYPE($A117)=1,"",IF('NO USAR2'!J115=0,0,'NO USAR2'!I115/'NO USAR2'!J115))</f>
        <v>3.8</v>
      </c>
      <c r="L117" s="58">
        <f>IF(TYPE($A117)=1,"",-('NO USAR2'!$Q115-L$1)/L$2)</f>
        <v>-0.1977688445</v>
      </c>
      <c r="N117" s="63">
        <v>97.0</v>
      </c>
      <c r="O117" s="68" t="str">
        <f>IF('NO USAR2'!B89="",ROW('NO USAR2'!B89),'NO USAR2'!B89)</f>
        <v>Franz Wagner</v>
      </c>
      <c r="P117" s="68">
        <f>'NO USAR2'!E98</f>
        <v>64</v>
      </c>
      <c r="Q117" s="68" t="str">
        <f>IF('NO USAR2'!C89="",ROW('NO USAR2'!N104),'NO USAR2'!C89)</f>
        <v>SF/PF</v>
      </c>
      <c r="R117" s="65">
        <f>VLOOKUP($O117,'NO USAR1'!$A$4:$L$399,2,False)+VLOOKUP($O117,'NO USAR1'!$A$4:$L$399,3,False)+VLOOKUP($O117,'NO USAR1'!$A$4:$L$399,4,False)+VLOOKUP($O117,'NO USAR1'!$A$4:$L$399,5,False)+VLOOKUP($O117,'NO USAR1'!$A$4:$L$399,6,False)+VLOOKUP($O117,'NO USAR1'!$A$4:$L$399,7,False)+VLOOKUP($O117,'NO USAR1'!$A$4:$L$399,8,False)+VLOOKUP($O117,'NO USAR1'!$A$4:$L$399,10,False)+VLOOKUP($O117,'NO USAR1'!$A$4:$L$399,12,False)*0</f>
        <v>-1.846401052</v>
      </c>
      <c r="S117" s="65">
        <f>VLOOKUP($O117,'NO USAR1'!$A$4:$L$399,2,False)*$U$19+VLOOKUP($O117,'NO USAR1'!$A$4:$L$399,3,False)*$V$19+VLOOKUP($O117,'NO USAR1'!$A$4:$L$399,4,False)*$W$19+VLOOKUP($O117,'NO USAR1'!$A$4:$L$399,5,False)*$X$19+VLOOKUP($O117,'NO USAR1'!$A$4:$L$399,6,False)*$Y$19+VLOOKUP($O117,'NO USAR1'!$A$4:$L$399,7,False)*$Z$19+VLOOKUP($O117,'NO USAR1'!$A$4:$L$399,8,False)*$AA$19+VLOOKUP($O117,'NO USAR1'!$A$4:$L$399,10,False)*$AB$19+VLOOKUP($O117,'NO USAR1'!$A$4:$L$399,12,False)*$AC$19+IF(Projections!$K$3,-AN117, IF(Projections!$J$3,-AM117,0))</f>
        <v>-1.300266155</v>
      </c>
      <c r="T117" s="65">
        <f t="shared" si="1"/>
        <v>0.5461348969</v>
      </c>
      <c r="U117" s="65">
        <f>VLOOKUP($O117,'NO USAR2'!$B$2:$R$397,11,False)</f>
        <v>16.8</v>
      </c>
      <c r="V117" s="69">
        <f>VLOOKUP($O117,'NO USAR2'!$B$2:$R$397,10,False)</f>
        <v>1.4</v>
      </c>
      <c r="W117" s="65">
        <f>VLOOKUP($O117,'NO USAR2'!$B$2:$R$397,12,False)</f>
        <v>4.7</v>
      </c>
      <c r="X117" s="65">
        <f>VLOOKUP($O117,'NO USAR2'!$B$2:$R$397,13,False)</f>
        <v>3</v>
      </c>
      <c r="Y117" s="65">
        <f>VLOOKUP($O117,'NO USAR2'!$B$2:$R$397,14,False)</f>
        <v>0.9</v>
      </c>
      <c r="Z117" s="70">
        <f>VLOOKUP($O117,'NO USAR2'!$B$2:$R$397,15,False)</f>
        <v>0.4</v>
      </c>
      <c r="AA117" s="65">
        <f>100*VLOOKUP($O117,'NO USAR2'!$B$2:$R$397,7,False)</f>
        <v>46.09929078</v>
      </c>
      <c r="AB117" s="65">
        <f>100*VLOOKUP($O117,'NO USAR2'!$B$2:$R$397,9,False)</f>
        <v>86.20689655</v>
      </c>
      <c r="AC117" s="65">
        <f>VLOOKUP($O117,'NO USAR2'!$B$2:$Q$397,16,False)</f>
        <v>1.6</v>
      </c>
      <c r="AD117" s="65">
        <f>VLOOKUP($O117,'NO USAR1'!$A$4:$L$399,2,False)*$U$19</f>
        <v>-0.04074694364</v>
      </c>
      <c r="AE117" s="65">
        <f>VLOOKUP($O117,'NO USAR1'!$A$4:$L$399,3,False)*$V$19</f>
        <v>-0.2134133348</v>
      </c>
      <c r="AF117" s="65">
        <f>VLOOKUP($O117,'NO USAR1'!$A$4:$L$399,4,False)*$W$19</f>
        <v>-0.5610907016</v>
      </c>
      <c r="AG117" s="65">
        <f>VLOOKUP($O117,'NO USAR1'!$A$4:$L$399,5,False)*$X$19</f>
        <v>-0.4006342943</v>
      </c>
      <c r="AH117" s="65">
        <f>VLOOKUP($O117,'NO USAR1'!$A$4:$L$399,6,False)*$Y$19</f>
        <v>-0.4252615982</v>
      </c>
      <c r="AI117" s="65">
        <f>VLOOKUP($O117,'NO USAR1'!$A$4:$L$399,7,False)*$Z$19</f>
        <v>0</v>
      </c>
      <c r="AJ117" s="65">
        <f>VLOOKUP($O117,'NO USAR1'!$A$4:$L$399,8,False)*$AA$19</f>
        <v>0</v>
      </c>
      <c r="AK117" s="70">
        <f>VLOOKUP($O117,'NO USAR1'!$A$4:$L$399,10,False)*$AB$19</f>
        <v>0.3408807176</v>
      </c>
      <c r="AL117" s="65">
        <f>VLOOKUP($O117,'NO USAR1'!$A$4:$L$399,12,False)*$AC$19</f>
        <v>0</v>
      </c>
      <c r="AM117" s="71">
        <f t="shared" si="2"/>
        <v>-0.5610907016</v>
      </c>
      <c r="AN117" s="71">
        <f t="shared" si="3"/>
        <v>-0.9863522999</v>
      </c>
    </row>
    <row r="118">
      <c r="A118" t="str">
        <f>IF('NO USAR2'!B116="",ROW('NO USAR2'!B116),'NO USAR2'!B116)</f>
        <v>Nicolas Claxton</v>
      </c>
      <c r="B118" s="58">
        <f>IF(TYPE($A118)=1,"",('NO USAR2'!$L116-B$1)/B$2)</f>
        <v>-1.092304033</v>
      </c>
      <c r="C118" s="58">
        <f>IF(TYPE($A118)=1,"",('NO USAR2'!$K116-C$1)/C$2)</f>
        <v>-1.613351122</v>
      </c>
      <c r="D118" s="58">
        <f>IF(TYPE($A118)=1,"",('NO USAR2'!$M116-D$1)/D$2)</f>
        <v>0.5819124269</v>
      </c>
      <c r="E118" s="58">
        <f>IF(TYPE($A118)=1,"",('NO USAR2'!$N116-E$1)/E$2)</f>
        <v>-1.142305659</v>
      </c>
      <c r="F118" s="58">
        <f>IF(TYPE($A118)=1,"",('NO USAR2'!$O116-F$1)/F$2)</f>
        <v>-0.9942890529</v>
      </c>
      <c r="G118" s="58">
        <f>IF(TYPE($A118)=1,"",('NO USAR2'!$P116-G$1)/G$2)</f>
        <v>1.653461991</v>
      </c>
      <c r="H118" s="58">
        <f>IF(TYPE($A118)=1,"",('NO USAR2'!$H116-H$1)/H$2*I118/$I$1)</f>
        <v>1.198277207</v>
      </c>
      <c r="I118" s="58">
        <f>IF(TYPE($A118)=1,"",IF('NO USAR2'!H116=0,0,'NO USAR2'!G116/'NO USAR2'!H116))</f>
        <v>7.3</v>
      </c>
      <c r="J118" s="59">
        <f>IF(TYPE($A118)=1,"",('NO USAR2'!$J116-J$1)/J$2*K118/$K$1)</f>
        <v>-1.756747368</v>
      </c>
      <c r="K118" s="60">
        <f>IF(TYPE($A118)=1,"",IF('NO USAR2'!J116=0,0,'NO USAR2'!I116/'NO USAR2'!J116))</f>
        <v>2.7</v>
      </c>
      <c r="L118" s="58">
        <f>IF(TYPE($A118)=1,"",-('NO USAR2'!$Q116-L$1)/L$2)</f>
        <v>1.016250392</v>
      </c>
      <c r="N118" s="2">
        <v>98.0</v>
      </c>
      <c r="O118" s="68" t="str">
        <f>IF('NO USAR2'!B109="",ROW('NO USAR2'!B109),'NO USAR2'!B109)</f>
        <v>Bobby Portis</v>
      </c>
      <c r="P118" s="68">
        <f>'NO USAR2'!E99</f>
        <v>72</v>
      </c>
      <c r="Q118" s="68" t="str">
        <f>IF('NO USAR2'!C109="",ROW('NO USAR2'!N124),'NO USAR2'!C109)</f>
        <v>PF/C</v>
      </c>
      <c r="R118" s="65">
        <f>VLOOKUP($O118,'NO USAR1'!$A$4:$L$399,2,False)+VLOOKUP($O118,'NO USAR1'!$A$4:$L$399,3,False)+VLOOKUP($O118,'NO USAR1'!$A$4:$L$399,4,False)+VLOOKUP($O118,'NO USAR1'!$A$4:$L$399,5,False)+VLOOKUP($O118,'NO USAR1'!$A$4:$L$399,6,False)+VLOOKUP($O118,'NO USAR1'!$A$4:$L$399,7,False)+VLOOKUP($O118,'NO USAR1'!$A$4:$L$399,8,False)+VLOOKUP($O118,'NO USAR1'!$A$4:$L$399,10,False)+VLOOKUP($O118,'NO USAR1'!$A$4:$L$399,12,False)*0</f>
        <v>-1.883571294</v>
      </c>
      <c r="S118" s="65">
        <f>VLOOKUP($O118,'NO USAR1'!$A$4:$L$399,2,False)*$U$19+VLOOKUP($O118,'NO USAR1'!$A$4:$L$399,3,False)*$V$19+VLOOKUP($O118,'NO USAR1'!$A$4:$L$399,4,False)*$W$19+VLOOKUP($O118,'NO USAR1'!$A$4:$L$399,5,False)*$X$19+VLOOKUP($O118,'NO USAR1'!$A$4:$L$399,6,False)*$Y$19+VLOOKUP($O118,'NO USAR1'!$A$4:$L$399,7,False)*$Z$19+VLOOKUP($O118,'NO USAR1'!$A$4:$L$399,8,False)*$AA$19+VLOOKUP($O118,'NO USAR1'!$A$4:$L$399,10,False)*$AB$19+VLOOKUP($O118,'NO USAR1'!$A$4:$L$399,12,False)*$AC$19+IF(Projections!$K$3,-AN118, IF(Projections!$J$3,-AM118,0))</f>
        <v>-2.49093256</v>
      </c>
      <c r="T118" s="65">
        <f t="shared" si="1"/>
        <v>-0.6073612659</v>
      </c>
      <c r="U118" s="65">
        <f>VLOOKUP($O118,'NO USAR2'!$B$2:$R$397,11,False)</f>
        <v>13.8</v>
      </c>
      <c r="V118" s="69">
        <f>VLOOKUP($O118,'NO USAR2'!$B$2:$R$397,10,False)</f>
        <v>1.8</v>
      </c>
      <c r="W118" s="65">
        <f>VLOOKUP($O118,'NO USAR2'!$B$2:$R$397,12,False)</f>
        <v>8.6</v>
      </c>
      <c r="X118" s="65">
        <f>VLOOKUP($O118,'NO USAR2'!$B$2:$R$397,13,False)</f>
        <v>1.1</v>
      </c>
      <c r="Y118" s="65">
        <f>VLOOKUP($O118,'NO USAR2'!$B$2:$R$397,14,False)</f>
        <v>0.7</v>
      </c>
      <c r="Z118" s="70">
        <f>VLOOKUP($O118,'NO USAR2'!$B$2:$R$397,15,False)</f>
        <v>0.7</v>
      </c>
      <c r="AA118" s="65">
        <f>100*VLOOKUP($O118,'NO USAR2'!$B$2:$R$397,7,False)</f>
        <v>48.24561404</v>
      </c>
      <c r="AB118" s="65">
        <f>100*VLOOKUP($O118,'NO USAR2'!$B$2:$R$397,9,False)</f>
        <v>73.33333333</v>
      </c>
      <c r="AC118" s="65">
        <f>VLOOKUP($O118,'NO USAR2'!$B$2:$Q$397,16,False)</f>
        <v>1.2</v>
      </c>
      <c r="AD118" s="65">
        <f>VLOOKUP($O118,'NO USAR1'!$A$4:$L$399,2,False)*$U$19</f>
        <v>-0.8396014965</v>
      </c>
      <c r="AE118" s="65">
        <f>VLOOKUP($O118,'NO USAR1'!$A$4:$L$399,3,False)*$V$19</f>
        <v>0.1865688902</v>
      </c>
      <c r="AF118" s="65">
        <f>VLOOKUP($O118,'NO USAR1'!$A$4:$L$399,4,False)*$W$19</f>
        <v>1.03094937</v>
      </c>
      <c r="AG118" s="65">
        <f>VLOOKUP($O118,'NO USAR1'!$A$4:$L$399,5,False)*$X$19</f>
        <v>-1.484951395</v>
      </c>
      <c r="AH118" s="65">
        <f>VLOOKUP($O118,'NO USAR1'!$A$4:$L$399,6,False)*$Y$19</f>
        <v>-1.242861316</v>
      </c>
      <c r="AI118" s="65">
        <f>VLOOKUP($O118,'NO USAR1'!$A$4:$L$399,7,False)*$Z$19</f>
        <v>0</v>
      </c>
      <c r="AJ118" s="65">
        <f>VLOOKUP($O118,'NO USAR1'!$A$4:$L$399,8,False)*$AA$19</f>
        <v>0</v>
      </c>
      <c r="AK118" s="70">
        <f>VLOOKUP($O118,'NO USAR1'!$A$4:$L$399,10,False)*$AB$19</f>
        <v>-0.1410366132</v>
      </c>
      <c r="AL118" s="65">
        <f>VLOOKUP($O118,'NO USAR1'!$A$4:$L$399,12,False)*$AC$19</f>
        <v>0</v>
      </c>
      <c r="AM118" s="71">
        <f t="shared" si="2"/>
        <v>-1.484951395</v>
      </c>
      <c r="AN118" s="71">
        <f t="shared" si="3"/>
        <v>-2.727812711</v>
      </c>
    </row>
    <row r="119">
      <c r="A119" t="str">
        <f>IF('NO USAR2'!B117="",ROW('NO USAR2'!B117),'NO USAR2'!B117)</f>
        <v>Anfernee Simons</v>
      </c>
      <c r="B119" s="58">
        <f>IF(TYPE($A119)=1,"",('NO USAR2'!$L117-B$1)/B$2)</f>
        <v>0.3278818388</v>
      </c>
      <c r="C119" s="58">
        <f>IF(TYPE($A119)=1,"",('NO USAR2'!$K117-C$1)/C$2)</f>
        <v>1.386515565</v>
      </c>
      <c r="D119" s="58">
        <f>IF(TYPE($A119)=1,"",('NO USAR2'!$M117-D$1)/D$2)</f>
        <v>-1.255056887</v>
      </c>
      <c r="E119" s="58">
        <f>IF(TYPE($A119)=1,"",('NO USAR2'!$N117-E$1)/E$2)</f>
        <v>-0.1835410648</v>
      </c>
      <c r="F119" s="58">
        <f>IF(TYPE($A119)=1,"",('NO USAR2'!$O117-F$1)/F$2)</f>
        <v>-1.32132894</v>
      </c>
      <c r="G119" s="58">
        <f>IF(TYPE($A119)=1,"",('NO USAR2'!$P117-G$1)/G$2)</f>
        <v>-1.23041904</v>
      </c>
      <c r="H119" s="58">
        <f>IF(TYPE($A119)=1,"",('NO USAR2'!$H117-H$1)/H$2*I119/$I$1)</f>
        <v>-0.7831298053</v>
      </c>
      <c r="I119" s="58">
        <f>IF(TYPE($A119)=1,"",IF('NO USAR2'!H117=0,0,'NO USAR2'!G117/'NO USAR2'!H117))</f>
        <v>15.5</v>
      </c>
      <c r="J119" s="59">
        <f>IF(TYPE($A119)=1,"",('NO USAR2'!$J117-J$1)/J$2*K119/$K$1)</f>
        <v>0.8572207149</v>
      </c>
      <c r="K119" s="60">
        <f>IF(TYPE($A119)=1,"",IF('NO USAR2'!J117=0,0,'NO USAR2'!I117/'NO USAR2'!J117))</f>
        <v>2.2</v>
      </c>
      <c r="L119" s="58">
        <f>IF(TYPE($A119)=1,"",-('NO USAR2'!$Q117-L$1)/L$2)</f>
        <v>-0.1977688445</v>
      </c>
      <c r="N119" s="63">
        <v>99.0</v>
      </c>
      <c r="O119" s="68" t="str">
        <f>IF('NO USAR2'!B62="",ROW('NO USAR2'!B62),'NO USAR2'!B62)</f>
        <v>Brandon Clarke</v>
      </c>
      <c r="P119" s="68">
        <f>'NO USAR2'!E100</f>
        <v>65</v>
      </c>
      <c r="Q119" s="68" t="str">
        <f>IF('NO USAR2'!C62="",ROW('NO USAR2'!N77),'NO USAR2'!C62)</f>
        <v>PF/C</v>
      </c>
      <c r="R119" s="65">
        <f>VLOOKUP($O119,'NO USAR1'!$A$4:$L$399,2,False)+VLOOKUP($O119,'NO USAR1'!$A$4:$L$399,3,False)+VLOOKUP($O119,'NO USAR1'!$A$4:$L$399,4,False)+VLOOKUP($O119,'NO USAR1'!$A$4:$L$399,5,False)+VLOOKUP($O119,'NO USAR1'!$A$4:$L$399,6,False)+VLOOKUP($O119,'NO USAR1'!$A$4:$L$399,7,False)+VLOOKUP($O119,'NO USAR1'!$A$4:$L$399,8,False)+VLOOKUP($O119,'NO USAR1'!$A$4:$L$399,10,False)+VLOOKUP($O119,'NO USAR1'!$A$4:$L$399,12,False)*0</f>
        <v>-1.884014433</v>
      </c>
      <c r="S119" s="65">
        <f>VLOOKUP($O119,'NO USAR1'!$A$4:$L$399,2,False)*$U$19+VLOOKUP($O119,'NO USAR1'!$A$4:$L$399,3,False)*$V$19+VLOOKUP($O119,'NO USAR1'!$A$4:$L$399,4,False)*$W$19+VLOOKUP($O119,'NO USAR1'!$A$4:$L$399,5,False)*$X$19+VLOOKUP($O119,'NO USAR1'!$A$4:$L$399,6,False)*$Y$19+VLOOKUP($O119,'NO USAR1'!$A$4:$L$399,7,False)*$Z$19+VLOOKUP($O119,'NO USAR1'!$A$4:$L$399,8,False)*$AA$19+VLOOKUP($O119,'NO USAR1'!$A$4:$L$399,10,False)*$AB$19+VLOOKUP($O119,'NO USAR1'!$A$4:$L$399,12,False)*$AC$19+IF(Projections!$K$3,-AN119, IF(Projections!$J$3,-AM119,0))</f>
        <v>-4.452159502</v>
      </c>
      <c r="T119" s="65">
        <f t="shared" si="1"/>
        <v>-2.568145068</v>
      </c>
      <c r="U119" s="65">
        <f>VLOOKUP($O119,'NO USAR2'!$B$2:$R$397,11,False)</f>
        <v>13.9</v>
      </c>
      <c r="V119" s="69">
        <f>VLOOKUP($O119,'NO USAR2'!$B$2:$R$397,10,False)</f>
        <v>0.1</v>
      </c>
      <c r="W119" s="65">
        <f>VLOOKUP($O119,'NO USAR2'!$B$2:$R$397,12,False)</f>
        <v>7</v>
      </c>
      <c r="X119" s="65">
        <f>VLOOKUP($O119,'NO USAR2'!$B$2:$R$397,13,False)</f>
        <v>1.8</v>
      </c>
      <c r="Y119" s="65">
        <f>VLOOKUP($O119,'NO USAR2'!$B$2:$R$397,14,False)</f>
        <v>0.8</v>
      </c>
      <c r="Z119" s="70">
        <f>VLOOKUP($O119,'NO USAR2'!$B$2:$R$397,15,False)</f>
        <v>1.2</v>
      </c>
      <c r="AA119" s="65">
        <f>100*VLOOKUP($O119,'NO USAR2'!$B$2:$R$397,7,False)</f>
        <v>61.8556701</v>
      </c>
      <c r="AB119" s="65">
        <f>100*VLOOKUP($O119,'NO USAR2'!$B$2:$R$397,9,False)</f>
        <v>65.38461538</v>
      </c>
      <c r="AC119" s="65">
        <f>VLOOKUP($O119,'NO USAR2'!$B$2:$Q$397,16,False)</f>
        <v>0.7</v>
      </c>
      <c r="AD119" s="65">
        <f>VLOOKUP($O119,'NO USAR1'!$A$4:$L$399,2,False)*$U$19</f>
        <v>-0.8129730114</v>
      </c>
      <c r="AE119" s="65">
        <f>VLOOKUP($O119,'NO USAR1'!$A$4:$L$399,3,False)*$V$19</f>
        <v>-1.513355566</v>
      </c>
      <c r="AF119" s="65">
        <f>VLOOKUP($O119,'NO USAR1'!$A$4:$L$399,4,False)*$W$19</f>
        <v>0.3778047254</v>
      </c>
      <c r="AG119" s="65">
        <f>VLOOKUP($O119,'NO USAR1'!$A$4:$L$399,5,False)*$X$19</f>
        <v>-1.085466147</v>
      </c>
      <c r="AH119" s="65">
        <f>VLOOKUP($O119,'NO USAR1'!$A$4:$L$399,6,False)*$Y$19</f>
        <v>-0.8340614572</v>
      </c>
      <c r="AI119" s="65">
        <f>VLOOKUP($O119,'NO USAR1'!$A$4:$L$399,7,False)*$Z$19</f>
        <v>0</v>
      </c>
      <c r="AJ119" s="65">
        <f>VLOOKUP($O119,'NO USAR1'!$A$4:$L$399,8,False)*$AA$19</f>
        <v>0</v>
      </c>
      <c r="AK119" s="70">
        <f>VLOOKUP($O119,'NO USAR1'!$A$4:$L$399,10,False)*$AB$19</f>
        <v>-0.584108045</v>
      </c>
      <c r="AL119" s="65">
        <f>VLOOKUP($O119,'NO USAR1'!$A$4:$L$399,12,False)*$AC$19</f>
        <v>0</v>
      </c>
      <c r="AM119" s="71">
        <f t="shared" si="2"/>
        <v>-1.513355566</v>
      </c>
      <c r="AN119" s="71">
        <f t="shared" si="3"/>
        <v>-2.598821713</v>
      </c>
    </row>
    <row r="120">
      <c r="A120" t="str">
        <f>IF('NO USAR2'!B118="",ROW('NO USAR2'!B118),'NO USAR2'!B118)</f>
        <v>Spencer Dinwiddie</v>
      </c>
      <c r="B120" s="58">
        <f>IF(TYPE($A120)=1,"",('NO USAR2'!$L118-B$1)/B$2)</f>
        <v>-0.1869355397</v>
      </c>
      <c r="C120" s="58">
        <f>IF(TYPE($A120)=1,"",('NO USAR2'!$K118-C$1)/C$2)</f>
        <v>0.2865644464</v>
      </c>
      <c r="D120" s="58">
        <f>IF(TYPE($A120)=1,"",('NO USAR2'!$M118-D$1)/D$2)</f>
        <v>-0.6019122419</v>
      </c>
      <c r="E120" s="58">
        <f>IF(TYPE($A120)=1,"",('NO USAR2'!$N118-E$1)/E$2)</f>
        <v>0.9121898999</v>
      </c>
      <c r="F120" s="58">
        <f>IF(TYPE($A120)=1,"",('NO USAR2'!$O118-F$1)/F$2)</f>
        <v>-0.6672491657</v>
      </c>
      <c r="G120" s="58">
        <f>IF(TYPE($A120)=1,"",('NO USAR2'!$P118-G$1)/G$2)</f>
        <v>-1.024427538</v>
      </c>
      <c r="H120" s="58">
        <f>IF(TYPE($A120)=1,"",('NO USAR2'!$H118-H$1)/H$2*I120/$I$1)</f>
        <v>-0.7090535973</v>
      </c>
      <c r="I120" s="58">
        <f>IF(TYPE($A120)=1,"",IF('NO USAR2'!H118=0,0,'NO USAR2'!G118/'NO USAR2'!H118))</f>
        <v>12.3</v>
      </c>
      <c r="J120" s="59">
        <f>IF(TYPE($A120)=1,"",('NO USAR2'!$J118-J$1)/J$2*K120/$K$1)</f>
        <v>-0.3953790677</v>
      </c>
      <c r="K120" s="60">
        <f>IF(TYPE($A120)=1,"",IF('NO USAR2'!J118=0,0,'NO USAR2'!I118/'NO USAR2'!J118))</f>
        <v>4.2</v>
      </c>
      <c r="L120" s="58">
        <f>IF(TYPE($A120)=1,"",-('NO USAR2'!$Q118-L$1)/L$2)</f>
        <v>0.2436926961</v>
      </c>
      <c r="N120" s="63">
        <v>100.0</v>
      </c>
      <c r="O120" s="68" t="str">
        <f>IF('NO USAR2'!B114="",ROW('NO USAR2'!B114),'NO USAR2'!B114)</f>
        <v>Bogdan Bogdanovic</v>
      </c>
      <c r="P120" s="68">
        <f>'NO USAR2'!E101</f>
        <v>64</v>
      </c>
      <c r="Q120" s="68" t="str">
        <f>IF('NO USAR2'!C114="",ROW('NO USAR2'!N129),'NO USAR2'!C114)</f>
        <v>SG/SF</v>
      </c>
      <c r="R120" s="65">
        <f>VLOOKUP($O120,'NO USAR1'!$A$4:$L$399,2,False)+VLOOKUP($O120,'NO USAR1'!$A$4:$L$399,3,False)+VLOOKUP($O120,'NO USAR1'!$A$4:$L$399,4,False)+VLOOKUP($O120,'NO USAR1'!$A$4:$L$399,5,False)+VLOOKUP($O120,'NO USAR1'!$A$4:$L$399,6,False)+VLOOKUP($O120,'NO USAR1'!$A$4:$L$399,7,False)+VLOOKUP($O120,'NO USAR1'!$A$4:$L$399,8,False)+VLOOKUP($O120,'NO USAR1'!$A$4:$L$399,10,False)+VLOOKUP($O120,'NO USAR1'!$A$4:$L$399,12,False)*0</f>
        <v>-1.893054471</v>
      </c>
      <c r="S120" s="65">
        <f>VLOOKUP($O120,'NO USAR1'!$A$4:$L$399,2,False)*$U$19+VLOOKUP($O120,'NO USAR1'!$A$4:$L$399,3,False)*$V$19+VLOOKUP($O120,'NO USAR1'!$A$4:$L$399,4,False)*$W$19+VLOOKUP($O120,'NO USAR1'!$A$4:$L$399,5,False)*$X$19+VLOOKUP($O120,'NO USAR1'!$A$4:$L$399,6,False)*$Y$19+VLOOKUP($O120,'NO USAR1'!$A$4:$L$399,7,False)*$Z$19+VLOOKUP($O120,'NO USAR1'!$A$4:$L$399,8,False)*$AA$19+VLOOKUP($O120,'NO USAR1'!$A$4:$L$399,10,False)*$AB$19+VLOOKUP($O120,'NO USAR1'!$A$4:$L$399,12,False)*$AC$19+IF(Projections!$K$3,-AN120, IF(Projections!$J$3,-AM120,0))</f>
        <v>-0.4398647713</v>
      </c>
      <c r="T120" s="65">
        <f t="shared" si="1"/>
        <v>1.4531897</v>
      </c>
      <c r="U120" s="65">
        <f>VLOOKUP($O120,'NO USAR2'!$B$2:$R$397,11,False)</f>
        <v>14.7</v>
      </c>
      <c r="V120" s="69">
        <f>VLOOKUP($O120,'NO USAR2'!$B$2:$R$397,10,False)</f>
        <v>2.6</v>
      </c>
      <c r="W120" s="65">
        <f>VLOOKUP($O120,'NO USAR2'!$B$2:$R$397,12,False)</f>
        <v>3.9</v>
      </c>
      <c r="X120" s="65">
        <f>VLOOKUP($O120,'NO USAR2'!$B$2:$R$397,13,False)</f>
        <v>2.9</v>
      </c>
      <c r="Y120" s="65">
        <f>VLOOKUP($O120,'NO USAR2'!$B$2:$R$397,14,False)</f>
        <v>1.1</v>
      </c>
      <c r="Z120" s="70">
        <f>VLOOKUP($O120,'NO USAR2'!$B$2:$R$397,15,False)</f>
        <v>0.2</v>
      </c>
      <c r="AA120" s="65">
        <f>100*VLOOKUP($O120,'NO USAR2'!$B$2:$R$397,7,False)</f>
        <v>43.44262295</v>
      </c>
      <c r="AB120" s="65">
        <f>100*VLOOKUP($O120,'NO USAR2'!$B$2:$R$397,9,False)</f>
        <v>83.33333333</v>
      </c>
      <c r="AC120" s="65">
        <f>VLOOKUP($O120,'NO USAR2'!$B$2:$Q$397,16,False)</f>
        <v>1.1</v>
      </c>
      <c r="AD120" s="65">
        <f>VLOOKUP($O120,'NO USAR1'!$A$4:$L$399,2,False)*$U$19</f>
        <v>-0.5999451306</v>
      </c>
      <c r="AE120" s="65">
        <f>VLOOKUP($O120,'NO USAR1'!$A$4:$L$399,3,False)*$V$19</f>
        <v>0.9865333402</v>
      </c>
      <c r="AF120" s="65">
        <f>VLOOKUP($O120,'NO USAR1'!$A$4:$L$399,4,False)*$W$19</f>
        <v>-0.8876630241</v>
      </c>
      <c r="AG120" s="65">
        <f>VLOOKUP($O120,'NO USAR1'!$A$4:$L$399,5,False)*$X$19</f>
        <v>-0.4577036154</v>
      </c>
      <c r="AH120" s="65">
        <f>VLOOKUP($O120,'NO USAR1'!$A$4:$L$399,6,False)*$Y$19</f>
        <v>0.3923381197</v>
      </c>
      <c r="AI120" s="65">
        <f>VLOOKUP($O120,'NO USAR1'!$A$4:$L$399,7,False)*$Z$19</f>
        <v>0</v>
      </c>
      <c r="AJ120" s="65">
        <f>VLOOKUP($O120,'NO USAR1'!$A$4:$L$399,8,False)*$AA$19</f>
        <v>0</v>
      </c>
      <c r="AK120" s="70">
        <f>VLOOKUP($O120,'NO USAR1'!$A$4:$L$399,10,False)*$AB$19</f>
        <v>0.1265755389</v>
      </c>
      <c r="AL120" s="65">
        <f>VLOOKUP($O120,'NO USAR1'!$A$4:$L$399,12,False)*$AC$19</f>
        <v>0</v>
      </c>
      <c r="AM120" s="71">
        <f t="shared" si="2"/>
        <v>-0.8876630241</v>
      </c>
      <c r="AN120" s="71">
        <f t="shared" si="3"/>
        <v>-1.487608155</v>
      </c>
    </row>
    <row r="121">
      <c r="A121" t="str">
        <f>IF('NO USAR2'!B119="",ROW('NO USAR2'!B119),'NO USAR2'!B119)</f>
        <v>Collin Sexton</v>
      </c>
      <c r="B121" s="58">
        <f>IF(TYPE($A121)=1,"",('NO USAR2'!$L119-B$1)/B$2)</f>
        <v>0.8071945706</v>
      </c>
      <c r="C121" s="58">
        <f>IF(TYPE($A121)=1,"",('NO USAR2'!$K119-C$1)/C$2)</f>
        <v>-0.3134088911</v>
      </c>
      <c r="D121" s="58">
        <f>IF(TYPE($A121)=1,"",('NO USAR2'!$M119-D$1)/D$2)</f>
        <v>-1.091770726</v>
      </c>
      <c r="E121" s="58">
        <f>IF(TYPE($A121)=1,"",('NO USAR2'!$N119-E$1)/E$2)</f>
        <v>0.1817025901</v>
      </c>
      <c r="F121" s="58">
        <f>IF(TYPE($A121)=1,"",('NO USAR2'!$O119-F$1)/F$2)</f>
        <v>-0.01316939143</v>
      </c>
      <c r="G121" s="58">
        <f>IF(TYPE($A121)=1,"",('NO USAR2'!$P119-G$1)/G$2)</f>
        <v>-1.23041904</v>
      </c>
      <c r="H121" s="58">
        <f>IF(TYPE($A121)=1,"",('NO USAR2'!$H119-H$1)/H$2*I121/$I$1)</f>
        <v>-0.6329684848</v>
      </c>
      <c r="I121" s="58">
        <f>IF(TYPE($A121)=1,"",IF('NO USAR2'!H119=0,0,'NO USAR2'!G119/'NO USAR2'!H119))</f>
        <v>18.1</v>
      </c>
      <c r="J121" s="59">
        <f>IF(TYPE($A121)=1,"",('NO USAR2'!$J119-J$1)/J$2*K121/$K$1)</f>
        <v>0.07099990349</v>
      </c>
      <c r="K121" s="60">
        <f>IF(TYPE($A121)=1,"",IF('NO USAR2'!J119=0,0,'NO USAR2'!I119/'NO USAR2'!J119))</f>
        <v>4.4</v>
      </c>
      <c r="L121" s="58">
        <f>IF(TYPE($A121)=1,"",-('NO USAR2'!$Q119-L$1)/L$2)</f>
        <v>-0.8599611555</v>
      </c>
      <c r="N121" s="2">
        <v>101.0</v>
      </c>
      <c r="O121" s="68" t="str">
        <f>IF('NO USAR2'!B84="",ROW('NO USAR2'!B84),'NO USAR2'!B84)</f>
        <v>Jakob Poeltl</v>
      </c>
      <c r="P121" s="68">
        <f>'NO USAR2'!E102</f>
        <v>73</v>
      </c>
      <c r="Q121" s="68" t="str">
        <f>IF('NO USAR2'!C84="",ROW('NO USAR2'!N99),'NO USAR2'!C84)</f>
        <v>C</v>
      </c>
      <c r="R121" s="65">
        <f>VLOOKUP($O121,'NO USAR1'!$A$4:$L$399,2,False)+VLOOKUP($O121,'NO USAR1'!$A$4:$L$399,3,False)+VLOOKUP($O121,'NO USAR1'!$A$4:$L$399,4,False)+VLOOKUP($O121,'NO USAR1'!$A$4:$L$399,5,False)+VLOOKUP($O121,'NO USAR1'!$A$4:$L$399,6,False)+VLOOKUP($O121,'NO USAR1'!$A$4:$L$399,7,False)+VLOOKUP($O121,'NO USAR1'!$A$4:$L$399,8,False)+VLOOKUP($O121,'NO USAR1'!$A$4:$L$399,10,False)+VLOOKUP($O121,'NO USAR1'!$A$4:$L$399,12,False)*0</f>
        <v>-1.897821763</v>
      </c>
      <c r="S121" s="65">
        <f>VLOOKUP($O121,'NO USAR1'!$A$4:$L$399,2,False)*$U$19+VLOOKUP($O121,'NO USAR1'!$A$4:$L$399,3,False)*$V$19+VLOOKUP($O121,'NO USAR1'!$A$4:$L$399,4,False)*$W$19+VLOOKUP($O121,'NO USAR1'!$A$4:$L$399,5,False)*$X$19+VLOOKUP($O121,'NO USAR1'!$A$4:$L$399,6,False)*$Y$19+VLOOKUP($O121,'NO USAR1'!$A$4:$L$399,7,False)*$Z$19+VLOOKUP($O121,'NO USAR1'!$A$4:$L$399,8,False)*$AA$19+VLOOKUP($O121,'NO USAR1'!$A$4:$L$399,10,False)*$AB$19+VLOOKUP($O121,'NO USAR1'!$A$4:$L$399,12,False)*$AC$19+IF(Projections!$K$3,-AN121, IF(Projections!$J$3,-AM121,0))</f>
        <v>-4.488955541</v>
      </c>
      <c r="T121" s="65">
        <f t="shared" si="1"/>
        <v>-2.591133778</v>
      </c>
      <c r="U121" s="65">
        <f>VLOOKUP($O121,'NO USAR2'!$B$2:$R$397,11,False)</f>
        <v>13.5</v>
      </c>
      <c r="V121" s="69">
        <f>VLOOKUP($O121,'NO USAR2'!$B$2:$R$397,10,False)</f>
        <v>0</v>
      </c>
      <c r="W121" s="65">
        <f>VLOOKUP($O121,'NO USAR2'!$B$2:$R$397,12,False)</f>
        <v>9.5</v>
      </c>
      <c r="X121" s="65">
        <f>VLOOKUP($O121,'NO USAR2'!$B$2:$R$397,13,False)</f>
        <v>2.8</v>
      </c>
      <c r="Y121" s="65">
        <f>VLOOKUP($O121,'NO USAR2'!$B$2:$R$397,14,False)</f>
        <v>0.7</v>
      </c>
      <c r="Z121" s="70">
        <f>VLOOKUP($O121,'NO USAR2'!$B$2:$R$397,15,False)</f>
        <v>1.7</v>
      </c>
      <c r="AA121" s="65">
        <f>100*VLOOKUP($O121,'NO USAR2'!$B$2:$R$397,7,False)</f>
        <v>61.61616162</v>
      </c>
      <c r="AB121" s="65">
        <f>100*VLOOKUP($O121,'NO USAR2'!$B$2:$R$397,9,False)</f>
        <v>46.66666667</v>
      </c>
      <c r="AC121" s="65">
        <f>VLOOKUP($O121,'NO USAR2'!$B$2:$Q$397,16,False)</f>
        <v>1.6</v>
      </c>
      <c r="AD121" s="65">
        <f>VLOOKUP($O121,'NO USAR1'!$A$4:$L$399,2,False)*$U$19</f>
        <v>-0.9194869518</v>
      </c>
      <c r="AE121" s="65">
        <f>VLOOKUP($O121,'NO USAR1'!$A$4:$L$399,3,False)*$V$19</f>
        <v>-1.613351122</v>
      </c>
      <c r="AF121" s="65">
        <f>VLOOKUP($O121,'NO USAR1'!$A$4:$L$399,4,False)*$W$19</f>
        <v>1.398343233</v>
      </c>
      <c r="AG121" s="65">
        <f>VLOOKUP($O121,'NO USAR1'!$A$4:$L$399,5,False)*$X$19</f>
        <v>-0.5147729365</v>
      </c>
      <c r="AH121" s="65">
        <f>VLOOKUP($O121,'NO USAR1'!$A$4:$L$399,6,False)*$Y$19</f>
        <v>-1.242861316</v>
      </c>
      <c r="AI121" s="65">
        <f>VLOOKUP($O121,'NO USAR1'!$A$4:$L$399,7,False)*$Z$19</f>
        <v>0</v>
      </c>
      <c r="AJ121" s="65">
        <f>VLOOKUP($O121,'NO USAR1'!$A$4:$L$399,8,False)*$AA$19</f>
        <v>0</v>
      </c>
      <c r="AK121" s="70">
        <f>VLOOKUP($O121,'NO USAR1'!$A$4:$L$399,10,False)*$AB$19</f>
        <v>-1.596826447</v>
      </c>
      <c r="AL121" s="65">
        <f>VLOOKUP($O121,'NO USAR1'!$A$4:$L$399,12,False)*$AC$19</f>
        <v>0</v>
      </c>
      <c r="AM121" s="71">
        <f t="shared" si="2"/>
        <v>-1.613351122</v>
      </c>
      <c r="AN121" s="71">
        <f t="shared" si="3"/>
        <v>-3.21017757</v>
      </c>
    </row>
    <row r="122">
      <c r="A122" t="str">
        <f>IF('NO USAR2'!B120="",ROW('NO USAR2'!B120),'NO USAR2'!B120)</f>
        <v>Cody Martin</v>
      </c>
      <c r="B122" s="58">
        <f>IF(TYPE($A122)=1,"",('NO USAR2'!$L120-B$1)/B$2)</f>
        <v>-1.18106565</v>
      </c>
      <c r="C122" s="58">
        <f>IF(TYPE($A122)=1,"",('NO USAR2'!$K120-C$1)/C$2)</f>
        <v>-0.5134000036</v>
      </c>
      <c r="D122" s="58">
        <f>IF(TYPE($A122)=1,"",('NO USAR2'!$M120-D$1)/D$2)</f>
        <v>-0.5202691613</v>
      </c>
      <c r="E122" s="58">
        <f>IF(TYPE($A122)=1,"",('NO USAR2'!$N120-E$1)/E$2)</f>
        <v>-0.3661628923</v>
      </c>
      <c r="F122" s="58">
        <f>IF(TYPE($A122)=1,"",('NO USAR2'!$O120-F$1)/F$2)</f>
        <v>0.96795027</v>
      </c>
      <c r="G122" s="58">
        <f>IF(TYPE($A122)=1,"",('NO USAR2'!$P120-G$1)/G$2)</f>
        <v>-0.200461529</v>
      </c>
      <c r="H122" s="58">
        <f>IF(TYPE($A122)=1,"",('NO USAR2'!$H120-H$1)/H$2*I122/$I$1)</f>
        <v>-0.06520088204</v>
      </c>
      <c r="I122" s="58">
        <f>IF(TYPE($A122)=1,"",IF('NO USAR2'!H120=0,0,'NO USAR2'!G120/'NO USAR2'!H120))</f>
        <v>8.3</v>
      </c>
      <c r="J122" s="59">
        <f>IF(TYPE($A122)=1,"",('NO USAR2'!$J120-J$1)/J$2*K122/$K$1)</f>
        <v>-0.1443825605</v>
      </c>
      <c r="K122" s="60">
        <f>IF(TYPE($A122)=1,"",IF('NO USAR2'!J120=0,0,'NO USAR2'!I120/'NO USAR2'!J120))</f>
        <v>1.7</v>
      </c>
      <c r="L122" s="58">
        <f>IF(TYPE($A122)=1,"",-('NO USAR2'!$Q120-L$1)/L$2)</f>
        <v>1.016250392</v>
      </c>
      <c r="N122" s="63">
        <v>102.0</v>
      </c>
      <c r="O122" s="68" t="str">
        <f>IF('NO USAR2'!B111="",ROW('NO USAR2'!B111),'NO USAR2'!B111)</f>
        <v>Dorian Finney-Smith</v>
      </c>
      <c r="P122" s="68">
        <f>'NO USAR2'!E103</f>
        <v>76</v>
      </c>
      <c r="Q122" s="68" t="str">
        <f>IF('NO USAR2'!C111="",ROW('NO USAR2'!N126),'NO USAR2'!C111)</f>
        <v>SF/PF</v>
      </c>
      <c r="R122" s="65">
        <f>VLOOKUP($O122,'NO USAR1'!$A$4:$L$399,2,False)+VLOOKUP($O122,'NO USAR1'!$A$4:$L$399,3,False)+VLOOKUP($O122,'NO USAR1'!$A$4:$L$399,4,False)+VLOOKUP($O122,'NO USAR1'!$A$4:$L$399,5,False)+VLOOKUP($O122,'NO USAR1'!$A$4:$L$399,6,False)+VLOOKUP($O122,'NO USAR1'!$A$4:$L$399,7,False)+VLOOKUP($O122,'NO USAR1'!$A$4:$L$399,8,False)+VLOOKUP($O122,'NO USAR1'!$A$4:$L$399,10,False)+VLOOKUP($O122,'NO USAR1'!$A$4:$L$399,12,False)*0</f>
        <v>-1.903552352</v>
      </c>
      <c r="S122" s="65">
        <f>VLOOKUP($O122,'NO USAR1'!$A$4:$L$399,2,False)*$U$19+VLOOKUP($O122,'NO USAR1'!$A$4:$L$399,3,False)*$V$19+VLOOKUP($O122,'NO USAR1'!$A$4:$L$399,4,False)*$W$19+VLOOKUP($O122,'NO USAR1'!$A$4:$L$399,5,False)*$X$19+VLOOKUP($O122,'NO USAR1'!$A$4:$L$399,6,False)*$Y$19+VLOOKUP($O122,'NO USAR1'!$A$4:$L$399,7,False)*$Z$19+VLOOKUP($O122,'NO USAR1'!$A$4:$L$399,8,False)*$AA$19+VLOOKUP($O122,'NO USAR1'!$A$4:$L$399,10,False)*$AB$19+VLOOKUP($O122,'NO USAR1'!$A$4:$L$399,12,False)*$AC$19+IF(Projections!$K$3,-AN122, IF(Projections!$J$3,-AM122,0))</f>
        <v>-1.913974162</v>
      </c>
      <c r="T122" s="65">
        <f t="shared" si="1"/>
        <v>-0.01042180996</v>
      </c>
      <c r="U122" s="65">
        <f>VLOOKUP($O122,'NO USAR2'!$B$2:$R$397,11,False)</f>
        <v>12</v>
      </c>
      <c r="V122" s="69">
        <f>VLOOKUP($O122,'NO USAR2'!$B$2:$R$397,10,False)</f>
        <v>2.2</v>
      </c>
      <c r="W122" s="65">
        <f>VLOOKUP($O122,'NO USAR2'!$B$2:$R$397,12,False)</f>
        <v>4.7</v>
      </c>
      <c r="X122" s="65">
        <f>VLOOKUP($O122,'NO USAR2'!$B$2:$R$397,13,False)</f>
        <v>1.9</v>
      </c>
      <c r="Y122" s="65">
        <f>VLOOKUP($O122,'NO USAR2'!$B$2:$R$397,14,False)</f>
        <v>1.1</v>
      </c>
      <c r="Z122" s="70">
        <f>VLOOKUP($O122,'NO USAR2'!$B$2:$R$397,15,False)</f>
        <v>0.5</v>
      </c>
      <c r="AA122" s="65">
        <f>100*VLOOKUP($O122,'NO USAR2'!$B$2:$R$397,7,False)</f>
        <v>47.36842105</v>
      </c>
      <c r="AB122" s="65">
        <f>100*VLOOKUP($O122,'NO USAR2'!$B$2:$R$397,9,False)</f>
        <v>80</v>
      </c>
      <c r="AC122" s="65">
        <f>VLOOKUP($O122,'NO USAR2'!$B$2:$Q$397,16,False)</f>
        <v>1</v>
      </c>
      <c r="AD122" s="65">
        <f>VLOOKUP($O122,'NO USAR1'!$A$4:$L$399,2,False)*$U$19</f>
        <v>-1.318914228</v>
      </c>
      <c r="AE122" s="65">
        <f>VLOOKUP($O122,'NO USAR1'!$A$4:$L$399,3,False)*$V$19</f>
        <v>0.5865511152</v>
      </c>
      <c r="AF122" s="65">
        <f>VLOOKUP($O122,'NO USAR1'!$A$4:$L$399,4,False)*$W$19</f>
        <v>-0.5610907016</v>
      </c>
      <c r="AG122" s="65">
        <f>VLOOKUP($O122,'NO USAR1'!$A$4:$L$399,5,False)*$X$19</f>
        <v>-1.028396826</v>
      </c>
      <c r="AH122" s="65">
        <f>VLOOKUP($O122,'NO USAR1'!$A$4:$L$399,6,False)*$Y$19</f>
        <v>0.3923381197</v>
      </c>
      <c r="AI122" s="65">
        <f>VLOOKUP($O122,'NO USAR1'!$A$4:$L$399,7,False)*$Z$19</f>
        <v>0</v>
      </c>
      <c r="AJ122" s="65">
        <f>VLOOKUP($O122,'NO USAR1'!$A$4:$L$399,8,False)*$AA$19</f>
        <v>0</v>
      </c>
      <c r="AK122" s="70">
        <f>VLOOKUP($O122,'NO USAR1'!$A$4:$L$399,10,False)*$AB$19</f>
        <v>0.01553835961</v>
      </c>
      <c r="AL122" s="65">
        <f>VLOOKUP($O122,'NO USAR1'!$A$4:$L$399,12,False)*$AC$19</f>
        <v>0</v>
      </c>
      <c r="AM122" s="71">
        <f t="shared" si="2"/>
        <v>-1.318914228</v>
      </c>
      <c r="AN122" s="71">
        <f t="shared" si="3"/>
        <v>-2.347311054</v>
      </c>
    </row>
    <row r="123">
      <c r="A123" t="str">
        <f>IF('NO USAR2'!B121="",ROW('NO USAR2'!B121),'NO USAR2'!B121)</f>
        <v>Bones Hyland</v>
      </c>
      <c r="B123" s="58">
        <f>IF(TYPE($A123)=1,"",('NO USAR2'!$L121-B$1)/B$2)</f>
        <v>-0.8082668586</v>
      </c>
      <c r="C123" s="58">
        <f>IF(TYPE($A123)=1,"",('NO USAR2'!$K121-C$1)/C$2)</f>
        <v>0.7865422277</v>
      </c>
      <c r="D123" s="58">
        <f>IF(TYPE($A123)=1,"",('NO USAR2'!$M121-D$1)/D$2)</f>
        <v>-1.050949185</v>
      </c>
      <c r="E123" s="58">
        <f>IF(TYPE($A123)=1,"",('NO USAR2'!$N121-E$1)/E$2)</f>
        <v>-0.04657469425</v>
      </c>
      <c r="F123" s="58">
        <f>IF(TYPE($A123)=1,"",('NO USAR2'!$O121-F$1)/F$2)</f>
        <v>-0.6672491657</v>
      </c>
      <c r="G123" s="58">
        <f>IF(TYPE($A123)=1,"",('NO USAR2'!$P121-G$1)/G$2)</f>
        <v>-0.6124445335</v>
      </c>
      <c r="H123" s="58">
        <f>IF(TYPE($A123)=1,"",('NO USAR2'!$H121-H$1)/H$2*I123/$I$1)</f>
        <v>-0.6323537647</v>
      </c>
      <c r="I123" s="58">
        <f>IF(TYPE($A123)=1,"",IF('NO USAR2'!H121=0,0,'NO USAR2'!G121/'NO USAR2'!H121))</f>
        <v>9.3</v>
      </c>
      <c r="J123" s="59">
        <f>IF(TYPE($A123)=1,"",('NO USAR2'!$J121-J$1)/J$2*K123/$K$1)</f>
        <v>0.5973777426</v>
      </c>
      <c r="K123" s="60">
        <f>IF(TYPE($A123)=1,"",IF('NO USAR2'!J121=0,0,'NO USAR2'!I121/'NO USAR2'!J121))</f>
        <v>2.3</v>
      </c>
      <c r="L123" s="58">
        <f>IF(TYPE($A123)=1,"",-('NO USAR2'!$Q121-L$1)/L$2)</f>
        <v>0.3540580812</v>
      </c>
      <c r="N123" s="63">
        <v>103.0</v>
      </c>
      <c r="O123" s="68" t="str">
        <f>IF('NO USAR2'!B108="",ROW('NO USAR2'!B108),'NO USAR2'!B108)</f>
        <v>Herbert Jones</v>
      </c>
      <c r="P123" s="68">
        <f>'NO USAR2'!E104</f>
        <v>71</v>
      </c>
      <c r="Q123" s="68" t="str">
        <f>IF('NO USAR2'!C108="",ROW('NO USAR2'!N123),'NO USAR2'!C108)</f>
        <v>SF/PF</v>
      </c>
      <c r="R123" s="65">
        <f>VLOOKUP($O123,'NO USAR1'!$A$4:$L$399,2,False)+VLOOKUP($O123,'NO USAR1'!$A$4:$L$399,3,False)+VLOOKUP($O123,'NO USAR1'!$A$4:$L$399,4,False)+VLOOKUP($O123,'NO USAR1'!$A$4:$L$399,5,False)+VLOOKUP($O123,'NO USAR1'!$A$4:$L$399,6,False)+VLOOKUP($O123,'NO USAR1'!$A$4:$L$399,7,False)+VLOOKUP($O123,'NO USAR1'!$A$4:$L$399,8,False)+VLOOKUP($O123,'NO USAR1'!$A$4:$L$399,10,False)+VLOOKUP($O123,'NO USAR1'!$A$4:$L$399,12,False)*0</f>
        <v>-1.910850421</v>
      </c>
      <c r="S123" s="65">
        <f>VLOOKUP($O123,'NO USAR1'!$A$4:$L$399,2,False)*$U$19+VLOOKUP($O123,'NO USAR1'!$A$4:$L$399,3,False)*$V$19+VLOOKUP($O123,'NO USAR1'!$A$4:$L$399,4,False)*$W$19+VLOOKUP($O123,'NO USAR1'!$A$4:$L$399,5,False)*$X$19+VLOOKUP($O123,'NO USAR1'!$A$4:$L$399,6,False)*$Y$19+VLOOKUP($O123,'NO USAR1'!$A$4:$L$399,7,False)*$Z$19+VLOOKUP($O123,'NO USAR1'!$A$4:$L$399,8,False)*$AA$19+VLOOKUP($O123,'NO USAR1'!$A$4:$L$399,10,False)*$AB$19+VLOOKUP($O123,'NO USAR1'!$A$4:$L$399,12,False)*$AC$19+IF(Projections!$K$3,-AN123, IF(Projections!$J$3,-AM123,0))</f>
        <v>-2.446361049</v>
      </c>
      <c r="T123" s="65">
        <f t="shared" si="1"/>
        <v>-0.535510628</v>
      </c>
      <c r="U123" s="65">
        <f>VLOOKUP($O123,'NO USAR2'!$B$2:$R$397,11,False)</f>
        <v>9.7</v>
      </c>
      <c r="V123" s="69">
        <f>VLOOKUP($O123,'NO USAR2'!$B$2:$R$397,10,False)</f>
        <v>0.7</v>
      </c>
      <c r="W123" s="65">
        <f>VLOOKUP($O123,'NO USAR2'!$B$2:$R$397,12,False)</f>
        <v>3.9</v>
      </c>
      <c r="X123" s="65">
        <f>VLOOKUP($O123,'NO USAR2'!$B$2:$R$397,13,False)</f>
        <v>2</v>
      </c>
      <c r="Y123" s="65">
        <f>VLOOKUP($O123,'NO USAR2'!$B$2:$R$397,14,False)</f>
        <v>1.5</v>
      </c>
      <c r="Z123" s="70">
        <f>VLOOKUP($O123,'NO USAR2'!$B$2:$R$397,15,False)</f>
        <v>0.7</v>
      </c>
      <c r="AA123" s="65">
        <f>100*VLOOKUP($O123,'NO USAR2'!$B$2:$R$397,7,False)</f>
        <v>47.36842105</v>
      </c>
      <c r="AB123" s="65">
        <f>100*VLOOKUP($O123,'NO USAR2'!$B$2:$R$397,9,False)</f>
        <v>85.71428571</v>
      </c>
      <c r="AC123" s="65">
        <f>VLOOKUP($O123,'NO USAR2'!$B$2:$Q$397,16,False)</f>
        <v>1.3</v>
      </c>
      <c r="AD123" s="65">
        <f>VLOOKUP($O123,'NO USAR1'!$A$4:$L$399,2,False)*$U$19</f>
        <v>-1.931369385</v>
      </c>
      <c r="AE123" s="65">
        <f>VLOOKUP($O123,'NO USAR1'!$A$4:$L$399,3,False)*$V$19</f>
        <v>-0.9133822286</v>
      </c>
      <c r="AF123" s="65">
        <f>VLOOKUP($O123,'NO USAR1'!$A$4:$L$399,4,False)*$W$19</f>
        <v>-0.8876630241</v>
      </c>
      <c r="AG123" s="65">
        <f>VLOOKUP($O123,'NO USAR1'!$A$4:$L$399,5,False)*$X$19</f>
        <v>-0.9713275051</v>
      </c>
      <c r="AH123" s="65">
        <f>VLOOKUP($O123,'NO USAR1'!$A$4:$L$399,6,False)*$Y$19</f>
        <v>2.027537555</v>
      </c>
      <c r="AI123" s="65">
        <f>VLOOKUP($O123,'NO USAR1'!$A$4:$L$399,7,False)*$Z$19</f>
        <v>0</v>
      </c>
      <c r="AJ123" s="65">
        <f>VLOOKUP($O123,'NO USAR1'!$A$4:$L$399,8,False)*$AA$19</f>
        <v>0</v>
      </c>
      <c r="AK123" s="70">
        <f>VLOOKUP($O123,'NO USAR1'!$A$4:$L$399,10,False)*$AB$19</f>
        <v>0.2298435383</v>
      </c>
      <c r="AL123" s="65">
        <f>VLOOKUP($O123,'NO USAR1'!$A$4:$L$399,12,False)*$AC$19</f>
        <v>0</v>
      </c>
      <c r="AM123" s="71">
        <f t="shared" si="2"/>
        <v>-1.931369385</v>
      </c>
      <c r="AN123" s="71">
        <f t="shared" si="3"/>
        <v>-2.90269689</v>
      </c>
    </row>
    <row r="124">
      <c r="A124" t="str">
        <f>IF('NO USAR2'!B122="",ROW('NO USAR2'!B122),'NO USAR2'!B122)</f>
        <v>Jalen Smith</v>
      </c>
      <c r="B124" s="58">
        <f>IF(TYPE($A124)=1,"",('NO USAR2'!$L122-B$1)/B$2)</f>
        <v>-0.6129913012</v>
      </c>
      <c r="C124" s="58">
        <f>IF(TYPE($A124)=1,"",('NO USAR2'!$K122-C$1)/C$2)</f>
        <v>-0.3134088911</v>
      </c>
      <c r="D124" s="58">
        <f>IF(TYPE($A124)=1,"",('NO USAR2'!$M122-D$1)/D$2)</f>
        <v>0.5819124269</v>
      </c>
      <c r="E124" s="58">
        <f>IF(TYPE($A124)=1,"",('NO USAR2'!$N122-E$1)/E$2)</f>
        <v>-1.324927486</v>
      </c>
      <c r="F124" s="58">
        <f>IF(TYPE($A124)=1,"",('NO USAR2'!$O122-F$1)/F$2)</f>
        <v>-1.648368827</v>
      </c>
      <c r="G124" s="58">
        <f>IF(TYPE($A124)=1,"",('NO USAR2'!$P122-G$1)/G$2)</f>
        <v>0.8294959822</v>
      </c>
      <c r="H124" s="58">
        <f>IF(TYPE($A124)=1,"",('NO USAR2'!$H122-H$1)/H$2*I124/$I$1)</f>
        <v>-0.03634101178</v>
      </c>
      <c r="I124" s="58">
        <f>IF(TYPE($A124)=1,"",IF('NO USAR2'!H122=0,0,'NO USAR2'!G122/'NO USAR2'!H122))</f>
        <v>10.5</v>
      </c>
      <c r="J124" s="59">
        <f>IF(TYPE($A124)=1,"",('NO USAR2'!$J122-J$1)/J$2*K124/$K$1)</f>
        <v>-0.3731488136</v>
      </c>
      <c r="K124" s="60">
        <f>IF(TYPE($A124)=1,"",IF('NO USAR2'!J122=0,0,'NO USAR2'!I122/'NO USAR2'!J122))</f>
        <v>2.8</v>
      </c>
      <c r="L124" s="58">
        <f>IF(TYPE($A124)=1,"",-('NO USAR2'!$Q122-L$1)/L$2)</f>
        <v>0.7955196219</v>
      </c>
      <c r="N124" s="2">
        <v>104.0</v>
      </c>
      <c r="O124" s="68" t="str">
        <f>IF('NO USAR2'!B80="",ROW('NO USAR2'!B80),'NO USAR2'!B80)</f>
        <v>Al Horford</v>
      </c>
      <c r="P124" s="68">
        <f>'NO USAR2'!E105</f>
        <v>61</v>
      </c>
      <c r="Q124" s="68" t="str">
        <f>IF('NO USAR2'!C80="",ROW('NO USAR2'!N95),'NO USAR2'!C80)</f>
        <v>PF/C</v>
      </c>
      <c r="R124" s="65">
        <f>VLOOKUP($O124,'NO USAR1'!$A$4:$L$399,2,False)+VLOOKUP($O124,'NO USAR1'!$A$4:$L$399,3,False)+VLOOKUP($O124,'NO USAR1'!$A$4:$L$399,4,False)+VLOOKUP($O124,'NO USAR1'!$A$4:$L$399,5,False)+VLOOKUP($O124,'NO USAR1'!$A$4:$L$399,6,False)+VLOOKUP($O124,'NO USAR1'!$A$4:$L$399,7,False)+VLOOKUP($O124,'NO USAR1'!$A$4:$L$399,8,False)+VLOOKUP($O124,'NO USAR1'!$A$4:$L$399,10,False)+VLOOKUP($O124,'NO USAR1'!$A$4:$L$399,12,False)*0</f>
        <v>-1.948970708</v>
      </c>
      <c r="S124" s="65">
        <f>VLOOKUP($O124,'NO USAR1'!$A$4:$L$399,2,False)*$U$19+VLOOKUP($O124,'NO USAR1'!$A$4:$L$399,3,False)*$V$19+VLOOKUP($O124,'NO USAR1'!$A$4:$L$399,4,False)*$W$19+VLOOKUP($O124,'NO USAR1'!$A$4:$L$399,5,False)*$X$19+VLOOKUP($O124,'NO USAR1'!$A$4:$L$399,6,False)*$Y$19+VLOOKUP($O124,'NO USAR1'!$A$4:$L$399,7,False)*$Z$19+VLOOKUP($O124,'NO USAR1'!$A$4:$L$399,8,False)*$AA$19+VLOOKUP($O124,'NO USAR1'!$A$4:$L$399,10,False)*$AB$19+VLOOKUP($O124,'NO USAR1'!$A$4:$L$399,12,False)*$AC$19+IF(Projections!$K$3,-AN124, IF(Projections!$J$3,-AM124,0))</f>
        <v>-3.521634258</v>
      </c>
      <c r="T124" s="65">
        <f t="shared" si="1"/>
        <v>-1.57266355</v>
      </c>
      <c r="U124" s="65">
        <f>VLOOKUP($O124,'NO USAR2'!$B$2:$R$397,11,False)</f>
        <v>9.8</v>
      </c>
      <c r="V124" s="69">
        <f>VLOOKUP($O124,'NO USAR2'!$B$2:$R$397,10,False)</f>
        <v>1.2</v>
      </c>
      <c r="W124" s="65">
        <f>VLOOKUP($O124,'NO USAR2'!$B$2:$R$397,12,False)</f>
        <v>6.9</v>
      </c>
      <c r="X124" s="65">
        <f>VLOOKUP($O124,'NO USAR2'!$B$2:$R$397,13,False)</f>
        <v>3.2</v>
      </c>
      <c r="Y124" s="65">
        <f>VLOOKUP($O124,'NO USAR2'!$B$2:$R$397,14,False)</f>
        <v>0.7</v>
      </c>
      <c r="Z124" s="70">
        <f>VLOOKUP($O124,'NO USAR2'!$B$2:$R$397,15,False)</f>
        <v>1.1</v>
      </c>
      <c r="AA124" s="65">
        <f>100*VLOOKUP($O124,'NO USAR2'!$B$2:$R$397,7,False)</f>
        <v>46.83544304</v>
      </c>
      <c r="AB124" s="65">
        <f>100*VLOOKUP($O124,'NO USAR2'!$B$2:$R$397,9,False)</f>
        <v>78.57142857</v>
      </c>
      <c r="AC124" s="65">
        <f>VLOOKUP($O124,'NO USAR2'!$B$2:$Q$397,16,False)</f>
        <v>0.9</v>
      </c>
      <c r="AD124" s="65">
        <f>VLOOKUP($O124,'NO USAR1'!$A$4:$L$399,2,False)*$U$19</f>
        <v>-1.9047409</v>
      </c>
      <c r="AE124" s="65">
        <f>VLOOKUP($O124,'NO USAR1'!$A$4:$L$399,3,False)*$V$19</f>
        <v>-0.4134044473</v>
      </c>
      <c r="AF124" s="65">
        <f>VLOOKUP($O124,'NO USAR1'!$A$4:$L$399,4,False)*$W$19</f>
        <v>0.3369831851</v>
      </c>
      <c r="AG124" s="65">
        <f>VLOOKUP($O124,'NO USAR1'!$A$4:$L$399,5,False)*$X$19</f>
        <v>-0.2864956521</v>
      </c>
      <c r="AH124" s="65">
        <f>VLOOKUP($O124,'NO USAR1'!$A$4:$L$399,6,False)*$Y$19</f>
        <v>-1.242861316</v>
      </c>
      <c r="AI124" s="65">
        <f>VLOOKUP($O124,'NO USAR1'!$A$4:$L$399,7,False)*$Z$19</f>
        <v>0</v>
      </c>
      <c r="AJ124" s="65">
        <f>VLOOKUP($O124,'NO USAR1'!$A$4:$L$399,8,False)*$AA$19</f>
        <v>0</v>
      </c>
      <c r="AK124" s="70">
        <f>VLOOKUP($O124,'NO USAR1'!$A$4:$L$399,10,False)*$AB$19</f>
        <v>-0.01111512708</v>
      </c>
      <c r="AL124" s="65">
        <f>VLOOKUP($O124,'NO USAR1'!$A$4:$L$399,12,False)*$AC$19</f>
        <v>0</v>
      </c>
      <c r="AM124" s="71">
        <f t="shared" si="2"/>
        <v>-1.9047409</v>
      </c>
      <c r="AN124" s="71">
        <f t="shared" si="3"/>
        <v>-3.147602216</v>
      </c>
    </row>
    <row r="125">
      <c r="A125" t="str">
        <f>IF('NO USAR2'!B123="",ROW('NO USAR2'!B123),'NO USAR2'!B123)</f>
        <v>Kendrick Nunn</v>
      </c>
      <c r="B125" s="58">
        <f>IF(TYPE($A125)=1,"",('NO USAR2'!$L123-B$1)/B$2)</f>
        <v>-0.5952389778</v>
      </c>
      <c r="C125" s="58">
        <f>IF(TYPE($A125)=1,"",('NO USAR2'!$K123-C$1)/C$2)</f>
        <v>0.486555559</v>
      </c>
      <c r="D125" s="58">
        <f>IF(TYPE($A125)=1,"",('NO USAR2'!$M123-D$1)/D$2)</f>
        <v>-1.255056887</v>
      </c>
      <c r="E125" s="58">
        <f>IF(TYPE($A125)=1,"",('NO USAR2'!$N123-E$1)/E$2)</f>
        <v>-0.5944401766</v>
      </c>
      <c r="F125" s="58">
        <f>IF(TYPE($A125)=1,"",('NO USAR2'!$O123-F$1)/F$2)</f>
        <v>-0.3402092786</v>
      </c>
      <c r="G125" s="58">
        <f>IF(TYPE($A125)=1,"",('NO USAR2'!$P123-G$1)/G$2)</f>
        <v>-0.8184360358</v>
      </c>
      <c r="H125" s="58">
        <f>IF(TYPE($A125)=1,"",('NO USAR2'!$H123-H$1)/H$2*I125/$I$1)</f>
        <v>-0.08780905091</v>
      </c>
      <c r="I125" s="58">
        <f>IF(TYPE($A125)=1,"",IF('NO USAR2'!H123=0,0,'NO USAR2'!G123/'NO USAR2'!H123))</f>
        <v>11</v>
      </c>
      <c r="J125" s="59">
        <f>IF(TYPE($A125)=1,"",('NO USAR2'!$J123-J$1)/J$2*K125/$K$1)</f>
        <v>0.3597650245</v>
      </c>
      <c r="K125" s="60">
        <f>IF(TYPE($A125)=1,"",IF('NO USAR2'!J123=0,0,'NO USAR2'!I123/'NO USAR2'!J123))</f>
        <v>1</v>
      </c>
      <c r="L125" s="58">
        <f>IF(TYPE($A125)=1,"",-('NO USAR2'!$Q123-L$1)/L$2)</f>
        <v>0.7955196219</v>
      </c>
      <c r="N125" s="63">
        <v>105.0</v>
      </c>
      <c r="O125" s="68" t="str">
        <f>IF('NO USAR2'!B74="",ROW('NO USAR2'!B74),'NO USAR2'!B74)</f>
        <v>Onyeka Okongwu</v>
      </c>
      <c r="P125" s="68">
        <f>'NO USAR2'!E106</f>
        <v>70</v>
      </c>
      <c r="Q125" s="68" t="str">
        <f>IF('NO USAR2'!C74="",ROW('NO USAR2'!N89),'NO USAR2'!C74)</f>
        <v>C</v>
      </c>
      <c r="R125" s="65">
        <f>VLOOKUP($O125,'NO USAR1'!$A$4:$L$399,2,False)+VLOOKUP($O125,'NO USAR1'!$A$4:$L$399,3,False)+VLOOKUP($O125,'NO USAR1'!$A$4:$L$399,4,False)+VLOOKUP($O125,'NO USAR1'!$A$4:$L$399,5,False)+VLOOKUP($O125,'NO USAR1'!$A$4:$L$399,6,False)+VLOOKUP($O125,'NO USAR1'!$A$4:$L$399,7,False)+VLOOKUP($O125,'NO USAR1'!$A$4:$L$399,8,False)+VLOOKUP($O125,'NO USAR1'!$A$4:$L$399,10,False)+VLOOKUP($O125,'NO USAR1'!$A$4:$L$399,12,False)*0</f>
        <v>-1.953170073</v>
      </c>
      <c r="S125" s="65">
        <f>VLOOKUP($O125,'NO USAR1'!$A$4:$L$399,2,False)*$U$19+VLOOKUP($O125,'NO USAR1'!$A$4:$L$399,3,False)*$V$19+VLOOKUP($O125,'NO USAR1'!$A$4:$L$399,4,False)*$W$19+VLOOKUP($O125,'NO USAR1'!$A$4:$L$399,5,False)*$X$19+VLOOKUP($O125,'NO USAR1'!$A$4:$L$399,6,False)*$Y$19+VLOOKUP($O125,'NO USAR1'!$A$4:$L$399,7,False)*$Z$19+VLOOKUP($O125,'NO USAR1'!$A$4:$L$399,8,False)*$AA$19+VLOOKUP($O125,'NO USAR1'!$A$4:$L$399,10,False)*$AB$19+VLOOKUP($O125,'NO USAR1'!$A$4:$L$399,12,False)*$AC$19+IF(Projections!$K$3,-AN125, IF(Projections!$J$3,-AM125,0))</f>
        <v>-5.807730664</v>
      </c>
      <c r="T125" s="65">
        <f t="shared" si="1"/>
        <v>-3.85456059</v>
      </c>
      <c r="U125" s="65">
        <f>VLOOKUP($O125,'NO USAR2'!$B$2:$R$397,11,False)</f>
        <v>10.4</v>
      </c>
      <c r="V125" s="69">
        <f>VLOOKUP($O125,'NO USAR2'!$B$2:$R$397,10,False)</f>
        <v>0</v>
      </c>
      <c r="W125" s="65">
        <f>VLOOKUP($O125,'NO USAR2'!$B$2:$R$397,12,False)</f>
        <v>6.7</v>
      </c>
      <c r="X125" s="65">
        <f>VLOOKUP($O125,'NO USAR2'!$B$2:$R$397,13,False)</f>
        <v>1.3</v>
      </c>
      <c r="Y125" s="65">
        <f>VLOOKUP($O125,'NO USAR2'!$B$2:$R$397,14,False)</f>
        <v>0.7</v>
      </c>
      <c r="Z125" s="70">
        <f>VLOOKUP($O125,'NO USAR2'!$B$2:$R$397,15,False)</f>
        <v>1.5</v>
      </c>
      <c r="AA125" s="65">
        <f>100*VLOOKUP($O125,'NO USAR2'!$B$2:$R$397,7,False)</f>
        <v>64.61538462</v>
      </c>
      <c r="AB125" s="65">
        <f>100*VLOOKUP($O125,'NO USAR2'!$B$2:$R$397,9,False)</f>
        <v>76.92307692</v>
      </c>
      <c r="AC125" s="65">
        <f>VLOOKUP($O125,'NO USAR2'!$B$2:$Q$397,16,False)</f>
        <v>1</v>
      </c>
      <c r="AD125" s="65">
        <f>VLOOKUP($O125,'NO USAR1'!$A$4:$L$399,2,False)*$U$19</f>
        <v>-1.74496999</v>
      </c>
      <c r="AE125" s="65">
        <f>VLOOKUP($O125,'NO USAR1'!$A$4:$L$399,3,False)*$V$19</f>
        <v>-1.613351122</v>
      </c>
      <c r="AF125" s="65">
        <f>VLOOKUP($O125,'NO USAR1'!$A$4:$L$399,4,False)*$W$19</f>
        <v>0.2553401045</v>
      </c>
      <c r="AG125" s="65">
        <f>VLOOKUP($O125,'NO USAR1'!$A$4:$L$399,5,False)*$X$19</f>
        <v>-1.370812753</v>
      </c>
      <c r="AH125" s="65">
        <f>VLOOKUP($O125,'NO USAR1'!$A$4:$L$399,6,False)*$Y$19</f>
        <v>-1.242861316</v>
      </c>
      <c r="AI125" s="65">
        <f>VLOOKUP($O125,'NO USAR1'!$A$4:$L$399,7,False)*$Z$19</f>
        <v>0</v>
      </c>
      <c r="AJ125" s="65">
        <f>VLOOKUP($O125,'NO USAR1'!$A$4:$L$399,8,False)*$AA$19</f>
        <v>0</v>
      </c>
      <c r="AK125" s="70">
        <f>VLOOKUP($O125,'NO USAR1'!$A$4:$L$399,10,False)*$AB$19</f>
        <v>-0.09107558713</v>
      </c>
      <c r="AL125" s="65">
        <f>VLOOKUP($O125,'NO USAR1'!$A$4:$L$399,12,False)*$AC$19</f>
        <v>0</v>
      </c>
      <c r="AM125" s="71">
        <f t="shared" si="2"/>
        <v>-1.74496999</v>
      </c>
      <c r="AN125" s="71">
        <f t="shared" si="3"/>
        <v>-3.358321112</v>
      </c>
    </row>
    <row r="126">
      <c r="A126" t="str">
        <f>IF('NO USAR2'!B124="",ROW('NO USAR2'!B124),'NO USAR2'!B124)</f>
        <v>Malcolm Brogdon</v>
      </c>
      <c r="B126" s="58">
        <f>IF(TYPE($A126)=1,"",('NO USAR2'!$L124-B$1)/B$2)</f>
        <v>-0.1514308929</v>
      </c>
      <c r="C126" s="58">
        <f>IF(TYPE($A126)=1,"",('NO USAR2'!$K124-C$1)/C$2)</f>
        <v>-0.3134088911</v>
      </c>
      <c r="D126" s="58">
        <f>IF(TYPE($A126)=1,"",('NO USAR2'!$M124-D$1)/D$2)</f>
        <v>-0.7243768628</v>
      </c>
      <c r="E126" s="58">
        <f>IF(TYPE($A126)=1,"",('NO USAR2'!$N124-E$1)/E$2)</f>
        <v>0.09039167634</v>
      </c>
      <c r="F126" s="58">
        <f>IF(TYPE($A126)=1,"",('NO USAR2'!$O124-F$1)/F$2)</f>
        <v>-0.9942890529</v>
      </c>
      <c r="G126" s="58">
        <f>IF(TYPE($A126)=1,"",('NO USAR2'!$P124-G$1)/G$2)</f>
        <v>-0.8184360358</v>
      </c>
      <c r="H126" s="58">
        <f>IF(TYPE($A126)=1,"",('NO USAR2'!$H124-H$1)/H$2*I126/$I$1)</f>
        <v>-0.5877521471</v>
      </c>
      <c r="I126" s="58">
        <f>IF(TYPE($A126)=1,"",IF('NO USAR2'!H124=0,0,'NO USAR2'!G124/'NO USAR2'!H124))</f>
        <v>12.7</v>
      </c>
      <c r="J126" s="59">
        <f>IF(TYPE($A126)=1,"",('NO USAR2'!$J124-J$1)/J$2*K126/$K$1)</f>
        <v>0.7816834874</v>
      </c>
      <c r="K126" s="60">
        <f>IF(TYPE($A126)=1,"",IF('NO USAR2'!J124=0,0,'NO USAR2'!I124/'NO USAR2'!J124))</f>
        <v>4</v>
      </c>
      <c r="L126" s="58">
        <f>IF(TYPE($A126)=1,"",-('NO USAR2'!$Q124-L$1)/L$2)</f>
        <v>0.2436926961</v>
      </c>
      <c r="N126" s="63">
        <v>106.0</v>
      </c>
      <c r="O126" s="68" t="str">
        <f>IF('NO USAR2'!B106="",ROW('NO USAR2'!B106),'NO USAR2'!B106)</f>
        <v>Jarred Vanderbilt</v>
      </c>
      <c r="P126" s="68">
        <f>'NO USAR2'!E107</f>
        <v>72</v>
      </c>
      <c r="Q126" s="68" t="str">
        <f>IF('NO USAR2'!C106="",ROW('NO USAR2'!N121),'NO USAR2'!C106)</f>
        <v>PF</v>
      </c>
      <c r="R126" s="65">
        <f>VLOOKUP($O126,'NO USAR1'!$A$4:$L$399,2,False)+VLOOKUP($O126,'NO USAR1'!$A$4:$L$399,3,False)+VLOOKUP($O126,'NO USAR1'!$A$4:$L$399,4,False)+VLOOKUP($O126,'NO USAR1'!$A$4:$L$399,5,False)+VLOOKUP($O126,'NO USAR1'!$A$4:$L$399,6,False)+VLOOKUP($O126,'NO USAR1'!$A$4:$L$399,7,False)+VLOOKUP($O126,'NO USAR1'!$A$4:$L$399,8,False)+VLOOKUP($O126,'NO USAR1'!$A$4:$L$399,10,False)+VLOOKUP($O126,'NO USAR1'!$A$4:$L$399,12,False)*0</f>
        <v>-1.974347513</v>
      </c>
      <c r="S126" s="65">
        <f>VLOOKUP($O126,'NO USAR1'!$A$4:$L$399,2,False)*$U$19+VLOOKUP($O126,'NO USAR1'!$A$4:$L$399,3,False)*$V$19+VLOOKUP($O126,'NO USAR1'!$A$4:$L$399,4,False)*$W$19+VLOOKUP($O126,'NO USAR1'!$A$4:$L$399,5,False)*$X$19+VLOOKUP($O126,'NO USAR1'!$A$4:$L$399,6,False)*$Y$19+VLOOKUP($O126,'NO USAR1'!$A$4:$L$399,7,False)*$Z$19+VLOOKUP($O126,'NO USAR1'!$A$4:$L$399,8,False)*$AA$19+VLOOKUP($O126,'NO USAR1'!$A$4:$L$399,10,False)*$AB$19+VLOOKUP($O126,'NO USAR1'!$A$4:$L$399,12,False)*$AC$19+IF(Projections!$K$3,-AN126, IF(Projections!$J$3,-AM126,0))</f>
        <v>-2.908918708</v>
      </c>
      <c r="T126" s="65">
        <f t="shared" si="1"/>
        <v>-0.9345711942</v>
      </c>
      <c r="U126" s="65">
        <f>VLOOKUP($O126,'NO USAR2'!$B$2:$R$397,11,False)</f>
        <v>8.9</v>
      </c>
      <c r="V126" s="69">
        <f>VLOOKUP($O126,'NO USAR2'!$B$2:$R$397,10,False)</f>
        <v>0</v>
      </c>
      <c r="W126" s="65">
        <f>VLOOKUP($O126,'NO USAR2'!$B$2:$R$397,12,False)</f>
        <v>9.4</v>
      </c>
      <c r="X126" s="65">
        <f>VLOOKUP($O126,'NO USAR2'!$B$2:$R$397,13,False)</f>
        <v>1.5</v>
      </c>
      <c r="Y126" s="65">
        <f>VLOOKUP($O126,'NO USAR2'!$B$2:$R$397,14,False)</f>
        <v>1.3</v>
      </c>
      <c r="Z126" s="70">
        <f>VLOOKUP($O126,'NO USAR2'!$B$2:$R$397,15,False)</f>
        <v>0.7</v>
      </c>
      <c r="AA126" s="65">
        <f>100*VLOOKUP($O126,'NO USAR2'!$B$2:$R$397,7,False)</f>
        <v>57.57575758</v>
      </c>
      <c r="AB126" s="65">
        <f>100*VLOOKUP($O126,'NO USAR2'!$B$2:$R$397,9,False)</f>
        <v>65</v>
      </c>
      <c r="AC126" s="65">
        <f>VLOOKUP($O126,'NO USAR2'!$B$2:$Q$397,16,False)</f>
        <v>1.1</v>
      </c>
      <c r="AD126" s="65">
        <f>VLOOKUP($O126,'NO USAR1'!$A$4:$L$399,2,False)*$U$19</f>
        <v>-2.144397266</v>
      </c>
      <c r="AE126" s="65">
        <f>VLOOKUP($O126,'NO USAR1'!$A$4:$L$399,3,False)*$V$19</f>
        <v>-1.613351122</v>
      </c>
      <c r="AF126" s="65">
        <f>VLOOKUP($O126,'NO USAR1'!$A$4:$L$399,4,False)*$W$19</f>
        <v>1.357521693</v>
      </c>
      <c r="AG126" s="65">
        <f>VLOOKUP($O126,'NO USAR1'!$A$4:$L$399,5,False)*$X$19</f>
        <v>-1.25667411</v>
      </c>
      <c r="AH126" s="65">
        <f>VLOOKUP($O126,'NO USAR1'!$A$4:$L$399,6,False)*$Y$19</f>
        <v>1.209937838</v>
      </c>
      <c r="AI126" s="65">
        <f>VLOOKUP($O126,'NO USAR1'!$A$4:$L$399,7,False)*$Z$19</f>
        <v>0</v>
      </c>
      <c r="AJ126" s="65">
        <f>VLOOKUP($O126,'NO USAR1'!$A$4:$L$399,8,False)*$AA$19</f>
        <v>0</v>
      </c>
      <c r="AK126" s="70">
        <f>VLOOKUP($O126,'NO USAR1'!$A$4:$L$399,10,False)*$AB$19</f>
        <v>-0.4619557387</v>
      </c>
      <c r="AL126" s="65">
        <f>VLOOKUP($O126,'NO USAR1'!$A$4:$L$399,12,False)*$AC$19</f>
        <v>0</v>
      </c>
      <c r="AM126" s="71">
        <f t="shared" si="2"/>
        <v>-2.144397266</v>
      </c>
      <c r="AN126" s="71">
        <f t="shared" si="3"/>
        <v>-3.757748389</v>
      </c>
    </row>
    <row r="127">
      <c r="A127" t="str">
        <f>IF('NO USAR2'!B125="",ROW('NO USAR2'!B125),'NO USAR2'!B125)</f>
        <v>Daniel Gafford</v>
      </c>
      <c r="B127" s="58">
        <f>IF(TYPE($A127)=1,"",('NO USAR2'!$L125-B$1)/B$2)</f>
        <v>-1.28757959</v>
      </c>
      <c r="C127" s="58">
        <f>IF(TYPE($A127)=1,"",('NO USAR2'!$K125-C$1)/C$2)</f>
        <v>-1.613351122</v>
      </c>
      <c r="D127" s="58">
        <f>IF(TYPE($A127)=1,"",('NO USAR2'!$M125-D$1)/D$2)</f>
        <v>0.1328754835</v>
      </c>
      <c r="E127" s="58">
        <f>IF(TYPE($A127)=1,"",('NO USAR2'!$N125-E$1)/E$2)</f>
        <v>-1.233616573</v>
      </c>
      <c r="F127" s="58">
        <f>IF(TYPE($A127)=1,"",('NO USAR2'!$O125-F$1)/F$2)</f>
        <v>-1.648368827</v>
      </c>
      <c r="G127" s="58">
        <f>IF(TYPE($A127)=1,"",('NO USAR2'!$P125-G$1)/G$2)</f>
        <v>1.447470489</v>
      </c>
      <c r="H127" s="58">
        <f>IF(TYPE($A127)=1,"",('NO USAR2'!$H125-H$1)/H$2*I127/$I$1)</f>
        <v>1.069104883</v>
      </c>
      <c r="I127" s="58">
        <f>IF(TYPE($A127)=1,"",IF('NO USAR2'!H125=0,0,'NO USAR2'!G125/'NO USAR2'!H125))</f>
        <v>6.3</v>
      </c>
      <c r="J127" s="59">
        <f>IF(TYPE($A127)=1,"",('NO USAR2'!$J125-J$1)/J$2*K127/$K$1)</f>
        <v>-0.6485301455</v>
      </c>
      <c r="K127" s="60">
        <f>IF(TYPE($A127)=1,"",IF('NO USAR2'!J125=0,0,'NO USAR2'!I125/'NO USAR2'!J125))</f>
        <v>2.4</v>
      </c>
      <c r="L127" s="58">
        <f>IF(TYPE($A127)=1,"",-('NO USAR2'!$Q125-L$1)/L$2)</f>
        <v>1.126615777</v>
      </c>
      <c r="N127" s="2">
        <v>107.0</v>
      </c>
      <c r="O127" s="68" t="str">
        <f>IF('NO USAR2'!B115="",ROW('NO USAR2'!B115),'NO USAR2'!B115)</f>
        <v>Jalen Green</v>
      </c>
      <c r="P127" s="68">
        <f>'NO USAR2'!E108</f>
        <v>76</v>
      </c>
      <c r="Q127" s="68" t="str">
        <f>IF('NO USAR2'!C115="",ROW('NO USAR2'!N130),'NO USAR2'!C115)</f>
        <v>SG</v>
      </c>
      <c r="R127" s="65">
        <f>VLOOKUP($O127,'NO USAR1'!$A$4:$L$399,2,False)+VLOOKUP($O127,'NO USAR1'!$A$4:$L$399,3,False)+VLOOKUP($O127,'NO USAR1'!$A$4:$L$399,4,False)+VLOOKUP($O127,'NO USAR1'!$A$4:$L$399,5,False)+VLOOKUP($O127,'NO USAR1'!$A$4:$L$399,6,False)+VLOOKUP($O127,'NO USAR1'!$A$4:$L$399,7,False)+VLOOKUP($O127,'NO USAR1'!$A$4:$L$399,8,False)+VLOOKUP($O127,'NO USAR1'!$A$4:$L$399,10,False)+VLOOKUP($O127,'NO USAR1'!$A$4:$L$399,12,False)*0</f>
        <v>-2.004358422</v>
      </c>
      <c r="S127" s="65">
        <f>VLOOKUP($O127,'NO USAR1'!$A$4:$L$399,2,False)*$U$19+VLOOKUP($O127,'NO USAR1'!$A$4:$L$399,3,False)*$V$19+VLOOKUP($O127,'NO USAR1'!$A$4:$L$399,4,False)*$W$19+VLOOKUP($O127,'NO USAR1'!$A$4:$L$399,5,False)*$X$19+VLOOKUP($O127,'NO USAR1'!$A$4:$L$399,6,False)*$Y$19+VLOOKUP($O127,'NO USAR1'!$A$4:$L$399,7,False)*$Z$19+VLOOKUP($O127,'NO USAR1'!$A$4:$L$399,8,False)*$AA$19+VLOOKUP($O127,'NO USAR1'!$A$4:$L$399,10,False)*$AB$19+VLOOKUP($O127,'NO USAR1'!$A$4:$L$399,12,False)*$AC$19+IF(Projections!$K$3,-AN127, IF(Projections!$J$3,-AM127,0))</f>
        <v>-0.01607458783</v>
      </c>
      <c r="T127" s="65">
        <f t="shared" si="1"/>
        <v>1.988283834</v>
      </c>
      <c r="U127" s="65">
        <f>VLOOKUP($O127,'NO USAR2'!$B$2:$R$397,11,False)</f>
        <v>20.9</v>
      </c>
      <c r="V127" s="69">
        <f>VLOOKUP($O127,'NO USAR2'!$B$2:$R$397,10,False)</f>
        <v>2.7</v>
      </c>
      <c r="W127" s="65">
        <f>VLOOKUP($O127,'NO USAR2'!$B$2:$R$397,12,False)</f>
        <v>3.7</v>
      </c>
      <c r="X127" s="65">
        <f>VLOOKUP($O127,'NO USAR2'!$B$2:$R$397,13,False)</f>
        <v>3.1</v>
      </c>
      <c r="Y127" s="65">
        <f>VLOOKUP($O127,'NO USAR2'!$B$2:$R$397,14,False)</f>
        <v>0.8</v>
      </c>
      <c r="Z127" s="70">
        <f>VLOOKUP($O127,'NO USAR2'!$B$2:$R$397,15,False)</f>
        <v>0.3</v>
      </c>
      <c r="AA127" s="65">
        <f>100*VLOOKUP($O127,'NO USAR2'!$B$2:$R$397,7,False)</f>
        <v>43.67816092</v>
      </c>
      <c r="AB127" s="65">
        <f>100*VLOOKUP($O127,'NO USAR2'!$B$2:$R$397,9,False)</f>
        <v>78.94736842</v>
      </c>
      <c r="AC127" s="65">
        <f>VLOOKUP($O127,'NO USAR2'!$B$2:$Q$397,16,False)</f>
        <v>2.2</v>
      </c>
      <c r="AD127" s="65">
        <f>VLOOKUP($O127,'NO USAR1'!$A$4:$L$399,2,False)*$U$19</f>
        <v>1.051020945</v>
      </c>
      <c r="AE127" s="65">
        <f>VLOOKUP($O127,'NO USAR1'!$A$4:$L$399,3,False)*$V$19</f>
        <v>1.086528896</v>
      </c>
      <c r="AF127" s="65">
        <f>VLOOKUP($O127,'NO USAR1'!$A$4:$L$399,4,False)*$W$19</f>
        <v>-0.9693061047</v>
      </c>
      <c r="AG127" s="65">
        <f>VLOOKUP($O127,'NO USAR1'!$A$4:$L$399,5,False)*$X$19</f>
        <v>-0.3435649732</v>
      </c>
      <c r="AH127" s="65">
        <f>VLOOKUP($O127,'NO USAR1'!$A$4:$L$399,6,False)*$Y$19</f>
        <v>-0.8340614572</v>
      </c>
      <c r="AI127" s="65">
        <f>VLOOKUP($O127,'NO USAR1'!$A$4:$L$399,7,False)*$Z$19</f>
        <v>0</v>
      </c>
      <c r="AJ127" s="65">
        <f>VLOOKUP($O127,'NO USAR1'!$A$4:$L$399,8,False)*$AA$19</f>
        <v>0</v>
      </c>
      <c r="AK127" s="70">
        <f>VLOOKUP($O127,'NO USAR1'!$A$4:$L$399,10,False)*$AB$19</f>
        <v>-0.006691894546</v>
      </c>
      <c r="AL127" s="65">
        <f>VLOOKUP($O127,'NO USAR1'!$A$4:$L$399,12,False)*$AC$19</f>
        <v>0</v>
      </c>
      <c r="AM127" s="71">
        <f t="shared" si="2"/>
        <v>-0.9693061047</v>
      </c>
      <c r="AN127" s="71">
        <f t="shared" si="3"/>
        <v>-1.803367562</v>
      </c>
    </row>
    <row r="128">
      <c r="A128" t="str">
        <f>IF('NO USAR2'!B126="",ROW('NO USAR2'!B126),'NO USAR2'!B126)</f>
        <v>Mitchell Robinson</v>
      </c>
      <c r="B128" s="58">
        <f>IF(TYPE($A128)=1,"",('NO USAR2'!$L126-B$1)/B$2)</f>
        <v>-1.518359794</v>
      </c>
      <c r="C128" s="58">
        <f>IF(TYPE($A128)=1,"",('NO USAR2'!$K126-C$1)/C$2)</f>
        <v>-1.613351122</v>
      </c>
      <c r="D128" s="58">
        <f>IF(TYPE($A128)=1,"",('NO USAR2'!$M126-D$1)/D$2)</f>
        <v>1.03094937</v>
      </c>
      <c r="E128" s="58">
        <f>IF(TYPE($A128)=1,"",('NO USAR2'!$N126-E$1)/E$2)</f>
        <v>-1.461893857</v>
      </c>
      <c r="F128" s="58">
        <f>IF(TYPE($A128)=1,"",('NO USAR2'!$O126-F$1)/F$2)</f>
        <v>-0.6672491657</v>
      </c>
      <c r="G128" s="58">
        <f>IF(TYPE($A128)=1,"",('NO USAR2'!$P126-G$1)/G$2)</f>
        <v>2.065444996</v>
      </c>
      <c r="H128" s="58">
        <f>IF(TYPE($A128)=1,"",('NO USAR2'!$H126-H$1)/H$2*I128/$I$1)</f>
        <v>1.342186826</v>
      </c>
      <c r="I128" s="58">
        <f>IF(TYPE($A128)=1,"",IF('NO USAR2'!H126=0,0,'NO USAR2'!G126/'NO USAR2'!H126))</f>
        <v>5</v>
      </c>
      <c r="J128" s="59">
        <f>IF(TYPE($A128)=1,"",('NO USAR2'!$J126-J$1)/J$2*K128/$K$1)</f>
        <v>-2.551814644</v>
      </c>
      <c r="K128" s="60">
        <f>IF(TYPE($A128)=1,"",IF('NO USAR2'!J126=0,0,'NO USAR2'!I126/'NO USAR2'!J126))</f>
        <v>2.5</v>
      </c>
      <c r="L128" s="58">
        <f>IF(TYPE($A128)=1,"",-('NO USAR2'!$Q126-L$1)/L$2)</f>
        <v>1.347346548</v>
      </c>
      <c r="N128" s="63">
        <v>108.0</v>
      </c>
      <c r="O128" s="68" t="str">
        <f>IF('NO USAR2'!B120="",ROW('NO USAR2'!B120),'NO USAR2'!B120)</f>
        <v>Cody Martin</v>
      </c>
      <c r="P128" s="68">
        <f>'NO USAR2'!E109</f>
        <v>72</v>
      </c>
      <c r="Q128" s="68" t="str">
        <f>IF('NO USAR2'!C120="",ROW('NO USAR2'!N135),'NO USAR2'!C120)</f>
        <v>SF</v>
      </c>
      <c r="R128" s="65">
        <f>VLOOKUP($O128,'NO USAR1'!$A$4:$L$399,2,False)+VLOOKUP($O128,'NO USAR1'!$A$4:$L$399,3,False)+VLOOKUP($O128,'NO USAR1'!$A$4:$L$399,4,False)+VLOOKUP($O128,'NO USAR1'!$A$4:$L$399,5,False)+VLOOKUP($O128,'NO USAR1'!$A$4:$L$399,6,False)+VLOOKUP($O128,'NO USAR1'!$A$4:$L$399,7,False)+VLOOKUP($O128,'NO USAR1'!$A$4:$L$399,8,False)+VLOOKUP($O128,'NO USAR1'!$A$4:$L$399,10,False)+VLOOKUP($O128,'NO USAR1'!$A$4:$L$399,12,False)*0</f>
        <v>-2.022992409</v>
      </c>
      <c r="S128" s="65">
        <f>VLOOKUP($O128,'NO USAR1'!$A$4:$L$399,2,False)*$U$19+VLOOKUP($O128,'NO USAR1'!$A$4:$L$399,3,False)*$V$19+VLOOKUP($O128,'NO USAR1'!$A$4:$L$399,4,False)*$W$19+VLOOKUP($O128,'NO USAR1'!$A$4:$L$399,5,False)*$X$19+VLOOKUP($O128,'NO USAR1'!$A$4:$L$399,6,False)*$Y$19+VLOOKUP($O128,'NO USAR1'!$A$4:$L$399,7,False)*$Z$19+VLOOKUP($O128,'NO USAR1'!$A$4:$L$399,8,False)*$AA$19+VLOOKUP($O128,'NO USAR1'!$A$4:$L$399,10,False)*$AB$19+VLOOKUP($O128,'NO USAR1'!$A$4:$L$399,12,False)*$AC$19+IF(Projections!$K$3,-AN128, IF(Projections!$J$3,-AM128,0))</f>
        <v>-2.125224698</v>
      </c>
      <c r="T128" s="65">
        <f t="shared" si="1"/>
        <v>-0.1022322892</v>
      </c>
      <c r="U128" s="65">
        <f>VLOOKUP($O128,'NO USAR2'!$B$2:$R$397,11,False)</f>
        <v>10.3</v>
      </c>
      <c r="V128" s="69">
        <f>VLOOKUP($O128,'NO USAR2'!$B$2:$R$397,10,False)</f>
        <v>1.1</v>
      </c>
      <c r="W128" s="65">
        <f>VLOOKUP($O128,'NO USAR2'!$B$2:$R$397,12,False)</f>
        <v>4.8</v>
      </c>
      <c r="X128" s="65">
        <f>VLOOKUP($O128,'NO USAR2'!$B$2:$R$397,13,False)</f>
        <v>2.9</v>
      </c>
      <c r="Y128" s="65">
        <f>VLOOKUP($O128,'NO USAR2'!$B$2:$R$397,14,False)</f>
        <v>1.3</v>
      </c>
      <c r="Z128" s="70">
        <f>VLOOKUP($O128,'NO USAR2'!$B$2:$R$397,15,False)</f>
        <v>0.6</v>
      </c>
      <c r="AA128" s="65">
        <f>100*VLOOKUP($O128,'NO USAR2'!$B$2:$R$397,7,False)</f>
        <v>48.19277108</v>
      </c>
      <c r="AB128" s="65">
        <f>100*VLOOKUP($O128,'NO USAR2'!$B$2:$R$397,9,False)</f>
        <v>76.47058824</v>
      </c>
      <c r="AC128" s="65">
        <f>VLOOKUP($O128,'NO USAR2'!$B$2:$Q$397,16,False)</f>
        <v>1.1</v>
      </c>
      <c r="AD128" s="65">
        <f>VLOOKUP($O128,'NO USAR1'!$A$4:$L$399,2,False)*$U$19</f>
        <v>-1.771598475</v>
      </c>
      <c r="AE128" s="65">
        <f>VLOOKUP($O128,'NO USAR1'!$A$4:$L$399,3,False)*$V$19</f>
        <v>-0.5134000036</v>
      </c>
      <c r="AF128" s="65">
        <f>VLOOKUP($O128,'NO USAR1'!$A$4:$L$399,4,False)*$W$19</f>
        <v>-0.5202691613</v>
      </c>
      <c r="AG128" s="65">
        <f>VLOOKUP($O128,'NO USAR1'!$A$4:$L$399,5,False)*$X$19</f>
        <v>-0.4577036154</v>
      </c>
      <c r="AH128" s="65">
        <f>VLOOKUP($O128,'NO USAR1'!$A$4:$L$399,6,False)*$Y$19</f>
        <v>1.209937838</v>
      </c>
      <c r="AI128" s="65">
        <f>VLOOKUP($O128,'NO USAR1'!$A$4:$L$399,7,False)*$Z$19</f>
        <v>0</v>
      </c>
      <c r="AJ128" s="65">
        <f>VLOOKUP($O128,'NO USAR1'!$A$4:$L$399,8,False)*$AA$19</f>
        <v>0</v>
      </c>
      <c r="AK128" s="70">
        <f>VLOOKUP($O128,'NO USAR1'!$A$4:$L$399,10,False)*$AB$19</f>
        <v>-0.07219128025</v>
      </c>
      <c r="AL128" s="65">
        <f>VLOOKUP($O128,'NO USAR1'!$A$4:$L$399,12,False)*$AC$19</f>
        <v>0</v>
      </c>
      <c r="AM128" s="71">
        <f t="shared" si="2"/>
        <v>-1.771598475</v>
      </c>
      <c r="AN128" s="71">
        <f t="shared" si="3"/>
        <v>-2.291867636</v>
      </c>
    </row>
    <row r="129">
      <c r="A129" t="str">
        <f>IF('NO USAR2'!B127="",ROW('NO USAR2'!B127),'NO USAR2'!B127)</f>
        <v>Norman Powell</v>
      </c>
      <c r="B129" s="58">
        <f>IF(TYPE($A129)=1,"",('NO USAR2'!$L127-B$1)/B$2)</f>
        <v>-0.1336785695</v>
      </c>
      <c r="C129" s="58">
        <f>IF(TYPE($A129)=1,"",('NO USAR2'!$K127-C$1)/C$2)</f>
        <v>0.486555559</v>
      </c>
      <c r="D129" s="58">
        <f>IF(TYPE($A129)=1,"",('NO USAR2'!$M127-D$1)/D$2)</f>
        <v>-1.377521508</v>
      </c>
      <c r="E129" s="58">
        <f>IF(TYPE($A129)=1,"",('NO USAR2'!$N127-E$1)/E$2)</f>
        <v>-0.8683729178</v>
      </c>
      <c r="F129" s="58">
        <f>IF(TYPE($A129)=1,"",('NO USAR2'!$O127-F$1)/F$2)</f>
        <v>-0.6672491657</v>
      </c>
      <c r="G129" s="58">
        <f>IF(TYPE($A129)=1,"",('NO USAR2'!$P127-G$1)/G$2)</f>
        <v>-0.6124445335</v>
      </c>
      <c r="H129" s="58">
        <f>IF(TYPE($A129)=1,"",('NO USAR2'!$H127-H$1)/H$2*I129/$I$1)</f>
        <v>-0.314670204</v>
      </c>
      <c r="I129" s="58">
        <f>IF(TYPE($A129)=1,"",IF('NO USAR2'!H127=0,0,'NO USAR2'!G127/'NO USAR2'!H127))</f>
        <v>11.4</v>
      </c>
      <c r="J129" s="59">
        <f>IF(TYPE($A129)=1,"",('NO USAR2'!$J127-J$1)/J$2*K129/$K$1)</f>
        <v>0.659531181</v>
      </c>
      <c r="K129" s="60">
        <f>IF(TYPE($A129)=1,"",IF('NO USAR2'!J127=0,0,'NO USAR2'!I127/'NO USAR2'!J127))</f>
        <v>4.3</v>
      </c>
      <c r="L129" s="58">
        <f>IF(TYPE($A129)=1,"",-('NO USAR2'!$Q127-L$1)/L$2)</f>
        <v>0.7955196219</v>
      </c>
      <c r="N129" s="63">
        <v>109.0</v>
      </c>
      <c r="O129" s="68" t="str">
        <f>IF('NO USAR2'!B104="",ROW('NO USAR2'!B104),'NO USAR2'!B104)</f>
        <v>Tre Jones</v>
      </c>
      <c r="P129" s="68">
        <f>'NO USAR2'!E110</f>
        <v>78</v>
      </c>
      <c r="Q129" s="68" t="str">
        <f>IF('NO USAR2'!C104="",ROW('NO USAR2'!N119),'NO USAR2'!C104)</f>
        <v>PG</v>
      </c>
      <c r="R129" s="65">
        <f>VLOOKUP($O129,'NO USAR1'!$A$4:$L$399,2,False)+VLOOKUP($O129,'NO USAR1'!$A$4:$L$399,3,False)+VLOOKUP($O129,'NO USAR1'!$A$4:$L$399,4,False)+VLOOKUP($O129,'NO USAR1'!$A$4:$L$399,5,False)+VLOOKUP($O129,'NO USAR1'!$A$4:$L$399,6,False)+VLOOKUP($O129,'NO USAR1'!$A$4:$L$399,7,False)+VLOOKUP($O129,'NO USAR1'!$A$4:$L$399,8,False)+VLOOKUP($O129,'NO USAR1'!$A$4:$L$399,10,False)+VLOOKUP($O129,'NO USAR1'!$A$4:$L$399,12,False)*0</f>
        <v>-2.05353168</v>
      </c>
      <c r="S129" s="65">
        <f>VLOOKUP($O129,'NO USAR1'!$A$4:$L$399,2,False)*$U$19+VLOOKUP($O129,'NO USAR1'!$A$4:$L$399,3,False)*$V$19+VLOOKUP($O129,'NO USAR1'!$A$4:$L$399,4,False)*$W$19+VLOOKUP($O129,'NO USAR1'!$A$4:$L$399,5,False)*$X$19+VLOOKUP($O129,'NO USAR1'!$A$4:$L$399,6,False)*$Y$19+VLOOKUP($O129,'NO USAR1'!$A$4:$L$399,7,False)*$Z$19+VLOOKUP($O129,'NO USAR1'!$A$4:$L$399,8,False)*$AA$19+VLOOKUP($O129,'NO USAR1'!$A$4:$L$399,10,False)*$AB$19+VLOOKUP($O129,'NO USAR1'!$A$4:$L$399,12,False)*$AC$19+IF(Projections!$K$3,-AN129, IF(Projections!$J$3,-AM129,0))</f>
        <v>-1.039191485</v>
      </c>
      <c r="T129" s="65">
        <f t="shared" si="1"/>
        <v>1.014340195</v>
      </c>
      <c r="U129" s="65">
        <f>VLOOKUP($O129,'NO USAR2'!$B$2:$R$397,11,False)</f>
        <v>12.2</v>
      </c>
      <c r="V129" s="69">
        <f>VLOOKUP($O129,'NO USAR2'!$B$2:$R$397,10,False)</f>
        <v>0.7</v>
      </c>
      <c r="W129" s="65">
        <f>VLOOKUP($O129,'NO USAR2'!$B$2:$R$397,12,False)</f>
        <v>4</v>
      </c>
      <c r="X129" s="65">
        <f>VLOOKUP($O129,'NO USAR2'!$B$2:$R$397,13,False)</f>
        <v>6.2</v>
      </c>
      <c r="Y129" s="65">
        <f>VLOOKUP($O129,'NO USAR2'!$B$2:$R$397,14,False)</f>
        <v>1.1</v>
      </c>
      <c r="Z129" s="70">
        <f>VLOOKUP($O129,'NO USAR2'!$B$2:$R$397,15,False)</f>
        <v>0.2</v>
      </c>
      <c r="AA129" s="65">
        <f>100*VLOOKUP($O129,'NO USAR2'!$B$2:$R$397,7,False)</f>
        <v>47</v>
      </c>
      <c r="AB129" s="65">
        <f>100*VLOOKUP($O129,'NO USAR2'!$B$2:$R$397,9,False)</f>
        <v>83.33333333</v>
      </c>
      <c r="AC129" s="65">
        <f>VLOOKUP($O129,'NO USAR2'!$B$2:$Q$397,16,False)</f>
        <v>1.3</v>
      </c>
      <c r="AD129" s="65">
        <f>VLOOKUP($O129,'NO USAR1'!$A$4:$L$399,2,False)*$U$19</f>
        <v>-1.265657258</v>
      </c>
      <c r="AE129" s="65">
        <f>VLOOKUP($O129,'NO USAR1'!$A$4:$L$399,3,False)*$V$19</f>
        <v>-0.9133822286</v>
      </c>
      <c r="AF129" s="65">
        <f>VLOOKUP($O129,'NO USAR1'!$A$4:$L$399,4,False)*$W$19</f>
        <v>-0.8468414838</v>
      </c>
      <c r="AG129" s="65">
        <f>VLOOKUP($O129,'NO USAR1'!$A$4:$L$399,5,False)*$X$19</f>
        <v>1.42558398</v>
      </c>
      <c r="AH129" s="65">
        <f>VLOOKUP($O129,'NO USAR1'!$A$4:$L$399,6,False)*$Y$19</f>
        <v>0.3923381197</v>
      </c>
      <c r="AI129" s="65">
        <f>VLOOKUP($O129,'NO USAR1'!$A$4:$L$399,7,False)*$Z$19</f>
        <v>0</v>
      </c>
      <c r="AJ129" s="65">
        <f>VLOOKUP($O129,'NO USAR1'!$A$4:$L$399,8,False)*$AA$19</f>
        <v>0</v>
      </c>
      <c r="AK129" s="70">
        <f>VLOOKUP($O129,'NO USAR1'!$A$4:$L$399,10,False)*$AB$19</f>
        <v>0.1687673852</v>
      </c>
      <c r="AL129" s="65">
        <f>VLOOKUP($O129,'NO USAR1'!$A$4:$L$399,12,False)*$AC$19</f>
        <v>0</v>
      </c>
      <c r="AM129" s="71">
        <f t="shared" si="2"/>
        <v>-1.265657258</v>
      </c>
      <c r="AN129" s="71">
        <f t="shared" si="3"/>
        <v>-2.179039487</v>
      </c>
    </row>
    <row r="130">
      <c r="A130" t="str">
        <f>IF('NO USAR2'!B128="",ROW('NO USAR2'!B128),'NO USAR2'!B128)</f>
        <v>Aaron Gordon</v>
      </c>
      <c r="B130" s="58">
        <f>IF(TYPE($A130)=1,"",('NO USAR2'!$L128-B$1)/B$2)</f>
        <v>-0.4177157438</v>
      </c>
      <c r="C130" s="58">
        <f>IF(TYPE($A130)=1,"",('NO USAR2'!$K128-C$1)/C$2)</f>
        <v>-0.4134044473</v>
      </c>
      <c r="D130" s="58">
        <f>IF(TYPE($A130)=1,"",('NO USAR2'!$M128-D$1)/D$2)</f>
        <v>-0.1120537583</v>
      </c>
      <c r="E130" s="58">
        <f>IF(TYPE($A130)=1,"",('NO USAR2'!$N128-E$1)/E$2)</f>
        <v>-0.5487847198</v>
      </c>
      <c r="F130" s="58">
        <f>IF(TYPE($A130)=1,"",('NO USAR2'!$O128-F$1)/F$2)</f>
        <v>-1.32132894</v>
      </c>
      <c r="G130" s="58">
        <f>IF(TYPE($A130)=1,"",('NO USAR2'!$P128-G$1)/G$2)</f>
        <v>-0.200461529</v>
      </c>
      <c r="H130" s="58">
        <f>IF(TYPE($A130)=1,"",('NO USAR2'!$H128-H$1)/H$2*I130/$I$1)</f>
        <v>0.2577299278</v>
      </c>
      <c r="I130" s="58">
        <f>IF(TYPE($A130)=1,"",IF('NO USAR2'!H128=0,0,'NO USAR2'!G128/'NO USAR2'!H128))</f>
        <v>10.8</v>
      </c>
      <c r="J130" s="59">
        <f>IF(TYPE($A130)=1,"",('NO USAR2'!$J128-J$1)/J$2*K130/$K$1)</f>
        <v>-0.4264557869</v>
      </c>
      <c r="K130" s="60">
        <f>IF(TYPE($A130)=1,"",IF('NO USAR2'!J128=0,0,'NO USAR2'!I128/'NO USAR2'!J128))</f>
        <v>3.2</v>
      </c>
      <c r="L130" s="58">
        <f>IF(TYPE($A130)=1,"",-('NO USAR2'!$Q128-L$1)/L$2)</f>
        <v>0.2436926961</v>
      </c>
      <c r="N130" s="2">
        <v>110.0</v>
      </c>
      <c r="O130" s="68" t="str">
        <f>IF('NO USAR2'!B138="",ROW('NO USAR2'!B138),'NO USAR2'!B138)</f>
        <v>Jalen Suggs</v>
      </c>
      <c r="P130" s="68">
        <f>'NO USAR2'!E111</f>
        <v>80</v>
      </c>
      <c r="Q130" s="68" t="str">
        <f>IF('NO USAR2'!C138="",ROW('NO USAR2'!N153),'NO USAR2'!C138)</f>
        <v>PG/SG</v>
      </c>
      <c r="R130" s="65">
        <f>VLOOKUP($O130,'NO USAR1'!$A$4:$L$399,2,False)+VLOOKUP($O130,'NO USAR1'!$A$4:$L$399,3,False)+VLOOKUP($O130,'NO USAR1'!$A$4:$L$399,4,False)+VLOOKUP($O130,'NO USAR1'!$A$4:$L$399,5,False)+VLOOKUP($O130,'NO USAR1'!$A$4:$L$399,6,False)+VLOOKUP($O130,'NO USAR1'!$A$4:$L$399,7,False)+VLOOKUP($O130,'NO USAR1'!$A$4:$L$399,8,False)+VLOOKUP($O130,'NO USAR1'!$A$4:$L$399,10,False)+VLOOKUP($O130,'NO USAR1'!$A$4:$L$399,12,False)*0</f>
        <v>-2.057419469</v>
      </c>
      <c r="S130" s="65">
        <f>VLOOKUP($O130,'NO USAR1'!$A$4:$L$399,2,False)*$U$19+VLOOKUP($O130,'NO USAR1'!$A$4:$L$399,3,False)*$V$19+VLOOKUP($O130,'NO USAR1'!$A$4:$L$399,4,False)*$W$19+VLOOKUP($O130,'NO USAR1'!$A$4:$L$399,5,False)*$X$19+VLOOKUP($O130,'NO USAR1'!$A$4:$L$399,6,False)*$Y$19+VLOOKUP($O130,'NO USAR1'!$A$4:$L$399,7,False)*$Z$19+VLOOKUP($O130,'NO USAR1'!$A$4:$L$399,8,False)*$AA$19+VLOOKUP($O130,'NO USAR1'!$A$4:$L$399,10,False)*$AB$19+VLOOKUP($O130,'NO USAR1'!$A$4:$L$399,12,False)*$AC$19+IF(Projections!$K$3,-AN130, IF(Projections!$J$3,-AM130,0))</f>
        <v>-0.6903362373</v>
      </c>
      <c r="T130" s="65">
        <f t="shared" si="1"/>
        <v>1.367083232</v>
      </c>
      <c r="U130" s="65">
        <f>VLOOKUP($O130,'NO USAR2'!$B$2:$R$397,11,False)</f>
        <v>13.1</v>
      </c>
      <c r="V130" s="69">
        <f>VLOOKUP($O130,'NO USAR2'!$B$2:$R$397,10,False)</f>
        <v>1</v>
      </c>
      <c r="W130" s="65">
        <f>VLOOKUP($O130,'NO USAR2'!$B$2:$R$397,12,False)</f>
        <v>3.9</v>
      </c>
      <c r="X130" s="65">
        <f>VLOOKUP($O130,'NO USAR2'!$B$2:$R$397,13,False)</f>
        <v>5.1</v>
      </c>
      <c r="Y130" s="65">
        <f>VLOOKUP($O130,'NO USAR2'!$B$2:$R$397,14,False)</f>
        <v>1.3</v>
      </c>
      <c r="Z130" s="70">
        <f>VLOOKUP($O130,'NO USAR2'!$B$2:$R$397,15,False)</f>
        <v>0.5</v>
      </c>
      <c r="AA130" s="65">
        <f>100*VLOOKUP($O130,'NO USAR2'!$B$2:$R$397,7,False)</f>
        <v>42.99065421</v>
      </c>
      <c r="AB130" s="65">
        <f>100*VLOOKUP($O130,'NO USAR2'!$B$2:$R$397,9,False)</f>
        <v>76.31578947</v>
      </c>
      <c r="AC130" s="65">
        <f>VLOOKUP($O130,'NO USAR2'!$B$2:$Q$397,16,False)</f>
        <v>3.4</v>
      </c>
      <c r="AD130" s="65">
        <f>VLOOKUP($O130,'NO USAR1'!$A$4:$L$399,2,False)*$U$19</f>
        <v>-1.026000892</v>
      </c>
      <c r="AE130" s="65">
        <f>VLOOKUP($O130,'NO USAR1'!$A$4:$L$399,3,False)*$V$19</f>
        <v>-0.6133955598</v>
      </c>
      <c r="AF130" s="65">
        <f>VLOOKUP($O130,'NO USAR1'!$A$4:$L$399,4,False)*$W$19</f>
        <v>-0.8876630241</v>
      </c>
      <c r="AG130" s="65">
        <f>VLOOKUP($O130,'NO USAR1'!$A$4:$L$399,5,False)*$X$19</f>
        <v>0.7978214484</v>
      </c>
      <c r="AH130" s="65">
        <f>VLOOKUP($O130,'NO USAR1'!$A$4:$L$399,6,False)*$Y$19</f>
        <v>1.209937838</v>
      </c>
      <c r="AI130" s="65">
        <f>VLOOKUP($O130,'NO USAR1'!$A$4:$L$399,7,False)*$Z$19</f>
        <v>0</v>
      </c>
      <c r="AJ130" s="65">
        <f>VLOOKUP($O130,'NO USAR1'!$A$4:$L$399,8,False)*$AA$19</f>
        <v>0</v>
      </c>
      <c r="AK130" s="70">
        <f>VLOOKUP($O130,'NO USAR1'!$A$4:$L$399,10,False)*$AB$19</f>
        <v>-0.1710360472</v>
      </c>
      <c r="AL130" s="65">
        <f>VLOOKUP($O130,'NO USAR1'!$A$4:$L$399,12,False)*$AC$19</f>
        <v>0</v>
      </c>
      <c r="AM130" s="71">
        <f t="shared" si="2"/>
        <v>-1.026000892</v>
      </c>
      <c r="AN130" s="71">
        <f t="shared" si="3"/>
        <v>-1.913663916</v>
      </c>
    </row>
    <row r="131">
      <c r="A131" t="str">
        <f>IF('NO USAR2'!B129="",ROW('NO USAR2'!B129),'NO USAR2'!B129)</f>
        <v>Patrick Williams</v>
      </c>
      <c r="B131" s="58">
        <f>IF(TYPE($A131)=1,"",('NO USAR2'!$L129-B$1)/B$2)</f>
        <v>-1.056799386</v>
      </c>
      <c r="C131" s="58">
        <f>IF(TYPE($A131)=1,"",('NO USAR2'!$K129-C$1)/C$2)</f>
        <v>-0.3134088911</v>
      </c>
      <c r="D131" s="58">
        <f>IF(TYPE($A131)=1,"",('NO USAR2'!$M129-D$1)/D$2)</f>
        <v>-0.479447621</v>
      </c>
      <c r="E131" s="58">
        <f>IF(TYPE($A131)=1,"",('NO USAR2'!$N129-E$1)/E$2)</f>
        <v>-1.187961116</v>
      </c>
      <c r="F131" s="58">
        <f>IF(TYPE($A131)=1,"",('NO USAR2'!$O129-F$1)/F$2)</f>
        <v>0.3138704957</v>
      </c>
      <c r="G131" s="58">
        <f>IF(TYPE($A131)=1,"",('NO USAR2'!$P129-G$1)/G$2)</f>
        <v>0.005529973215</v>
      </c>
      <c r="H131" s="58">
        <f>IF(TYPE($A131)=1,"",('NO USAR2'!$H129-H$1)/H$2*I131/$I$1)</f>
        <v>0.2131283102</v>
      </c>
      <c r="I131" s="58">
        <f>IF(TYPE($A131)=1,"",IF('NO USAR2'!H129=0,0,'NO USAR2'!G129/'NO USAR2'!H129))</f>
        <v>7.4</v>
      </c>
      <c r="J131" s="59">
        <f>IF(TYPE($A131)=1,"",('NO USAR2'!$J129-J$1)/J$2*K131/$K$1)</f>
        <v>-0.6329917858</v>
      </c>
      <c r="K131" s="60">
        <f>IF(TYPE($A131)=1,"",IF('NO USAR2'!J129=0,0,'NO USAR2'!I129/'NO USAR2'!J129))</f>
        <v>2.9</v>
      </c>
      <c r="L131" s="58">
        <f>IF(TYPE($A131)=1,"",-('NO USAR2'!$Q129-L$1)/L$2)</f>
        <v>1.016250392</v>
      </c>
      <c r="N131" s="63">
        <v>111.0</v>
      </c>
      <c r="O131" s="68" t="str">
        <f>IF('NO USAR2'!B88="",ROW('NO USAR2'!B88),'NO USAR2'!B88)</f>
        <v>Brook Lopez</v>
      </c>
      <c r="P131" s="68">
        <f>'NO USAR2'!E112</f>
        <v>70</v>
      </c>
      <c r="Q131" s="68" t="str">
        <f>IF('NO USAR2'!C88="",ROW('NO USAR2'!N103),'NO USAR2'!C88)</f>
        <v>C</v>
      </c>
      <c r="R131" s="65">
        <f>VLOOKUP($O131,'NO USAR1'!$A$4:$L$399,2,False)+VLOOKUP($O131,'NO USAR1'!$A$4:$L$399,3,False)+VLOOKUP($O131,'NO USAR1'!$A$4:$L$399,4,False)+VLOOKUP($O131,'NO USAR1'!$A$4:$L$399,5,False)+VLOOKUP($O131,'NO USAR1'!$A$4:$L$399,6,False)+VLOOKUP($O131,'NO USAR1'!$A$4:$L$399,7,False)+VLOOKUP($O131,'NO USAR1'!$A$4:$L$399,8,False)+VLOOKUP($O131,'NO USAR1'!$A$4:$L$399,10,False)+VLOOKUP($O131,'NO USAR1'!$A$4:$L$399,12,False)*0</f>
        <v>-2.074572978</v>
      </c>
      <c r="S131" s="65">
        <f>VLOOKUP($O131,'NO USAR1'!$A$4:$L$399,2,False)*$U$19+VLOOKUP($O131,'NO USAR1'!$A$4:$L$399,3,False)*$V$19+VLOOKUP($O131,'NO USAR1'!$A$4:$L$399,4,False)*$W$19+VLOOKUP($O131,'NO USAR1'!$A$4:$L$399,5,False)*$X$19+VLOOKUP($O131,'NO USAR1'!$A$4:$L$399,6,False)*$Y$19+VLOOKUP($O131,'NO USAR1'!$A$4:$L$399,7,False)*$Z$19+VLOOKUP($O131,'NO USAR1'!$A$4:$L$399,8,False)*$AA$19+VLOOKUP($O131,'NO USAR1'!$A$4:$L$399,10,False)*$AB$19+VLOOKUP($O131,'NO USAR1'!$A$4:$L$399,12,False)*$AC$19+IF(Projections!$K$3,-AN131, IF(Projections!$J$3,-AM131,0))</f>
        <v>-4.585284021</v>
      </c>
      <c r="T131" s="65">
        <f t="shared" si="1"/>
        <v>-2.510711043</v>
      </c>
      <c r="U131" s="65">
        <f>VLOOKUP($O131,'NO USAR2'!$B$2:$R$397,11,False)</f>
        <v>12.3</v>
      </c>
      <c r="V131" s="69">
        <f>VLOOKUP($O131,'NO USAR2'!$B$2:$R$397,10,False)</f>
        <v>1.4</v>
      </c>
      <c r="W131" s="65">
        <f>VLOOKUP($O131,'NO USAR2'!$B$2:$R$397,12,False)</f>
        <v>4.9</v>
      </c>
      <c r="X131" s="65">
        <f>VLOOKUP($O131,'NO USAR2'!$B$2:$R$397,13,False)</f>
        <v>0.6</v>
      </c>
      <c r="Y131" s="65">
        <f>VLOOKUP($O131,'NO USAR2'!$B$2:$R$397,14,False)</f>
        <v>0.7</v>
      </c>
      <c r="Z131" s="70">
        <f>VLOOKUP($O131,'NO USAR2'!$B$2:$R$397,15,False)</f>
        <v>1.3</v>
      </c>
      <c r="AA131" s="65">
        <f>100*VLOOKUP($O131,'NO USAR2'!$B$2:$R$397,7,False)</f>
        <v>47.91666667</v>
      </c>
      <c r="AB131" s="65">
        <f>100*VLOOKUP($O131,'NO USAR2'!$B$2:$R$397,9,False)</f>
        <v>90</v>
      </c>
      <c r="AC131" s="65">
        <f>VLOOKUP($O131,'NO USAR2'!$B$2:$Q$397,16,False)</f>
        <v>1.1</v>
      </c>
      <c r="AD131" s="65">
        <f>VLOOKUP($O131,'NO USAR1'!$A$4:$L$399,2,False)*$U$19</f>
        <v>-1.239028773</v>
      </c>
      <c r="AE131" s="65">
        <f>VLOOKUP($O131,'NO USAR1'!$A$4:$L$399,3,False)*$V$19</f>
        <v>-0.2134133348</v>
      </c>
      <c r="AF131" s="65">
        <f>VLOOKUP($O131,'NO USAR1'!$A$4:$L$399,4,False)*$W$19</f>
        <v>-0.479447621</v>
      </c>
      <c r="AG131" s="65">
        <f>VLOOKUP($O131,'NO USAR1'!$A$4:$L$399,5,False)*$X$19</f>
        <v>-1.770298</v>
      </c>
      <c r="AH131" s="65">
        <f>VLOOKUP($O131,'NO USAR1'!$A$4:$L$399,6,False)*$Y$19</f>
        <v>-1.242861316</v>
      </c>
      <c r="AI131" s="65">
        <f>VLOOKUP($O131,'NO USAR1'!$A$4:$L$399,7,False)*$Z$19</f>
        <v>0</v>
      </c>
      <c r="AJ131" s="65">
        <f>VLOOKUP($O131,'NO USAR1'!$A$4:$L$399,8,False)*$AA$19</f>
        <v>0</v>
      </c>
      <c r="AK131" s="70">
        <f>VLOOKUP($O131,'NO USAR1'!$A$4:$L$399,10,False)*$AB$19</f>
        <v>0.3597650245</v>
      </c>
      <c r="AL131" s="65">
        <f>VLOOKUP($O131,'NO USAR1'!$A$4:$L$399,12,False)*$AC$19</f>
        <v>0</v>
      </c>
      <c r="AM131" s="71">
        <f t="shared" si="2"/>
        <v>-1.770298</v>
      </c>
      <c r="AN131" s="71">
        <f t="shared" si="3"/>
        <v>-3.013159316</v>
      </c>
    </row>
    <row r="132">
      <c r="A132" t="str">
        <f>IF('NO USAR2'!B130="",ROW('NO USAR2'!B130),'NO USAR2'!B130)</f>
        <v>Harrison Barnes</v>
      </c>
      <c r="B132" s="58">
        <f>IF(TYPE($A132)=1,"",('NO USAR2'!$L130-B$1)/B$2)</f>
        <v>-0.3999634204</v>
      </c>
      <c r="C132" s="58">
        <f>IF(TYPE($A132)=1,"",('NO USAR2'!$K130-C$1)/C$2)</f>
        <v>0.08657333394</v>
      </c>
      <c r="D132" s="58">
        <f>IF(TYPE($A132)=1,"",('NO USAR2'!$M130-D$1)/D$2)</f>
        <v>-0.4386260807</v>
      </c>
      <c r="E132" s="58">
        <f>IF(TYPE($A132)=1,"",('NO USAR2'!$N130-E$1)/E$2)</f>
        <v>-0.6400956335</v>
      </c>
      <c r="F132" s="58">
        <f>IF(TYPE($A132)=1,"",('NO USAR2'!$O130-F$1)/F$2)</f>
        <v>-0.9942890529</v>
      </c>
      <c r="G132" s="58">
        <f>IF(TYPE($A132)=1,"",('NO USAR2'!$P130-G$1)/G$2)</f>
        <v>-1.024427538</v>
      </c>
      <c r="H132" s="58">
        <f>IF(TYPE($A132)=1,"",('NO USAR2'!$H130-H$1)/H$2*I132/$I$1)</f>
        <v>-0.1035507983</v>
      </c>
      <c r="I132" s="58">
        <f>IF(TYPE($A132)=1,"",IF('NO USAR2'!H130=0,0,'NO USAR2'!G130/'NO USAR2'!H130))</f>
        <v>9.8</v>
      </c>
      <c r="J132" s="59">
        <f>IF(TYPE($A132)=1,"",('NO USAR2'!$J130-J$1)/J$2*K132/$K$1)</f>
        <v>0.4685335417</v>
      </c>
      <c r="K132" s="60">
        <f>IF(TYPE($A132)=1,"",IF('NO USAR2'!J130=0,0,'NO USAR2'!I130/'NO USAR2'!J130))</f>
        <v>4.5</v>
      </c>
      <c r="L132" s="58">
        <f>IF(TYPE($A132)=1,"",-('NO USAR2'!$Q130-L$1)/L$2)</f>
        <v>0.6851542367</v>
      </c>
      <c r="N132" s="63">
        <v>112.0</v>
      </c>
      <c r="O132" s="68" t="str">
        <f>IF('NO USAR2'!B79="",ROW('NO USAR2'!B79),'NO USAR2'!B79)</f>
        <v>Keegan Murray</v>
      </c>
      <c r="P132" s="68">
        <f>'NO USAR2'!E113</f>
        <v>66</v>
      </c>
      <c r="Q132" s="68" t="str">
        <f>IF('NO USAR2'!C79="",ROW('NO USAR2'!N94),'NO USAR2'!C79)</f>
        <v>PF</v>
      </c>
      <c r="R132" s="65">
        <f>VLOOKUP($O132,'NO USAR1'!$A$4:$L$399,2,False)+VLOOKUP($O132,'NO USAR1'!$A$4:$L$399,3,False)+VLOOKUP($O132,'NO USAR1'!$A$4:$L$399,4,False)+VLOOKUP($O132,'NO USAR1'!$A$4:$L$399,5,False)+VLOOKUP($O132,'NO USAR1'!$A$4:$L$399,6,False)+VLOOKUP($O132,'NO USAR1'!$A$4:$L$399,7,False)+VLOOKUP($O132,'NO USAR1'!$A$4:$L$399,8,False)+VLOOKUP($O132,'NO USAR1'!$A$4:$L$399,10,False)+VLOOKUP($O132,'NO USAR1'!$A$4:$L$399,12,False)*0</f>
        <v>-2.165253372</v>
      </c>
      <c r="S132" s="65">
        <f>VLOOKUP($O132,'NO USAR1'!$A$4:$L$399,2,False)*$U$19+VLOOKUP($O132,'NO USAR1'!$A$4:$L$399,3,False)*$V$19+VLOOKUP($O132,'NO USAR1'!$A$4:$L$399,4,False)*$W$19+VLOOKUP($O132,'NO USAR1'!$A$4:$L$399,5,False)*$X$19+VLOOKUP($O132,'NO USAR1'!$A$4:$L$399,6,False)*$Y$19+VLOOKUP($O132,'NO USAR1'!$A$4:$L$399,7,False)*$Z$19+VLOOKUP($O132,'NO USAR1'!$A$4:$L$399,8,False)*$AA$19+VLOOKUP($O132,'NO USAR1'!$A$4:$L$399,10,False)*$AB$19+VLOOKUP($O132,'NO USAR1'!$A$4:$L$399,12,False)*$AC$19+IF(Projections!$K$3,-AN132, IF(Projections!$J$3,-AM132,0))</f>
        <v>-3.534678169</v>
      </c>
      <c r="T132" s="65">
        <f t="shared" si="1"/>
        <v>-1.369424796</v>
      </c>
      <c r="U132" s="65">
        <f>VLOOKUP($O132,'NO USAR2'!$B$2:$R$397,11,False)</f>
        <v>16.2</v>
      </c>
      <c r="V132" s="69">
        <f>VLOOKUP($O132,'NO USAR2'!$B$2:$R$397,10,False)</f>
        <v>1.3</v>
      </c>
      <c r="W132" s="65">
        <f>VLOOKUP($O132,'NO USAR2'!$B$2:$R$397,12,False)</f>
        <v>6</v>
      </c>
      <c r="X132" s="65">
        <f>VLOOKUP($O132,'NO USAR2'!$B$2:$R$397,13,False)</f>
        <v>1</v>
      </c>
      <c r="Y132" s="65">
        <f>VLOOKUP($O132,'NO USAR2'!$B$2:$R$397,14,False)</f>
        <v>0.7</v>
      </c>
      <c r="Z132" s="70">
        <f>VLOOKUP($O132,'NO USAR2'!$B$2:$R$397,15,False)</f>
        <v>1</v>
      </c>
      <c r="AA132" s="65">
        <f>100*VLOOKUP($O132,'NO USAR2'!$B$2:$R$397,7,False)</f>
        <v>51.28205128</v>
      </c>
      <c r="AB132" s="65">
        <f>100*VLOOKUP($O132,'NO USAR2'!$B$2:$R$397,9,False)</f>
        <v>75.67567568</v>
      </c>
      <c r="AC132" s="65">
        <f>VLOOKUP($O132,'NO USAR2'!$B$2:$Q$397,16,False)</f>
        <v>1</v>
      </c>
      <c r="AD132" s="65">
        <f>VLOOKUP($O132,'NO USAR1'!$A$4:$L$399,2,False)*$U$19</f>
        <v>-0.2005178542</v>
      </c>
      <c r="AE132" s="65">
        <f>VLOOKUP($O132,'NO USAR1'!$A$4:$L$399,3,False)*$V$19</f>
        <v>-0.3134088911</v>
      </c>
      <c r="AF132" s="65">
        <f>VLOOKUP($O132,'NO USAR1'!$A$4:$L$399,4,False)*$W$19</f>
        <v>-0.03041067768</v>
      </c>
      <c r="AG132" s="65">
        <f>VLOOKUP($O132,'NO USAR1'!$A$4:$L$399,5,False)*$X$19</f>
        <v>-1.542020716</v>
      </c>
      <c r="AH132" s="65">
        <f>VLOOKUP($O132,'NO USAR1'!$A$4:$L$399,6,False)*$Y$19</f>
        <v>-1.242861316</v>
      </c>
      <c r="AI132" s="65">
        <f>VLOOKUP($O132,'NO USAR1'!$A$4:$L$399,7,False)*$Z$19</f>
        <v>0</v>
      </c>
      <c r="AJ132" s="65">
        <f>VLOOKUP($O132,'NO USAR1'!$A$4:$L$399,8,False)*$AA$19</f>
        <v>0</v>
      </c>
      <c r="AK132" s="70">
        <f>VLOOKUP($O132,'NO USAR1'!$A$4:$L$399,10,False)*$AB$19</f>
        <v>-0.2054587137</v>
      </c>
      <c r="AL132" s="65">
        <f>VLOOKUP($O132,'NO USAR1'!$A$4:$L$399,12,False)*$AC$19</f>
        <v>0</v>
      </c>
      <c r="AM132" s="71">
        <f t="shared" si="2"/>
        <v>-1.542020716</v>
      </c>
      <c r="AN132" s="71">
        <f t="shared" si="3"/>
        <v>-2.784882032</v>
      </c>
    </row>
    <row r="133">
      <c r="A133" t="str">
        <f>IF('NO USAR2'!B131="",ROW('NO USAR2'!B131),'NO USAR2'!B131)</f>
        <v>De'Anthony Melton</v>
      </c>
      <c r="B133" s="58">
        <f>IF(TYPE($A133)=1,"",('NO USAR2'!$L131-B$1)/B$2)</f>
        <v>-0.8615238287</v>
      </c>
      <c r="C133" s="58">
        <f>IF(TYPE($A133)=1,"",('NO USAR2'!$K131-C$1)/C$2)</f>
        <v>0.3865600027</v>
      </c>
      <c r="D133" s="58">
        <f>IF(TYPE($A133)=1,"",('NO USAR2'!$M131-D$1)/D$2)</f>
        <v>-0.8060199435</v>
      </c>
      <c r="E133" s="58">
        <f>IF(TYPE($A133)=1,"",('NO USAR2'!$N131-E$1)/E$2)</f>
        <v>-0.457473806</v>
      </c>
      <c r="F133" s="58">
        <f>IF(TYPE($A133)=1,"",('NO USAR2'!$O131-F$1)/F$2)</f>
        <v>0.96795027</v>
      </c>
      <c r="G133" s="58">
        <f>IF(TYPE($A133)=1,"",('NO USAR2'!$P131-G$1)/G$2)</f>
        <v>-0.200461529</v>
      </c>
      <c r="H133" s="58">
        <f>IF(TYPE($A133)=1,"",('NO USAR2'!$H131-H$1)/H$2*I133/$I$1)</f>
        <v>-0.9621509961</v>
      </c>
      <c r="I133" s="58">
        <f>IF(TYPE($A133)=1,"",IF('NO USAR2'!H131=0,0,'NO USAR2'!G131/'NO USAR2'!H131))</f>
        <v>10.7</v>
      </c>
      <c r="J133" s="59">
        <f>IF(TYPE($A133)=1,"",('NO USAR2'!$J131-J$1)/J$2*K133/$K$1)</f>
        <v>0.1154604118</v>
      </c>
      <c r="K133" s="60">
        <f>IF(TYPE($A133)=1,"",IF('NO USAR2'!J131=0,0,'NO USAR2'!I131/'NO USAR2'!J131))</f>
        <v>1.6</v>
      </c>
      <c r="L133" s="58">
        <f>IF(TYPE($A133)=1,"",-('NO USAR2'!$Q131-L$1)/L$2)</f>
        <v>0.3540580812</v>
      </c>
      <c r="N133" s="2">
        <v>113.0</v>
      </c>
      <c r="O133" s="68" t="str">
        <f>IF('NO USAR2'!B97="",ROW('NO USAR2'!B97),'NO USAR2'!B97)</f>
        <v>Monte Morris</v>
      </c>
      <c r="P133" s="68">
        <f>'NO USAR2'!E114</f>
        <v>65</v>
      </c>
      <c r="Q133" s="68" t="str">
        <f>IF('NO USAR2'!C97="",ROW('NO USAR2'!N112),'NO USAR2'!C97)</f>
        <v>PG</v>
      </c>
      <c r="R133" s="65">
        <f>VLOOKUP($O133,'NO USAR1'!$A$4:$L$399,2,False)+VLOOKUP($O133,'NO USAR1'!$A$4:$L$399,3,False)+VLOOKUP($O133,'NO USAR1'!$A$4:$L$399,4,False)+VLOOKUP($O133,'NO USAR1'!$A$4:$L$399,5,False)+VLOOKUP($O133,'NO USAR1'!$A$4:$L$399,6,False)+VLOOKUP($O133,'NO USAR1'!$A$4:$L$399,7,False)+VLOOKUP($O133,'NO USAR1'!$A$4:$L$399,8,False)+VLOOKUP($O133,'NO USAR1'!$A$4:$L$399,10,False)+VLOOKUP($O133,'NO USAR1'!$A$4:$L$399,12,False)*0</f>
        <v>-2.186928851</v>
      </c>
      <c r="S133" s="65">
        <f>VLOOKUP($O133,'NO USAR1'!$A$4:$L$399,2,False)*$U$19+VLOOKUP($O133,'NO USAR1'!$A$4:$L$399,3,False)*$V$19+VLOOKUP($O133,'NO USAR1'!$A$4:$L$399,4,False)*$W$19+VLOOKUP($O133,'NO USAR1'!$A$4:$L$399,5,False)*$X$19+VLOOKUP($O133,'NO USAR1'!$A$4:$L$399,6,False)*$Y$19+VLOOKUP($O133,'NO USAR1'!$A$4:$L$399,7,False)*$Z$19+VLOOKUP($O133,'NO USAR1'!$A$4:$L$399,8,False)*$AA$19+VLOOKUP($O133,'NO USAR1'!$A$4:$L$399,10,False)*$AB$19+VLOOKUP($O133,'NO USAR1'!$A$4:$L$399,12,False)*$AC$19+IF(Projections!$K$3,-AN133, IF(Projections!$J$3,-AM133,0))</f>
        <v>-1.482879766</v>
      </c>
      <c r="T133" s="65">
        <f t="shared" si="1"/>
        <v>0.704049085</v>
      </c>
      <c r="U133" s="65">
        <f>VLOOKUP($O133,'NO USAR2'!$B$2:$R$397,11,False)</f>
        <v>12.6</v>
      </c>
      <c r="V133" s="69">
        <f>VLOOKUP($O133,'NO USAR2'!$B$2:$R$397,10,False)</f>
        <v>1.8</v>
      </c>
      <c r="W133" s="65">
        <f>VLOOKUP($O133,'NO USAR2'!$B$2:$R$397,12,False)</f>
        <v>3</v>
      </c>
      <c r="X133" s="65">
        <f>VLOOKUP($O133,'NO USAR2'!$B$2:$R$397,13,False)</f>
        <v>6.2</v>
      </c>
      <c r="Y133" s="65">
        <f>VLOOKUP($O133,'NO USAR2'!$B$2:$R$397,14,False)</f>
        <v>0.8</v>
      </c>
      <c r="Z133" s="70">
        <f>VLOOKUP($O133,'NO USAR2'!$B$2:$R$397,15,False)</f>
        <v>0.2</v>
      </c>
      <c r="AA133" s="65">
        <f>100*VLOOKUP($O133,'NO USAR2'!$B$2:$R$397,7,False)</f>
        <v>48</v>
      </c>
      <c r="AB133" s="65">
        <f>100*VLOOKUP($O133,'NO USAR2'!$B$2:$R$397,9,False)</f>
        <v>85.71428571</v>
      </c>
      <c r="AC133" s="65">
        <f>VLOOKUP($O133,'NO USAR2'!$B$2:$Q$397,16,False)</f>
        <v>1</v>
      </c>
      <c r="AD133" s="65">
        <f>VLOOKUP($O133,'NO USAR1'!$A$4:$L$399,2,False)*$U$19</f>
        <v>-1.159143318</v>
      </c>
      <c r="AE133" s="65">
        <f>VLOOKUP($O133,'NO USAR1'!$A$4:$L$399,3,False)*$V$19</f>
        <v>0.1865688902</v>
      </c>
      <c r="AF133" s="65">
        <f>VLOOKUP($O133,'NO USAR1'!$A$4:$L$399,4,False)*$W$19</f>
        <v>-1.255056887</v>
      </c>
      <c r="AG133" s="65">
        <f>VLOOKUP($O133,'NO USAR1'!$A$4:$L$399,5,False)*$X$19</f>
        <v>1.42558398</v>
      </c>
      <c r="AH133" s="65">
        <f>VLOOKUP($O133,'NO USAR1'!$A$4:$L$399,6,False)*$Y$19</f>
        <v>-0.8340614572</v>
      </c>
      <c r="AI133" s="65">
        <f>VLOOKUP($O133,'NO USAR1'!$A$4:$L$399,7,False)*$Z$19</f>
        <v>0</v>
      </c>
      <c r="AJ133" s="65">
        <f>VLOOKUP($O133,'NO USAR1'!$A$4:$L$399,8,False)*$AA$19</f>
        <v>0</v>
      </c>
      <c r="AK133" s="70">
        <f>VLOOKUP($O133,'NO USAR1'!$A$4:$L$399,10,False)*$AB$19</f>
        <v>0.1532290256</v>
      </c>
      <c r="AL133" s="65">
        <f>VLOOKUP($O133,'NO USAR1'!$A$4:$L$399,12,False)*$AC$19</f>
        <v>0</v>
      </c>
      <c r="AM133" s="71">
        <f t="shared" si="2"/>
        <v>-1.255056887</v>
      </c>
      <c r="AN133" s="71">
        <f t="shared" si="3"/>
        <v>-2.414200204</v>
      </c>
    </row>
    <row r="134">
      <c r="A134" t="str">
        <f>IF('NO USAR2'!B132="",ROW('NO USAR2'!B132),'NO USAR2'!B132)</f>
        <v>Otto Porter Jr.</v>
      </c>
      <c r="B134" s="58">
        <f>IF(TYPE($A134)=1,"",('NO USAR2'!$L132-B$1)/B$2)</f>
        <v>-1.500607471</v>
      </c>
      <c r="C134" s="58">
        <f>IF(TYPE($A134)=1,"",('NO USAR2'!$K132-C$1)/C$2)</f>
        <v>-0.3134088911</v>
      </c>
      <c r="D134" s="58">
        <f>IF(TYPE($A134)=1,"",('NO USAR2'!$M132-D$1)/D$2)</f>
        <v>-0.07123221798</v>
      </c>
      <c r="E134" s="58">
        <f>IF(TYPE($A134)=1,"",('NO USAR2'!$N132-E$1)/E$2)</f>
        <v>-1.005339288</v>
      </c>
      <c r="F134" s="58">
        <f>IF(TYPE($A134)=1,"",('NO USAR2'!$O132-F$1)/F$2)</f>
        <v>0.3138704957</v>
      </c>
      <c r="G134" s="58">
        <f>IF(TYPE($A134)=1,"",('NO USAR2'!$P132-G$1)/G$2)</f>
        <v>-0.4064530313</v>
      </c>
      <c r="H134" s="58">
        <f>IF(TYPE($A134)=1,"",('NO USAR2'!$H132-H$1)/H$2*I134/$I$1)</f>
        <v>-0.08618987859</v>
      </c>
      <c r="I134" s="58">
        <f>IF(TYPE($A134)=1,"",IF('NO USAR2'!H132=0,0,'NO USAR2'!G132/'NO USAR2'!H132))</f>
        <v>6.7</v>
      </c>
      <c r="J134" s="59">
        <f>IF(TYPE($A134)=1,"",('NO USAR2'!$J132-J$1)/J$2*K134/$K$1)</f>
        <v>0.03107671921</v>
      </c>
      <c r="K134" s="60">
        <f>IF(TYPE($A134)=1,"",IF('NO USAR2'!J132=0,0,'NO USAR2'!I132/'NO USAR2'!J132))</f>
        <v>1</v>
      </c>
      <c r="L134" s="58">
        <f>IF(TYPE($A134)=1,"",-('NO USAR2'!$Q132-L$1)/L$2)</f>
        <v>1.568077318</v>
      </c>
      <c r="N134" s="63">
        <v>114.0</v>
      </c>
      <c r="O134" s="68" t="str">
        <f>IF('NO USAR2'!B117="",ROW('NO USAR2'!B117),'NO USAR2'!B117)</f>
        <v>Anfernee Simons</v>
      </c>
      <c r="P134" s="68">
        <f>'NO USAR2'!E115</f>
        <v>72</v>
      </c>
      <c r="Q134" s="68" t="str">
        <f>IF('NO USAR2'!C117="",ROW('NO USAR2'!N132),'NO USAR2'!C117)</f>
        <v>PG/SF</v>
      </c>
      <c r="R134" s="65">
        <f>VLOOKUP($O134,'NO USAR1'!$A$4:$L$399,2,False)+VLOOKUP($O134,'NO USAR1'!$A$4:$L$399,3,False)+VLOOKUP($O134,'NO USAR1'!$A$4:$L$399,4,False)+VLOOKUP($O134,'NO USAR1'!$A$4:$L$399,5,False)+VLOOKUP($O134,'NO USAR1'!$A$4:$L$399,6,False)+VLOOKUP($O134,'NO USAR1'!$A$4:$L$399,7,False)+VLOOKUP($O134,'NO USAR1'!$A$4:$L$399,8,False)+VLOOKUP($O134,'NO USAR1'!$A$4:$L$399,10,False)+VLOOKUP($O134,'NO USAR1'!$A$4:$L$399,12,False)*0</f>
        <v>-2.201857618</v>
      </c>
      <c r="S134" s="65">
        <f>VLOOKUP($O134,'NO USAR1'!$A$4:$L$399,2,False)*$U$19+VLOOKUP($O134,'NO USAR1'!$A$4:$L$399,3,False)*$V$19+VLOOKUP($O134,'NO USAR1'!$A$4:$L$399,4,False)*$W$19+VLOOKUP($O134,'NO USAR1'!$A$4:$L$399,5,False)*$X$19+VLOOKUP($O134,'NO USAR1'!$A$4:$L$399,6,False)*$Y$19+VLOOKUP($O134,'NO USAR1'!$A$4:$L$399,7,False)*$Z$19+VLOOKUP($O134,'NO USAR1'!$A$4:$L$399,8,False)*$AA$19+VLOOKUP($O134,'NO USAR1'!$A$4:$L$399,10,False)*$AB$19+VLOOKUP($O134,'NO USAR1'!$A$4:$L$399,12,False)*$AC$19+IF(Projections!$K$3,-AN134, IF(Projections!$J$3,-AM134,0))</f>
        <v>-0.8291957119</v>
      </c>
      <c r="T134" s="65">
        <f t="shared" si="1"/>
        <v>1.372661906</v>
      </c>
      <c r="U134" s="65">
        <f>VLOOKUP($O134,'NO USAR2'!$B$2:$R$397,11,False)</f>
        <v>18.8</v>
      </c>
      <c r="V134" s="69">
        <f>VLOOKUP($O134,'NO USAR2'!$B$2:$R$397,10,False)</f>
        <v>3</v>
      </c>
      <c r="W134" s="65">
        <f>VLOOKUP($O134,'NO USAR2'!$B$2:$R$397,12,False)</f>
        <v>3</v>
      </c>
      <c r="X134" s="65">
        <f>VLOOKUP($O134,'NO USAR2'!$B$2:$R$397,13,False)</f>
        <v>3.3</v>
      </c>
      <c r="Y134" s="65">
        <f>VLOOKUP($O134,'NO USAR2'!$B$2:$R$397,14,False)</f>
        <v>0.6</v>
      </c>
      <c r="Z134" s="70">
        <f>VLOOKUP($O134,'NO USAR2'!$B$2:$R$397,15,False)</f>
        <v>0.1</v>
      </c>
      <c r="AA134" s="65">
        <f>100*VLOOKUP($O134,'NO USAR2'!$B$2:$R$397,7,False)</f>
        <v>44.51612903</v>
      </c>
      <c r="AB134" s="65">
        <f>100*VLOOKUP($O134,'NO USAR2'!$B$2:$R$397,9,False)</f>
        <v>90.90909091</v>
      </c>
      <c r="AC134" s="65">
        <f>VLOOKUP($O134,'NO USAR2'!$B$2:$Q$397,16,False)</f>
        <v>2.2</v>
      </c>
      <c r="AD134" s="65">
        <f>VLOOKUP($O134,'NO USAR1'!$A$4:$L$399,2,False)*$U$19</f>
        <v>0.4918227583</v>
      </c>
      <c r="AE134" s="65">
        <f>VLOOKUP($O134,'NO USAR1'!$A$4:$L$399,3,False)*$V$19</f>
        <v>1.386515565</v>
      </c>
      <c r="AF134" s="65">
        <f>VLOOKUP($O134,'NO USAR1'!$A$4:$L$399,4,False)*$W$19</f>
        <v>-1.255056887</v>
      </c>
      <c r="AG134" s="65">
        <f>VLOOKUP($O134,'NO USAR1'!$A$4:$L$399,5,False)*$X$19</f>
        <v>-0.2294263311</v>
      </c>
      <c r="AH134" s="65">
        <f>VLOOKUP($O134,'NO USAR1'!$A$4:$L$399,6,False)*$Y$19</f>
        <v>-1.651661175</v>
      </c>
      <c r="AI134" s="65">
        <f>VLOOKUP($O134,'NO USAR1'!$A$4:$L$399,7,False)*$Z$19</f>
        <v>0</v>
      </c>
      <c r="AJ134" s="65">
        <f>VLOOKUP($O134,'NO USAR1'!$A$4:$L$399,8,False)*$AA$19</f>
        <v>0</v>
      </c>
      <c r="AK134" s="70">
        <f>VLOOKUP($O134,'NO USAR1'!$A$4:$L$399,10,False)*$AB$19</f>
        <v>0.4286103574</v>
      </c>
      <c r="AL134" s="65">
        <f>VLOOKUP($O134,'NO USAR1'!$A$4:$L$399,12,False)*$AC$19</f>
        <v>0</v>
      </c>
      <c r="AM134" s="71">
        <f t="shared" si="2"/>
        <v>-1.651661175</v>
      </c>
      <c r="AN134" s="71">
        <f t="shared" si="3"/>
        <v>-2.906718062</v>
      </c>
    </row>
    <row r="135">
      <c r="A135" t="str">
        <f>IF('NO USAR2'!B133="",ROW('NO USAR2'!B133),'NO USAR2'!B133)</f>
        <v>Kentavious Caldwell-Pope</v>
      </c>
      <c r="B135" s="58">
        <f>IF(TYPE($A135)=1,"",('NO USAR2'!$L133-B$1)/B$2)</f>
        <v>-0.7195052416</v>
      </c>
      <c r="C135" s="58">
        <f>IF(TYPE($A135)=1,"",('NO USAR2'!$K133-C$1)/C$2)</f>
        <v>0.3865600027</v>
      </c>
      <c r="D135" s="58">
        <f>IF(TYPE($A135)=1,"",('NO USAR2'!$M133-D$1)/D$2)</f>
        <v>-1.132592266</v>
      </c>
      <c r="E135" s="58">
        <f>IF(TYPE($A135)=1,"",('NO USAR2'!$N133-E$1)/E$2)</f>
        <v>-0.8683729178</v>
      </c>
      <c r="F135" s="58">
        <f>IF(TYPE($A135)=1,"",('NO USAR2'!$O133-F$1)/F$2)</f>
        <v>0.3138704957</v>
      </c>
      <c r="G135" s="58">
        <f>IF(TYPE($A135)=1,"",('NO USAR2'!$P133-G$1)/G$2)</f>
        <v>-0.8184360358</v>
      </c>
      <c r="H135" s="58">
        <f>IF(TYPE($A135)=1,"",('NO USAR2'!$H133-H$1)/H$2*I135/$I$1)</f>
        <v>-0.6166120173</v>
      </c>
      <c r="I135" s="58">
        <f>IF(TYPE($A135)=1,"",IF('NO USAR2'!H133=0,0,'NO USAR2'!G133/'NO USAR2'!H133))</f>
        <v>10.5</v>
      </c>
      <c r="J135" s="59">
        <f>IF(TYPE($A135)=1,"",('NO USAR2'!$J133-J$1)/J$2*K135/$K$1)</f>
        <v>0.9793730212</v>
      </c>
      <c r="K135" s="60">
        <f>IF(TYPE($A135)=1,"",IF('NO USAR2'!J133=0,0,'NO USAR2'!I133/'NO USAR2'!J133))</f>
        <v>1.9</v>
      </c>
      <c r="L135" s="58">
        <f>IF(TYPE($A135)=1,"",-('NO USAR2'!$Q133-L$1)/L$2)</f>
        <v>0.7955196219</v>
      </c>
      <c r="N135" s="63">
        <v>115.0</v>
      </c>
      <c r="O135" s="68" t="str">
        <f>IF('NO USAR2'!B119="",ROW('NO USAR2'!B119),'NO USAR2'!B119)</f>
        <v>Collin Sexton</v>
      </c>
      <c r="P135" s="68">
        <f>'NO USAR2'!E116</f>
        <v>69</v>
      </c>
      <c r="Q135" s="68" t="str">
        <f>IF('NO USAR2'!C119="",ROW('NO USAR2'!N134),'NO USAR2'!C119)</f>
        <v>PG/SF</v>
      </c>
      <c r="R135" s="65">
        <f>VLOOKUP($O135,'NO USAR1'!$A$4:$L$399,2,False)+VLOOKUP($O135,'NO USAR1'!$A$4:$L$399,3,False)+VLOOKUP($O135,'NO USAR1'!$A$4:$L$399,4,False)+VLOOKUP($O135,'NO USAR1'!$A$4:$L$399,5,False)+VLOOKUP($O135,'NO USAR1'!$A$4:$L$399,6,False)+VLOOKUP($O135,'NO USAR1'!$A$4:$L$399,7,False)+VLOOKUP($O135,'NO USAR1'!$A$4:$L$399,8,False)+VLOOKUP($O135,'NO USAR1'!$A$4:$L$399,10,False)+VLOOKUP($O135,'NO USAR1'!$A$4:$L$399,12,False)*0</f>
        <v>-2.221839469</v>
      </c>
      <c r="S135" s="65">
        <f>VLOOKUP($O135,'NO USAR1'!$A$4:$L$399,2,False)*$U$19+VLOOKUP($O135,'NO USAR1'!$A$4:$L$399,3,False)*$V$19+VLOOKUP($O135,'NO USAR1'!$A$4:$L$399,4,False)*$W$19+VLOOKUP($O135,'NO USAR1'!$A$4:$L$399,5,False)*$X$19+VLOOKUP($O135,'NO USAR1'!$A$4:$L$399,6,False)*$Y$19+VLOOKUP($O135,'NO USAR1'!$A$4:$L$399,7,False)*$Z$19+VLOOKUP($O135,'NO USAR1'!$A$4:$L$399,8,False)*$AA$19+VLOOKUP($O135,'NO USAR1'!$A$4:$L$399,10,False)*$AB$19+VLOOKUP($O135,'NO USAR1'!$A$4:$L$399,12,False)*$AC$19+IF(Projections!$K$3,-AN135, IF(Projections!$J$3,-AM135,0))</f>
        <v>0.05177868923</v>
      </c>
      <c r="T135" s="65">
        <f t="shared" si="1"/>
        <v>2.273618158</v>
      </c>
      <c r="U135" s="65">
        <f>VLOOKUP($O135,'NO USAR2'!$B$2:$R$397,11,False)</f>
        <v>21.5</v>
      </c>
      <c r="V135" s="69">
        <f>VLOOKUP($O135,'NO USAR2'!$B$2:$R$397,10,False)</f>
        <v>1.3</v>
      </c>
      <c r="W135" s="65">
        <f>VLOOKUP($O135,'NO USAR2'!$B$2:$R$397,12,False)</f>
        <v>3.4</v>
      </c>
      <c r="X135" s="65">
        <f>VLOOKUP($O135,'NO USAR2'!$B$2:$R$397,13,False)</f>
        <v>4.1</v>
      </c>
      <c r="Y135" s="65">
        <f>VLOOKUP($O135,'NO USAR2'!$B$2:$R$397,14,False)</f>
        <v>1</v>
      </c>
      <c r="Z135" s="70">
        <f>VLOOKUP($O135,'NO USAR2'!$B$2:$R$397,15,False)</f>
        <v>0.1</v>
      </c>
      <c r="AA135" s="65">
        <f>100*VLOOKUP($O135,'NO USAR2'!$B$2:$R$397,7,False)</f>
        <v>45.85635359</v>
      </c>
      <c r="AB135" s="65">
        <f>100*VLOOKUP($O135,'NO USAR2'!$B$2:$R$397,9,False)</f>
        <v>79.54545455</v>
      </c>
      <c r="AC135" s="65">
        <f>VLOOKUP($O135,'NO USAR2'!$B$2:$Q$397,16,False)</f>
        <v>2.8</v>
      </c>
      <c r="AD135" s="65">
        <f>VLOOKUP($O135,'NO USAR1'!$A$4:$L$399,2,False)*$U$19</f>
        <v>1.210791856</v>
      </c>
      <c r="AE135" s="65">
        <f>VLOOKUP($O135,'NO USAR1'!$A$4:$L$399,3,False)*$V$19</f>
        <v>-0.3134088911</v>
      </c>
      <c r="AF135" s="65">
        <f>VLOOKUP($O135,'NO USAR1'!$A$4:$L$399,4,False)*$W$19</f>
        <v>-1.091770726</v>
      </c>
      <c r="AG135" s="65">
        <f>VLOOKUP($O135,'NO USAR1'!$A$4:$L$399,5,False)*$X$19</f>
        <v>0.2271282376</v>
      </c>
      <c r="AH135" s="65">
        <f>VLOOKUP($O135,'NO USAR1'!$A$4:$L$399,6,False)*$Y$19</f>
        <v>-0.01646173929</v>
      </c>
      <c r="AI135" s="65">
        <f>VLOOKUP($O135,'NO USAR1'!$A$4:$L$399,7,False)*$Z$19</f>
        <v>0</v>
      </c>
      <c r="AJ135" s="65">
        <f>VLOOKUP($O135,'NO USAR1'!$A$4:$L$399,8,False)*$AA$19</f>
        <v>0</v>
      </c>
      <c r="AK135" s="70">
        <f>VLOOKUP($O135,'NO USAR1'!$A$4:$L$399,10,False)*$AB$19</f>
        <v>0.03549995174</v>
      </c>
      <c r="AL135" s="65">
        <f>VLOOKUP($O135,'NO USAR1'!$A$4:$L$399,12,False)*$AC$19</f>
        <v>0</v>
      </c>
      <c r="AM135" s="71">
        <f t="shared" si="2"/>
        <v>-1.091770726</v>
      </c>
      <c r="AN135" s="71">
        <f t="shared" si="3"/>
        <v>-1.405179617</v>
      </c>
    </row>
    <row r="136">
      <c r="A136" t="str">
        <f>IF('NO USAR2'!B134="",ROW('NO USAR2'!B134),'NO USAR2'!B134)</f>
        <v>Richaun Holmes</v>
      </c>
      <c r="B136" s="58">
        <f>IF(TYPE($A136)=1,"",('NO USAR2'!$L134-B$1)/B$2)</f>
        <v>-1.23432262</v>
      </c>
      <c r="C136" s="58">
        <f>IF(TYPE($A136)=1,"",('NO USAR2'!$K134-C$1)/C$2)</f>
        <v>-1.613351122</v>
      </c>
      <c r="D136" s="58">
        <f>IF(TYPE($A136)=1,"",('NO USAR2'!$M134-D$1)/D$2)</f>
        <v>0.2553401045</v>
      </c>
      <c r="E136" s="58">
        <f>IF(TYPE($A136)=1,"",('NO USAR2'!$N134-E$1)/E$2)</f>
        <v>-1.187961116</v>
      </c>
      <c r="F136" s="58">
        <f>IF(TYPE($A136)=1,"",('NO USAR2'!$O134-F$1)/F$2)</f>
        <v>-1.975408714</v>
      </c>
      <c r="G136" s="58">
        <f>IF(TYPE($A136)=1,"",('NO USAR2'!$P134-G$1)/G$2)</f>
        <v>0.4175129777</v>
      </c>
      <c r="H136" s="58">
        <f>IF(TYPE($A136)=1,"",('NO USAR2'!$H134-H$1)/H$2*I136/$I$1)</f>
        <v>1.30383691</v>
      </c>
      <c r="I136" s="58">
        <f>IF(TYPE($A136)=1,"",IF('NO USAR2'!H134=0,0,'NO USAR2'!G134/'NO USAR2'!H134))</f>
        <v>6.5</v>
      </c>
      <c r="J136" s="59">
        <f>IF(TYPE($A136)=1,"",('NO USAR2'!$J134-J$1)/J$2*K136/$K$1)</f>
        <v>-0.006691894546</v>
      </c>
      <c r="K136" s="60">
        <f>IF(TYPE($A136)=1,"",IF('NO USAR2'!J134=0,0,'NO USAR2'!I134/'NO USAR2'!J134))</f>
        <v>1.9</v>
      </c>
      <c r="L136" s="58">
        <f>IF(TYPE($A136)=1,"",-('NO USAR2'!$Q134-L$1)/L$2)</f>
        <v>0.905885007</v>
      </c>
      <c r="N136" s="2">
        <v>116.0</v>
      </c>
      <c r="O136" s="68" t="str">
        <f>IF('NO USAR2'!B113="",ROW('NO USAR2'!B113),'NO USAR2'!B113)</f>
        <v>Cameron Johnson</v>
      </c>
      <c r="P136" s="68">
        <f>'NO USAR2'!E117</f>
        <v>70</v>
      </c>
      <c r="Q136" s="68" t="str">
        <f>IF('NO USAR2'!C113="",ROW('NO USAR2'!N128),'NO USAR2'!C113)</f>
        <v>SF/PF</v>
      </c>
      <c r="R136" s="65">
        <f>VLOOKUP($O136,'NO USAR1'!$A$4:$L$399,2,False)+VLOOKUP($O136,'NO USAR1'!$A$4:$L$399,3,False)+VLOOKUP($O136,'NO USAR1'!$A$4:$L$399,4,False)+VLOOKUP($O136,'NO USAR1'!$A$4:$L$399,5,False)+VLOOKUP($O136,'NO USAR1'!$A$4:$L$399,6,False)+VLOOKUP($O136,'NO USAR1'!$A$4:$L$399,7,False)+VLOOKUP($O136,'NO USAR1'!$A$4:$L$399,8,False)+VLOOKUP($O136,'NO USAR1'!$A$4:$L$399,10,False)+VLOOKUP($O136,'NO USAR1'!$A$4:$L$399,12,False)*0</f>
        <v>-2.351979281</v>
      </c>
      <c r="S136" s="65">
        <f>VLOOKUP($O136,'NO USAR1'!$A$4:$L$399,2,False)*$U$19+VLOOKUP($O136,'NO USAR1'!$A$4:$L$399,3,False)*$V$19+VLOOKUP($O136,'NO USAR1'!$A$4:$L$399,4,False)*$W$19+VLOOKUP($O136,'NO USAR1'!$A$4:$L$399,5,False)*$X$19+VLOOKUP($O136,'NO USAR1'!$A$4:$L$399,6,False)*$Y$19+VLOOKUP($O136,'NO USAR1'!$A$4:$L$399,7,False)*$Z$19+VLOOKUP($O136,'NO USAR1'!$A$4:$L$399,8,False)*$AA$19+VLOOKUP($O136,'NO USAR1'!$A$4:$L$399,10,False)*$AB$19+VLOOKUP($O136,'NO USAR1'!$A$4:$L$399,12,False)*$AC$19+IF(Projections!$K$3,-AN136, IF(Projections!$J$3,-AM136,0))</f>
        <v>-1.657384202</v>
      </c>
      <c r="T136" s="65">
        <f t="shared" si="1"/>
        <v>0.6945950789</v>
      </c>
      <c r="U136" s="65">
        <f>VLOOKUP($O136,'NO USAR2'!$B$2:$R$397,11,False)</f>
        <v>13.4</v>
      </c>
      <c r="V136" s="69">
        <f>VLOOKUP($O136,'NO USAR2'!$B$2:$R$397,10,False)</f>
        <v>2.6</v>
      </c>
      <c r="W136" s="65">
        <f>VLOOKUP($O136,'NO USAR2'!$B$2:$R$397,12,False)</f>
        <v>4.5</v>
      </c>
      <c r="X136" s="65">
        <f>VLOOKUP($O136,'NO USAR2'!$B$2:$R$397,13,False)</f>
        <v>1.6</v>
      </c>
      <c r="Y136" s="65">
        <f>VLOOKUP($O136,'NO USAR2'!$B$2:$R$397,14,False)</f>
        <v>1</v>
      </c>
      <c r="Z136" s="70">
        <f>VLOOKUP($O136,'NO USAR2'!$B$2:$R$397,15,False)</f>
        <v>0.2</v>
      </c>
      <c r="AA136" s="65">
        <f>100*VLOOKUP($O136,'NO USAR2'!$B$2:$R$397,7,False)</f>
        <v>45.54455446</v>
      </c>
      <c r="AB136" s="65">
        <f>100*VLOOKUP($O136,'NO USAR2'!$B$2:$R$397,9,False)</f>
        <v>84.21052632</v>
      </c>
      <c r="AC136" s="65">
        <f>VLOOKUP($O136,'NO USAR2'!$B$2:$Q$397,16,False)</f>
        <v>0.8</v>
      </c>
      <c r="AD136" s="65">
        <f>VLOOKUP($O136,'NO USAR1'!$A$4:$L$399,2,False)*$U$19</f>
        <v>-0.9461154369</v>
      </c>
      <c r="AE136" s="65">
        <f>VLOOKUP($O136,'NO USAR1'!$A$4:$L$399,3,False)*$V$19</f>
        <v>0.9865333402</v>
      </c>
      <c r="AF136" s="65">
        <f>VLOOKUP($O136,'NO USAR1'!$A$4:$L$399,4,False)*$W$19</f>
        <v>-0.6427337822</v>
      </c>
      <c r="AG136" s="65">
        <f>VLOOKUP($O136,'NO USAR1'!$A$4:$L$399,5,False)*$X$19</f>
        <v>-1.199604789</v>
      </c>
      <c r="AH136" s="65">
        <f>VLOOKUP($O136,'NO USAR1'!$A$4:$L$399,6,False)*$Y$19</f>
        <v>-0.01646173929</v>
      </c>
      <c r="AI136" s="65">
        <f>VLOOKUP($O136,'NO USAR1'!$A$4:$L$399,7,False)*$Z$19</f>
        <v>0</v>
      </c>
      <c r="AJ136" s="65">
        <f>VLOOKUP($O136,'NO USAR1'!$A$4:$L$399,8,False)*$AA$19</f>
        <v>0</v>
      </c>
      <c r="AK136" s="70">
        <f>VLOOKUP($O136,'NO USAR1'!$A$4:$L$399,10,False)*$AB$19</f>
        <v>0.1609982054</v>
      </c>
      <c r="AL136" s="65">
        <f>VLOOKUP($O136,'NO USAR1'!$A$4:$L$399,12,False)*$AC$19</f>
        <v>0</v>
      </c>
      <c r="AM136" s="71">
        <f t="shared" si="2"/>
        <v>-1.199604789</v>
      </c>
      <c r="AN136" s="71">
        <f t="shared" si="3"/>
        <v>-2.145720226</v>
      </c>
    </row>
    <row r="137">
      <c r="A137" t="str">
        <f>IF('NO USAR2'!B135="",ROW('NO USAR2'!B135),'NO USAR2'!B135)</f>
        <v>Andrew Wiggins</v>
      </c>
      <c r="B137" s="58">
        <f>IF(TYPE($A137)=1,"",('NO USAR2'!$L135-B$1)/B$2)</f>
        <v>-0.08042159928</v>
      </c>
      <c r="C137" s="58">
        <f>IF(TYPE($A137)=1,"",('NO USAR2'!$K135-C$1)/C$2)</f>
        <v>0.5865511152</v>
      </c>
      <c r="D137" s="58">
        <f>IF(TYPE($A137)=1,"",('NO USAR2'!$M135-D$1)/D$2)</f>
        <v>-0.6019122419</v>
      </c>
      <c r="E137" s="58">
        <f>IF(TYPE($A137)=1,"",('NO USAR2'!$N135-E$1)/E$2)</f>
        <v>-0.6857510903</v>
      </c>
      <c r="F137" s="58">
        <f>IF(TYPE($A137)=1,"",('NO USAR2'!$O135-F$1)/F$2)</f>
        <v>-0.01316939143</v>
      </c>
      <c r="G137" s="58">
        <f>IF(TYPE($A137)=1,"",('NO USAR2'!$P135-G$1)/G$2)</f>
        <v>0.005529973215</v>
      </c>
      <c r="H137" s="58">
        <f>IF(TYPE($A137)=1,"",('NO USAR2'!$H135-H$1)/H$2*I137/$I$1)</f>
        <v>-0.5205423605</v>
      </c>
      <c r="I137" s="58">
        <f>IF(TYPE($A137)=1,"",IF('NO USAR2'!H135=0,0,'NO USAR2'!G135/'NO USAR2'!H135))</f>
        <v>13.4</v>
      </c>
      <c r="J137" s="59">
        <f>IF(TYPE($A137)=1,"",('NO USAR2'!$J135-J$1)/J$2*K137/$K$1)</f>
        <v>-1.221523063</v>
      </c>
      <c r="K137" s="60">
        <f>IF(TYPE($A137)=1,"",IF('NO USAR2'!J135=0,0,'NO USAR2'!I135/'NO USAR2'!J135))</f>
        <v>3</v>
      </c>
      <c r="L137" s="58">
        <f>IF(TYPE($A137)=1,"",-('NO USAR2'!$Q135-L$1)/L$2)</f>
        <v>0.5747888516</v>
      </c>
      <c r="N137" s="63">
        <v>117.0</v>
      </c>
      <c r="O137" s="68" t="str">
        <f>IF('NO USAR2'!B107="",ROW('NO USAR2'!B107),'NO USAR2'!B107)</f>
        <v>Clint Capela</v>
      </c>
      <c r="P137" s="68">
        <f>'NO USAR2'!E118</f>
        <v>70</v>
      </c>
      <c r="Q137" s="68" t="str">
        <f>IF('NO USAR2'!C107="",ROW('NO USAR2'!N122),'NO USAR2'!C107)</f>
        <v>C</v>
      </c>
      <c r="R137" s="65">
        <f>VLOOKUP($O137,'NO USAR1'!$A$4:$L$399,2,False)+VLOOKUP($O137,'NO USAR1'!$A$4:$L$399,3,False)+VLOOKUP($O137,'NO USAR1'!$A$4:$L$399,4,False)+VLOOKUP($O137,'NO USAR1'!$A$4:$L$399,5,False)+VLOOKUP($O137,'NO USAR1'!$A$4:$L$399,6,False)+VLOOKUP($O137,'NO USAR1'!$A$4:$L$399,7,False)+VLOOKUP($O137,'NO USAR1'!$A$4:$L$399,8,False)+VLOOKUP($O137,'NO USAR1'!$A$4:$L$399,10,False)+VLOOKUP($O137,'NO USAR1'!$A$4:$L$399,12,False)*0</f>
        <v>-2.380072873</v>
      </c>
      <c r="S137" s="65">
        <f>VLOOKUP($O137,'NO USAR1'!$A$4:$L$399,2,False)*$U$19+VLOOKUP($O137,'NO USAR1'!$A$4:$L$399,3,False)*$V$19+VLOOKUP($O137,'NO USAR1'!$A$4:$L$399,4,False)*$W$19+VLOOKUP($O137,'NO USAR1'!$A$4:$L$399,5,False)*$X$19+VLOOKUP($O137,'NO USAR1'!$A$4:$L$399,6,False)*$Y$19+VLOOKUP($O137,'NO USAR1'!$A$4:$L$399,7,False)*$Z$19+VLOOKUP($O137,'NO USAR1'!$A$4:$L$399,8,False)*$AA$19+VLOOKUP($O137,'NO USAR1'!$A$4:$L$399,10,False)*$AB$19+VLOOKUP($O137,'NO USAR1'!$A$4:$L$399,12,False)*$AC$19+IF(Projections!$K$3,-AN137, IF(Projections!$J$3,-AM137,0))</f>
        <v>-4.712463434</v>
      </c>
      <c r="T137" s="65">
        <f t="shared" si="1"/>
        <v>-2.332390561</v>
      </c>
      <c r="U137" s="65">
        <f>VLOOKUP($O137,'NO USAR2'!$B$2:$R$397,11,False)</f>
        <v>11</v>
      </c>
      <c r="V137" s="69">
        <f>VLOOKUP($O137,'NO USAR2'!$B$2:$R$397,10,False)</f>
        <v>0</v>
      </c>
      <c r="W137" s="65">
        <f>VLOOKUP($O137,'NO USAR2'!$B$2:$R$397,12,False)</f>
        <v>11.8</v>
      </c>
      <c r="X137" s="65">
        <f>VLOOKUP($O137,'NO USAR2'!$B$2:$R$397,13,False)</f>
        <v>1.2</v>
      </c>
      <c r="Y137" s="65">
        <f>VLOOKUP($O137,'NO USAR2'!$B$2:$R$397,14,False)</f>
        <v>0.7</v>
      </c>
      <c r="Z137" s="70">
        <f>VLOOKUP($O137,'NO USAR2'!$B$2:$R$397,15,False)</f>
        <v>1.3</v>
      </c>
      <c r="AA137" s="65">
        <f>100*VLOOKUP($O137,'NO USAR2'!$B$2:$R$397,7,False)</f>
        <v>61.72839506</v>
      </c>
      <c r="AB137" s="65">
        <f>100*VLOOKUP($O137,'NO USAR2'!$B$2:$R$397,9,False)</f>
        <v>47.82608696</v>
      </c>
      <c r="AC137" s="65">
        <f>VLOOKUP($O137,'NO USAR2'!$B$2:$Q$397,16,False)</f>
        <v>0.6</v>
      </c>
      <c r="AD137" s="65">
        <f>VLOOKUP($O137,'NO USAR1'!$A$4:$L$399,2,False)*$U$19</f>
        <v>-1.585199079</v>
      </c>
      <c r="AE137" s="65">
        <f>VLOOKUP($O137,'NO USAR1'!$A$4:$L$399,3,False)*$V$19</f>
        <v>-1.613351122</v>
      </c>
      <c r="AF137" s="65">
        <f>VLOOKUP($O137,'NO USAR1'!$A$4:$L$399,4,False)*$W$19</f>
        <v>2.33723866</v>
      </c>
      <c r="AG137" s="65">
        <f>VLOOKUP($O137,'NO USAR1'!$A$4:$L$399,5,False)*$X$19</f>
        <v>-1.427882074</v>
      </c>
      <c r="AH137" s="65">
        <f>VLOOKUP($O137,'NO USAR1'!$A$4:$L$399,6,False)*$Y$19</f>
        <v>-1.242861316</v>
      </c>
      <c r="AI137" s="65">
        <f>VLOOKUP($O137,'NO USAR1'!$A$4:$L$399,7,False)*$Z$19</f>
        <v>0</v>
      </c>
      <c r="AJ137" s="65">
        <f>VLOOKUP($O137,'NO USAR1'!$A$4:$L$399,8,False)*$AA$19</f>
        <v>0</v>
      </c>
      <c r="AK137" s="70">
        <f>VLOOKUP($O137,'NO USAR1'!$A$4:$L$399,10,False)*$AB$19</f>
        <v>-1.180408502</v>
      </c>
      <c r="AL137" s="65">
        <f>VLOOKUP($O137,'NO USAR1'!$A$4:$L$399,12,False)*$AC$19</f>
        <v>0</v>
      </c>
      <c r="AM137" s="71">
        <f t="shared" si="2"/>
        <v>-1.613351122</v>
      </c>
      <c r="AN137" s="71">
        <f t="shared" si="3"/>
        <v>-3.198550202</v>
      </c>
    </row>
    <row r="138">
      <c r="A138" t="str">
        <f>IF('NO USAR2'!B136="",ROW('NO USAR2'!B136),'NO USAR2'!B136)</f>
        <v>Matisse Thybulle</v>
      </c>
      <c r="B138" s="58">
        <f>IF(TYPE($A138)=1,"",('NO USAR2'!$L136-B$1)/B$2)</f>
        <v>-1.997672526</v>
      </c>
      <c r="C138" s="58">
        <f>IF(TYPE($A138)=1,"",('NO USAR2'!$K136-C$1)/C$2)</f>
        <v>-0.9133822286</v>
      </c>
      <c r="D138" s="58">
        <f>IF(TYPE($A138)=1,"",('NO USAR2'!$M136-D$1)/D$2)</f>
        <v>-1.540807669</v>
      </c>
      <c r="E138" s="58">
        <f>IF(TYPE($A138)=1,"",('NO USAR2'!$N136-E$1)/E$2)</f>
        <v>-1.187961116</v>
      </c>
      <c r="F138" s="58">
        <f>IF(TYPE($A138)=1,"",('NO USAR2'!$O136-F$1)/F$2)</f>
        <v>1.949069931</v>
      </c>
      <c r="G138" s="58">
        <f>IF(TYPE($A138)=1,"",('NO USAR2'!$P136-G$1)/G$2)</f>
        <v>0.8294959822</v>
      </c>
      <c r="H138" s="58">
        <f>IF(TYPE($A138)=1,"",('NO USAR2'!$H136-H$1)/H$2*I138/$I$1)</f>
        <v>0.1170586534</v>
      </c>
      <c r="I138" s="58">
        <f>IF(TYPE($A138)=1,"",IF('NO USAR2'!H136=0,0,'NO USAR2'!G136/'NO USAR2'!H136))</f>
        <v>4.5</v>
      </c>
      <c r="J138" s="59">
        <f>IF(TYPE($A138)=1,"",('NO USAR2'!$J136-J$1)/J$2*K138/$K$1)</f>
        <v>0.08438369258</v>
      </c>
      <c r="K138" s="60">
        <f>IF(TYPE($A138)=1,"",IF('NO USAR2'!J136=0,0,'NO USAR2'!I136/'NO USAR2'!J136))</f>
        <v>0.6</v>
      </c>
      <c r="L138" s="58">
        <f>IF(TYPE($A138)=1,"",-('NO USAR2'!$Q136-L$1)/L$2)</f>
        <v>1.568077318</v>
      </c>
      <c r="N138" s="63">
        <v>118.0</v>
      </c>
      <c r="O138" s="68" t="str">
        <f>IF('NO USAR2'!B118="",ROW('NO USAR2'!B118),'NO USAR2'!B118)</f>
        <v>Spencer Dinwiddie</v>
      </c>
      <c r="P138" s="68">
        <f>'NO USAR2'!E119</f>
        <v>72</v>
      </c>
      <c r="Q138" s="68" t="str">
        <f>IF('NO USAR2'!C118="",ROW('NO USAR2'!N133),'NO USAR2'!C118)</f>
        <v>PG/SF</v>
      </c>
      <c r="R138" s="65">
        <f>VLOOKUP($O138,'NO USAR1'!$A$4:$L$399,2,False)+VLOOKUP($O138,'NO USAR1'!$A$4:$L$399,3,False)+VLOOKUP($O138,'NO USAR1'!$A$4:$L$399,4,False)+VLOOKUP($O138,'NO USAR1'!$A$4:$L$399,5,False)+VLOOKUP($O138,'NO USAR1'!$A$4:$L$399,6,False)+VLOOKUP($O138,'NO USAR1'!$A$4:$L$399,7,False)+VLOOKUP($O138,'NO USAR1'!$A$4:$L$399,8,False)+VLOOKUP($O138,'NO USAR1'!$A$4:$L$399,10,False)+VLOOKUP($O138,'NO USAR1'!$A$4:$L$399,12,False)*0</f>
        <v>-2.386202804</v>
      </c>
      <c r="S138" s="65">
        <f>VLOOKUP($O138,'NO USAR1'!$A$4:$L$399,2,False)*$U$19+VLOOKUP($O138,'NO USAR1'!$A$4:$L$399,3,False)*$V$19+VLOOKUP($O138,'NO USAR1'!$A$4:$L$399,4,False)*$W$19+VLOOKUP($O138,'NO USAR1'!$A$4:$L$399,5,False)*$X$19+VLOOKUP($O138,'NO USAR1'!$A$4:$L$399,6,False)*$Y$19+VLOOKUP($O138,'NO USAR1'!$A$4:$L$399,7,False)*$Z$19+VLOOKUP($O138,'NO USAR1'!$A$4:$L$399,8,False)*$AA$19+VLOOKUP($O138,'NO USAR1'!$A$4:$L$399,10,False)*$AB$19+VLOOKUP($O138,'NO USAR1'!$A$4:$L$399,12,False)*$AC$19+IF(Projections!$K$3,-AN138, IF(Projections!$J$3,-AM138,0))</f>
        <v>-0.4872647211</v>
      </c>
      <c r="T138" s="65">
        <f t="shared" si="1"/>
        <v>1.898938083</v>
      </c>
      <c r="U138" s="65">
        <f>VLOOKUP($O138,'NO USAR2'!$B$2:$R$397,11,False)</f>
        <v>15.9</v>
      </c>
      <c r="V138" s="69">
        <f>VLOOKUP($O138,'NO USAR2'!$B$2:$R$397,10,False)</f>
        <v>1.9</v>
      </c>
      <c r="W138" s="65">
        <f>VLOOKUP($O138,'NO USAR2'!$B$2:$R$397,12,False)</f>
        <v>4.6</v>
      </c>
      <c r="X138" s="65">
        <f>VLOOKUP($O138,'NO USAR2'!$B$2:$R$397,13,False)</f>
        <v>5.7</v>
      </c>
      <c r="Y138" s="65">
        <f>VLOOKUP($O138,'NO USAR2'!$B$2:$R$397,14,False)</f>
        <v>0.8</v>
      </c>
      <c r="Z138" s="70">
        <f>VLOOKUP($O138,'NO USAR2'!$B$2:$R$397,15,False)</f>
        <v>0.2</v>
      </c>
      <c r="AA138" s="65">
        <f>100*VLOOKUP($O138,'NO USAR2'!$B$2:$R$397,7,False)</f>
        <v>43.90243902</v>
      </c>
      <c r="AB138" s="65">
        <f>100*VLOOKUP($O138,'NO USAR2'!$B$2:$R$397,9,False)</f>
        <v>76.19047619</v>
      </c>
      <c r="AC138" s="65">
        <f>VLOOKUP($O138,'NO USAR2'!$B$2:$Q$397,16,False)</f>
        <v>1.8</v>
      </c>
      <c r="AD138" s="65">
        <f>VLOOKUP($O138,'NO USAR1'!$A$4:$L$399,2,False)*$U$19</f>
        <v>-0.2804033095</v>
      </c>
      <c r="AE138" s="65">
        <f>VLOOKUP($O138,'NO USAR1'!$A$4:$L$399,3,False)*$V$19</f>
        <v>0.2865644464</v>
      </c>
      <c r="AF138" s="65">
        <f>VLOOKUP($O138,'NO USAR1'!$A$4:$L$399,4,False)*$W$19</f>
        <v>-0.6019122419</v>
      </c>
      <c r="AG138" s="65">
        <f>VLOOKUP($O138,'NO USAR1'!$A$4:$L$399,5,False)*$X$19</f>
        <v>1.140237375</v>
      </c>
      <c r="AH138" s="65">
        <f>VLOOKUP($O138,'NO USAR1'!$A$4:$L$399,6,False)*$Y$19</f>
        <v>-0.8340614572</v>
      </c>
      <c r="AI138" s="65">
        <f>VLOOKUP($O138,'NO USAR1'!$A$4:$L$399,7,False)*$Z$19</f>
        <v>0</v>
      </c>
      <c r="AJ138" s="65">
        <f>VLOOKUP($O138,'NO USAR1'!$A$4:$L$399,8,False)*$AA$19</f>
        <v>0</v>
      </c>
      <c r="AK138" s="70">
        <f>VLOOKUP($O138,'NO USAR1'!$A$4:$L$399,10,False)*$AB$19</f>
        <v>-0.1976895339</v>
      </c>
      <c r="AL138" s="65">
        <f>VLOOKUP($O138,'NO USAR1'!$A$4:$L$399,12,False)*$AC$19</f>
        <v>0</v>
      </c>
      <c r="AM138" s="71">
        <f t="shared" si="2"/>
        <v>-0.8340614572</v>
      </c>
      <c r="AN138" s="71">
        <f t="shared" si="3"/>
        <v>-1.435973699</v>
      </c>
    </row>
    <row r="139">
      <c r="A139" t="str">
        <f>IF('NO USAR2'!B137="",ROW('NO USAR2'!B137),'NO USAR2'!B137)</f>
        <v>Gary Payton II</v>
      </c>
      <c r="B139" s="58">
        <f>IF(TYPE($A139)=1,"",('NO USAR2'!$L137-B$1)/B$2)</f>
        <v>-1.500607471</v>
      </c>
      <c r="C139" s="58">
        <f>IF(TYPE($A139)=1,"",('NO USAR2'!$K137-C$1)/C$2)</f>
        <v>-0.9133822286</v>
      </c>
      <c r="D139" s="58">
        <f>IF(TYPE($A139)=1,"",('NO USAR2'!$M137-D$1)/D$2)</f>
        <v>-0.7651984031</v>
      </c>
      <c r="E139" s="58">
        <f>IF(TYPE($A139)=1,"",('NO USAR2'!$N137-E$1)/E$2)</f>
        <v>-1.187961116</v>
      </c>
      <c r="F139" s="58">
        <f>IF(TYPE($A139)=1,"",('NO USAR2'!$O137-F$1)/F$2)</f>
        <v>1.294990157</v>
      </c>
      <c r="G139" s="58">
        <f>IF(TYPE($A139)=1,"",('NO USAR2'!$P137-G$1)/G$2)</f>
        <v>-0.6124445335</v>
      </c>
      <c r="H139" s="58">
        <f>IF(TYPE($A139)=1,"",('NO USAR2'!$H137-H$1)/H$2*I139/$I$1)</f>
        <v>0.831749232</v>
      </c>
      <c r="I139" s="58">
        <f>IF(TYPE($A139)=1,"",IF('NO USAR2'!H137=0,0,'NO USAR2'!G137/'NO USAR2'!H137))</f>
        <v>5.9</v>
      </c>
      <c r="J139" s="59">
        <f>IF(TYPE($A139)=1,"",('NO USAR2'!$J137-J$1)/J$2*K139/$K$1)</f>
        <v>-0.366456919</v>
      </c>
      <c r="K139" s="60">
        <f>IF(TYPE($A139)=1,"",IF('NO USAR2'!J137=0,0,'NO USAR2'!I137/'NO USAR2'!J137))</f>
        <v>0.9</v>
      </c>
      <c r="L139" s="58">
        <f>IF(TYPE($A139)=1,"",-('NO USAR2'!$Q137-L$1)/L$2)</f>
        <v>1.457711933</v>
      </c>
      <c r="N139" s="2">
        <v>119.0</v>
      </c>
      <c r="O139" s="68" t="str">
        <f>IF('NO USAR2'!B121="",ROW('NO USAR2'!B121),'NO USAR2'!B121)</f>
        <v>Bones Hyland</v>
      </c>
      <c r="P139" s="68">
        <f>'NO USAR2'!E120</f>
        <v>73</v>
      </c>
      <c r="Q139" s="68" t="str">
        <f>IF('NO USAR2'!C121="",ROW('NO USAR2'!N136),'NO USAR2'!C121)</f>
        <v>PG</v>
      </c>
      <c r="R139" s="65">
        <f>VLOOKUP($O139,'NO USAR1'!$A$4:$L$399,2,False)+VLOOKUP($O139,'NO USAR1'!$A$4:$L$399,3,False)+VLOOKUP($O139,'NO USAR1'!$A$4:$L$399,4,False)+VLOOKUP($O139,'NO USAR1'!$A$4:$L$399,5,False)+VLOOKUP($O139,'NO USAR1'!$A$4:$L$399,6,False)+VLOOKUP($O139,'NO USAR1'!$A$4:$L$399,7,False)+VLOOKUP($O139,'NO USAR1'!$A$4:$L$399,8,False)+VLOOKUP($O139,'NO USAR1'!$A$4:$L$399,10,False)+VLOOKUP($O139,'NO USAR1'!$A$4:$L$399,12,False)*0</f>
        <v>-2.433918232</v>
      </c>
      <c r="S139" s="65">
        <f>VLOOKUP($O139,'NO USAR1'!$A$4:$L$399,2,False)*$U$19+VLOOKUP($O139,'NO USAR1'!$A$4:$L$399,3,False)*$V$19+VLOOKUP($O139,'NO USAR1'!$A$4:$L$399,4,False)*$W$19+VLOOKUP($O139,'NO USAR1'!$A$4:$L$399,5,False)*$X$19+VLOOKUP($O139,'NO USAR1'!$A$4:$L$399,6,False)*$Y$19+VLOOKUP($O139,'NO USAR1'!$A$4:$L$399,7,False)*$Z$19+VLOOKUP($O139,'NO USAR1'!$A$4:$L$399,8,False)*$AA$19+VLOOKUP($O139,'NO USAR1'!$A$4:$L$399,10,False)*$AB$19+VLOOKUP($O139,'NO USAR1'!$A$4:$L$399,12,False)*$AC$19+IF(Projections!$K$3,-AN139, IF(Projections!$J$3,-AM139,0))</f>
        <v>-2.070398199</v>
      </c>
      <c r="T139" s="65">
        <f t="shared" si="1"/>
        <v>0.3635200327</v>
      </c>
      <c r="U139" s="65">
        <f>VLOOKUP($O139,'NO USAR2'!$B$2:$R$397,11,False)</f>
        <v>12.4</v>
      </c>
      <c r="V139" s="69">
        <f>VLOOKUP($O139,'NO USAR2'!$B$2:$R$397,10,False)</f>
        <v>2.4</v>
      </c>
      <c r="W139" s="65">
        <f>VLOOKUP($O139,'NO USAR2'!$B$2:$R$397,12,False)</f>
        <v>3.5</v>
      </c>
      <c r="X139" s="65">
        <f>VLOOKUP($O139,'NO USAR2'!$B$2:$R$397,13,False)</f>
        <v>3.6</v>
      </c>
      <c r="Y139" s="65">
        <f>VLOOKUP($O139,'NO USAR2'!$B$2:$R$397,14,False)</f>
        <v>0.8</v>
      </c>
      <c r="Z139" s="70">
        <f>VLOOKUP($O139,'NO USAR2'!$B$2:$R$397,15,False)</f>
        <v>0.4</v>
      </c>
      <c r="AA139" s="65">
        <f>100*VLOOKUP($O139,'NO USAR2'!$B$2:$R$397,7,False)</f>
        <v>43.01075269</v>
      </c>
      <c r="AB139" s="65">
        <f>100*VLOOKUP($O139,'NO USAR2'!$B$2:$R$397,9,False)</f>
        <v>86.95652174</v>
      </c>
      <c r="AC139" s="65">
        <f>VLOOKUP($O139,'NO USAR2'!$B$2:$Q$397,16,False)</f>
        <v>1.7</v>
      </c>
      <c r="AD139" s="65">
        <f>VLOOKUP($O139,'NO USAR1'!$A$4:$L$399,2,False)*$U$19</f>
        <v>-1.212400288</v>
      </c>
      <c r="AE139" s="65">
        <f>VLOOKUP($O139,'NO USAR1'!$A$4:$L$399,3,False)*$V$19</f>
        <v>0.7865422277</v>
      </c>
      <c r="AF139" s="65">
        <f>VLOOKUP($O139,'NO USAR1'!$A$4:$L$399,4,False)*$W$19</f>
        <v>-1.050949185</v>
      </c>
      <c r="AG139" s="65">
        <f>VLOOKUP($O139,'NO USAR1'!$A$4:$L$399,5,False)*$X$19</f>
        <v>-0.05821836781</v>
      </c>
      <c r="AH139" s="65">
        <f>VLOOKUP($O139,'NO USAR1'!$A$4:$L$399,6,False)*$Y$19</f>
        <v>-0.8340614572</v>
      </c>
      <c r="AI139" s="65">
        <f>VLOOKUP($O139,'NO USAR1'!$A$4:$L$399,7,False)*$Z$19</f>
        <v>0</v>
      </c>
      <c r="AJ139" s="65">
        <f>VLOOKUP($O139,'NO USAR1'!$A$4:$L$399,8,False)*$AA$19</f>
        <v>0</v>
      </c>
      <c r="AK139" s="70">
        <f>VLOOKUP($O139,'NO USAR1'!$A$4:$L$399,10,False)*$AB$19</f>
        <v>0.2986888713</v>
      </c>
      <c r="AL139" s="65">
        <f>VLOOKUP($O139,'NO USAR1'!$A$4:$L$399,12,False)*$AC$19</f>
        <v>0</v>
      </c>
      <c r="AM139" s="71">
        <f t="shared" si="2"/>
        <v>-1.212400288</v>
      </c>
      <c r="AN139" s="71">
        <f t="shared" si="3"/>
        <v>-2.263349473</v>
      </c>
    </row>
    <row r="140">
      <c r="A140" t="str">
        <f>IF('NO USAR2'!B138="",ROW('NO USAR2'!B138),'NO USAR2'!B138)</f>
        <v>Jalen Suggs</v>
      </c>
      <c r="B140" s="58">
        <f>IF(TYPE($A140)=1,"",('NO USAR2'!$L138-B$1)/B$2)</f>
        <v>-0.6840005948</v>
      </c>
      <c r="C140" s="58">
        <f>IF(TYPE($A140)=1,"",('NO USAR2'!$K138-C$1)/C$2)</f>
        <v>-0.6133955598</v>
      </c>
      <c r="D140" s="58">
        <f>IF(TYPE($A140)=1,"",('NO USAR2'!$M138-D$1)/D$2)</f>
        <v>-0.8876630241</v>
      </c>
      <c r="E140" s="58">
        <f>IF(TYPE($A140)=1,"",('NO USAR2'!$N138-E$1)/E$2)</f>
        <v>0.6382571587</v>
      </c>
      <c r="F140" s="58">
        <f>IF(TYPE($A140)=1,"",('NO USAR2'!$O138-F$1)/F$2)</f>
        <v>0.96795027</v>
      </c>
      <c r="G140" s="58">
        <f>IF(TYPE($A140)=1,"",('NO USAR2'!$P138-G$1)/G$2)</f>
        <v>-0.4064530313</v>
      </c>
      <c r="H140" s="58">
        <f>IF(TYPE($A140)=1,"",('NO USAR2'!$H138-H$1)/H$2*I140/$I$1)</f>
        <v>-0.7300425939</v>
      </c>
      <c r="I140" s="58">
        <f>IF(TYPE($A140)=1,"",IF('NO USAR2'!H138=0,0,'NO USAR2'!G138/'NO USAR2'!H138))</f>
        <v>10.7</v>
      </c>
      <c r="J140" s="59">
        <f>IF(TYPE($A140)=1,"",('NO USAR2'!$J138-J$1)/J$2*K140/$K$1)</f>
        <v>-0.3420720943</v>
      </c>
      <c r="K140" s="60">
        <f>IF(TYPE($A140)=1,"",IF('NO USAR2'!J138=0,0,'NO USAR2'!I138/'NO USAR2'!J138))</f>
        <v>3.8</v>
      </c>
      <c r="L140" s="58">
        <f>IF(TYPE($A140)=1,"",-('NO USAR2'!$Q138-L$1)/L$2)</f>
        <v>-1.522153466</v>
      </c>
      <c r="N140" s="63">
        <v>120.0</v>
      </c>
      <c r="O140" s="68" t="str">
        <f>IF('NO USAR2'!B133="",ROW('NO USAR2'!B133),'NO USAR2'!B133)</f>
        <v>Kentavious Caldwell-Pope</v>
      </c>
      <c r="P140" s="68">
        <f>'NO USAR2'!E121</f>
        <v>72</v>
      </c>
      <c r="Q140" s="68" t="str">
        <f>IF('NO USAR2'!C133="",ROW('NO USAR2'!N148),'NO USAR2'!C133)</f>
        <v>SG/SF</v>
      </c>
      <c r="R140" s="65">
        <f>VLOOKUP($O140,'NO USAR1'!$A$4:$L$399,2,False)+VLOOKUP($O140,'NO USAR1'!$A$4:$L$399,3,False)+VLOOKUP($O140,'NO USAR1'!$A$4:$L$399,4,False)+VLOOKUP($O140,'NO USAR1'!$A$4:$L$399,5,False)+VLOOKUP($O140,'NO USAR1'!$A$4:$L$399,6,False)+VLOOKUP($O140,'NO USAR1'!$A$4:$L$399,7,False)+VLOOKUP($O140,'NO USAR1'!$A$4:$L$399,8,False)+VLOOKUP($O140,'NO USAR1'!$A$4:$L$399,10,False)+VLOOKUP($O140,'NO USAR1'!$A$4:$L$399,12,False)*0</f>
        <v>-2.475714959</v>
      </c>
      <c r="S140" s="65">
        <f>VLOOKUP($O140,'NO USAR1'!$A$4:$L$399,2,False)*$U$19+VLOOKUP($O140,'NO USAR1'!$A$4:$L$399,3,False)*$V$19+VLOOKUP($O140,'NO USAR1'!$A$4:$L$399,4,False)*$W$19+VLOOKUP($O140,'NO USAR1'!$A$4:$L$399,5,False)*$X$19+VLOOKUP($O140,'NO USAR1'!$A$4:$L$399,6,False)*$Y$19+VLOOKUP($O140,'NO USAR1'!$A$4:$L$399,7,False)*$Z$19+VLOOKUP($O140,'NO USAR1'!$A$4:$L$399,8,False)*$AA$19+VLOOKUP($O140,'NO USAR1'!$A$4:$L$399,10,False)*$AB$19+VLOOKUP($O140,'NO USAR1'!$A$4:$L$399,12,False)*$AC$19+IF(Projections!$K$3,-AN140, IF(Projections!$J$3,-AM140,0))</f>
        <v>-2.028731643</v>
      </c>
      <c r="T140" s="65">
        <f t="shared" si="1"/>
        <v>0.4469833162</v>
      </c>
      <c r="U140" s="65">
        <f>VLOOKUP($O140,'NO USAR2'!$B$2:$R$397,11,False)</f>
        <v>12.9</v>
      </c>
      <c r="V140" s="69">
        <f>VLOOKUP($O140,'NO USAR2'!$B$2:$R$397,10,False)</f>
        <v>2</v>
      </c>
      <c r="W140" s="65">
        <f>VLOOKUP($O140,'NO USAR2'!$B$2:$R$397,12,False)</f>
        <v>3.3</v>
      </c>
      <c r="X140" s="65">
        <f>VLOOKUP($O140,'NO USAR2'!$B$2:$R$397,13,False)</f>
        <v>1.8</v>
      </c>
      <c r="Y140" s="65">
        <f>VLOOKUP($O140,'NO USAR2'!$B$2:$R$397,14,False)</f>
        <v>1.1</v>
      </c>
      <c r="Z140" s="70">
        <f>VLOOKUP($O140,'NO USAR2'!$B$2:$R$397,15,False)</f>
        <v>0.3</v>
      </c>
      <c r="AA140" s="65">
        <f>100*VLOOKUP($O140,'NO USAR2'!$B$2:$R$397,7,False)</f>
        <v>43.80952381</v>
      </c>
      <c r="AB140" s="65">
        <f>100*VLOOKUP($O140,'NO USAR2'!$B$2:$R$397,9,False)</f>
        <v>94.73684211</v>
      </c>
      <c r="AC140" s="65">
        <f>VLOOKUP($O140,'NO USAR2'!$B$2:$Q$397,16,False)</f>
        <v>1.3</v>
      </c>
      <c r="AD140" s="65">
        <f>VLOOKUP($O140,'NO USAR1'!$A$4:$L$399,2,False)*$U$19</f>
        <v>-1.079257862</v>
      </c>
      <c r="AE140" s="65">
        <f>VLOOKUP($O140,'NO USAR1'!$A$4:$L$399,3,False)*$V$19</f>
        <v>0.3865600027</v>
      </c>
      <c r="AF140" s="65">
        <f>VLOOKUP($O140,'NO USAR1'!$A$4:$L$399,4,False)*$W$19</f>
        <v>-1.132592266</v>
      </c>
      <c r="AG140" s="65">
        <f>VLOOKUP($O140,'NO USAR1'!$A$4:$L$399,5,False)*$X$19</f>
        <v>-1.085466147</v>
      </c>
      <c r="AH140" s="65">
        <f>VLOOKUP($O140,'NO USAR1'!$A$4:$L$399,6,False)*$Y$19</f>
        <v>0.3923381197</v>
      </c>
      <c r="AI140" s="65">
        <f>VLOOKUP($O140,'NO USAR1'!$A$4:$L$399,7,False)*$Z$19</f>
        <v>0</v>
      </c>
      <c r="AJ140" s="65">
        <f>VLOOKUP($O140,'NO USAR1'!$A$4:$L$399,8,False)*$AA$19</f>
        <v>0</v>
      </c>
      <c r="AK140" s="70">
        <f>VLOOKUP($O140,'NO USAR1'!$A$4:$L$399,10,False)*$AB$19</f>
        <v>0.4896865106</v>
      </c>
      <c r="AL140" s="65">
        <f>VLOOKUP($O140,'NO USAR1'!$A$4:$L$399,12,False)*$AC$19</f>
        <v>0</v>
      </c>
      <c r="AM140" s="71">
        <f t="shared" si="2"/>
        <v>-1.132592266</v>
      </c>
      <c r="AN140" s="71">
        <f t="shared" si="3"/>
        <v>-2.218058413</v>
      </c>
    </row>
    <row r="141">
      <c r="A141" t="str">
        <f>IF('NO USAR2'!B139="",ROW('NO USAR2'!B139),'NO USAR2'!B139)</f>
        <v>Mo Bamba</v>
      </c>
      <c r="B141" s="58">
        <f>IF(TYPE($A141)=1,"",('NO USAR2'!$L139-B$1)/B$2)</f>
        <v>-1.482855148</v>
      </c>
      <c r="C141" s="58">
        <f>IF(TYPE($A141)=1,"",('NO USAR2'!$K139-C$1)/C$2)</f>
        <v>-0.4134044473</v>
      </c>
      <c r="D141" s="58">
        <f>IF(TYPE($A141)=1,"",('NO USAR2'!$M139-D$1)/D$2)</f>
        <v>0.1736970238</v>
      </c>
      <c r="E141" s="58">
        <f>IF(TYPE($A141)=1,"",('NO USAR2'!$N139-E$1)/E$2)</f>
        <v>-1.233616573</v>
      </c>
      <c r="F141" s="58">
        <f>IF(TYPE($A141)=1,"",('NO USAR2'!$O139-F$1)/F$2)</f>
        <v>-1.975408714</v>
      </c>
      <c r="G141" s="58">
        <f>IF(TYPE($A141)=1,"",('NO USAR2'!$P139-G$1)/G$2)</f>
        <v>1.035487484</v>
      </c>
      <c r="H141" s="58">
        <f>IF(TYPE($A141)=1,"",('NO USAR2'!$H139-H$1)/H$2*I141/$I$1)</f>
        <v>-0.02422734119</v>
      </c>
      <c r="I141" s="58">
        <f>IF(TYPE($A141)=1,"",IF('NO USAR2'!H139=0,0,'NO USAR2'!G139/'NO USAR2'!H139))</f>
        <v>7</v>
      </c>
      <c r="J141" s="59">
        <f>IF(TYPE($A141)=1,"",('NO USAR2'!$J139-J$1)/J$2*K141/$K$1)</f>
        <v>0.2220743585</v>
      </c>
      <c r="K141" s="60">
        <f>IF(TYPE($A141)=1,"",IF('NO USAR2'!J139=0,0,'NO USAR2'!I139/'NO USAR2'!J139))</f>
        <v>0.8</v>
      </c>
      <c r="L141" s="58">
        <f>IF(TYPE($A141)=1,"",-('NO USAR2'!$Q139-L$1)/L$2)</f>
        <v>1.236981163</v>
      </c>
      <c r="N141" s="63">
        <v>121.0</v>
      </c>
      <c r="O141" s="68" t="str">
        <f>IF('NO USAR2'!B135="",ROW('NO USAR2'!B135),'NO USAR2'!B135)</f>
        <v>Andrew Wiggins</v>
      </c>
      <c r="P141" s="68">
        <f>'NO USAR2'!E122</f>
        <v>72</v>
      </c>
      <c r="Q141" s="68" t="str">
        <f>IF('NO USAR2'!C135="",ROW('NO USAR2'!N150),'NO USAR2'!C135)</f>
        <v>SF/PF</v>
      </c>
      <c r="R141" s="65">
        <f>VLOOKUP($O141,'NO USAR1'!$A$4:$L$399,2,False)+VLOOKUP($O141,'NO USAR1'!$A$4:$L$399,3,False)+VLOOKUP($O141,'NO USAR1'!$A$4:$L$399,4,False)+VLOOKUP($O141,'NO USAR1'!$A$4:$L$399,5,False)+VLOOKUP($O141,'NO USAR1'!$A$4:$L$399,6,False)+VLOOKUP($O141,'NO USAR1'!$A$4:$L$399,7,False)+VLOOKUP($O141,'NO USAR1'!$A$4:$L$399,8,False)+VLOOKUP($O141,'NO USAR1'!$A$4:$L$399,10,False)+VLOOKUP($O141,'NO USAR1'!$A$4:$L$399,12,False)*0</f>
        <v>-2.531238658</v>
      </c>
      <c r="S141" s="65">
        <f>VLOOKUP($O141,'NO USAR1'!$A$4:$L$399,2,False)*$U$19+VLOOKUP($O141,'NO USAR1'!$A$4:$L$399,3,False)*$V$19+VLOOKUP($O141,'NO USAR1'!$A$4:$L$399,4,False)*$W$19+VLOOKUP($O141,'NO USAR1'!$A$4:$L$399,5,False)*$X$19+VLOOKUP($O141,'NO USAR1'!$A$4:$L$399,6,False)*$Y$19+VLOOKUP($O141,'NO USAR1'!$A$4:$L$399,7,False)*$Z$19+VLOOKUP($O141,'NO USAR1'!$A$4:$L$399,8,False)*$AA$19+VLOOKUP($O141,'NO USAR1'!$A$4:$L$399,10,False)*$AB$19+VLOOKUP($O141,'NO USAR1'!$A$4:$L$399,12,False)*$AC$19+IF(Projections!$K$3,-AN141, IF(Projections!$J$3,-AM141,0))</f>
        <v>-1.62040566</v>
      </c>
      <c r="T141" s="65">
        <f t="shared" si="1"/>
        <v>0.9108329989</v>
      </c>
      <c r="U141" s="65">
        <f>VLOOKUP($O141,'NO USAR2'!$B$2:$R$397,11,False)</f>
        <v>16.5</v>
      </c>
      <c r="V141" s="69">
        <f>VLOOKUP($O141,'NO USAR2'!$B$2:$R$397,10,False)</f>
        <v>2.2</v>
      </c>
      <c r="W141" s="65">
        <f>VLOOKUP($O141,'NO USAR2'!$B$2:$R$397,12,False)</f>
        <v>4.6</v>
      </c>
      <c r="X141" s="65">
        <f>VLOOKUP($O141,'NO USAR2'!$B$2:$R$397,13,False)</f>
        <v>2.2</v>
      </c>
      <c r="Y141" s="65">
        <f>VLOOKUP($O141,'NO USAR2'!$B$2:$R$397,14,False)</f>
        <v>1</v>
      </c>
      <c r="Z141" s="70">
        <f>VLOOKUP($O141,'NO USAR2'!$B$2:$R$397,15,False)</f>
        <v>0.7</v>
      </c>
      <c r="AA141" s="65">
        <f>100*VLOOKUP($O141,'NO USAR2'!$B$2:$R$397,7,False)</f>
        <v>45.52238806</v>
      </c>
      <c r="AB141" s="65">
        <f>100*VLOOKUP($O141,'NO USAR2'!$B$2:$R$397,9,False)</f>
        <v>66.66666667</v>
      </c>
      <c r="AC141" s="65">
        <f>VLOOKUP($O141,'NO USAR2'!$B$2:$Q$397,16,False)</f>
        <v>1.5</v>
      </c>
      <c r="AD141" s="65">
        <f>VLOOKUP($O141,'NO USAR1'!$A$4:$L$399,2,False)*$U$19</f>
        <v>-0.1206323989</v>
      </c>
      <c r="AE141" s="65">
        <f>VLOOKUP($O141,'NO USAR1'!$A$4:$L$399,3,False)*$V$19</f>
        <v>0.5865511152</v>
      </c>
      <c r="AF141" s="65">
        <f>VLOOKUP($O141,'NO USAR1'!$A$4:$L$399,4,False)*$W$19</f>
        <v>-0.6019122419</v>
      </c>
      <c r="AG141" s="65">
        <f>VLOOKUP($O141,'NO USAR1'!$A$4:$L$399,5,False)*$X$19</f>
        <v>-0.8571888629</v>
      </c>
      <c r="AH141" s="65">
        <f>VLOOKUP($O141,'NO USAR1'!$A$4:$L$399,6,False)*$Y$19</f>
        <v>-0.01646173929</v>
      </c>
      <c r="AI141" s="65">
        <f>VLOOKUP($O141,'NO USAR1'!$A$4:$L$399,7,False)*$Z$19</f>
        <v>0</v>
      </c>
      <c r="AJ141" s="65">
        <f>VLOOKUP($O141,'NO USAR1'!$A$4:$L$399,8,False)*$AA$19</f>
        <v>0</v>
      </c>
      <c r="AK141" s="70">
        <f>VLOOKUP($O141,'NO USAR1'!$A$4:$L$399,10,False)*$AB$19</f>
        <v>-0.6107615317</v>
      </c>
      <c r="AL141" s="65">
        <f>VLOOKUP($O141,'NO USAR1'!$A$4:$L$399,12,False)*$AC$19</f>
        <v>0</v>
      </c>
      <c r="AM141" s="71">
        <f t="shared" si="2"/>
        <v>-0.8571888629</v>
      </c>
      <c r="AN141" s="71">
        <f t="shared" si="3"/>
        <v>-1.467950395</v>
      </c>
    </row>
    <row r="142">
      <c r="A142" t="str">
        <f>IF('NO USAR2'!B140="",ROW('NO USAR2'!B140),'NO USAR2'!B140)</f>
        <v>Dillon Brooks</v>
      </c>
      <c r="B142" s="58">
        <f>IF(TYPE($A142)=1,"",('NO USAR2'!$L140-B$1)/B$2)</f>
        <v>0.469900426</v>
      </c>
      <c r="C142" s="58">
        <f>IF(TYPE($A142)=1,"",('NO USAR2'!$K140-C$1)/C$2)</f>
        <v>-0.1134177786</v>
      </c>
      <c r="D142" s="58">
        <f>IF(TYPE($A142)=1,"",('NO USAR2'!$M140-D$1)/D$2)</f>
        <v>-1.050949185</v>
      </c>
      <c r="E142" s="58">
        <f>IF(TYPE($A142)=1,"",('NO USAR2'!$N140-E$1)/E$2)</f>
        <v>-0.5944401766</v>
      </c>
      <c r="F142" s="58">
        <f>IF(TYPE($A142)=1,"",('NO USAR2'!$O140-F$1)/F$2)</f>
        <v>-0.01316939143</v>
      </c>
      <c r="G142" s="58">
        <f>IF(TYPE($A142)=1,"",('NO USAR2'!$P140-G$1)/G$2)</f>
        <v>-0.8184360358</v>
      </c>
      <c r="H142" s="58">
        <f>IF(TYPE($A142)=1,"",('NO USAR2'!$H140-H$1)/H$2*I142/$I$1)</f>
        <v>-1.391256229</v>
      </c>
      <c r="I142" s="58">
        <f>IF(TYPE($A142)=1,"",IF('NO USAR2'!H140=0,0,'NO USAR2'!G140/'NO USAR2'!H140))</f>
        <v>17.8</v>
      </c>
      <c r="J142" s="59">
        <f>IF(TYPE($A142)=1,"",('NO USAR2'!$J140-J$1)/J$2*K142/$K$1)</f>
        <v>0.8349904607</v>
      </c>
      <c r="K142" s="60">
        <f>IF(TYPE($A142)=1,"",IF('NO USAR2'!J140=0,0,'NO USAR2'!I140/'NO USAR2'!J140))</f>
        <v>3.6</v>
      </c>
      <c r="L142" s="58">
        <f>IF(TYPE($A142)=1,"",-('NO USAR2'!$Q140-L$1)/L$2)</f>
        <v>0.2436926961</v>
      </c>
      <c r="N142" s="2">
        <v>122.0</v>
      </c>
      <c r="O142" s="68" t="str">
        <f>IF('NO USAR2'!B95="",ROW('NO USAR2'!B95),'NO USAR2'!B95)</f>
        <v>Isaiah Hartenstein</v>
      </c>
      <c r="P142" s="68">
        <f>'NO USAR2'!E123</f>
        <v>60</v>
      </c>
      <c r="Q142" s="68" t="str">
        <f>IF('NO USAR2'!C95="",ROW('NO USAR2'!N110),'NO USAR2'!C95)</f>
        <v>PF/C</v>
      </c>
      <c r="R142" s="65">
        <f>VLOOKUP($O142,'NO USAR1'!$A$4:$L$399,2,False)+VLOOKUP($O142,'NO USAR1'!$A$4:$L$399,3,False)+VLOOKUP($O142,'NO USAR1'!$A$4:$L$399,4,False)+VLOOKUP($O142,'NO USAR1'!$A$4:$L$399,5,False)+VLOOKUP($O142,'NO USAR1'!$A$4:$L$399,6,False)+VLOOKUP($O142,'NO USAR1'!$A$4:$L$399,7,False)+VLOOKUP($O142,'NO USAR1'!$A$4:$L$399,8,False)+VLOOKUP($O142,'NO USAR1'!$A$4:$L$399,10,False)+VLOOKUP($O142,'NO USAR1'!$A$4:$L$399,12,False)*0</f>
        <v>-2.612883339</v>
      </c>
      <c r="S142" s="65">
        <f>VLOOKUP($O142,'NO USAR1'!$A$4:$L$399,2,False)*$U$19+VLOOKUP($O142,'NO USAR1'!$A$4:$L$399,3,False)*$V$19+VLOOKUP($O142,'NO USAR1'!$A$4:$L$399,4,False)*$W$19+VLOOKUP($O142,'NO USAR1'!$A$4:$L$399,5,False)*$X$19+VLOOKUP($O142,'NO USAR1'!$A$4:$L$399,6,False)*$Y$19+VLOOKUP($O142,'NO USAR1'!$A$4:$L$399,7,False)*$Z$19+VLOOKUP($O142,'NO USAR1'!$A$4:$L$399,8,False)*$AA$19+VLOOKUP($O142,'NO USAR1'!$A$4:$L$399,10,False)*$AB$19+VLOOKUP($O142,'NO USAR1'!$A$4:$L$399,12,False)*$AC$19+IF(Projections!$K$3,-AN142, IF(Projections!$J$3,-AM142,0))</f>
        <v>-5.157736933</v>
      </c>
      <c r="T142" s="65">
        <f t="shared" si="1"/>
        <v>-2.544853594</v>
      </c>
      <c r="U142" s="65">
        <f>VLOOKUP($O142,'NO USAR2'!$B$2:$R$397,11,False)</f>
        <v>10</v>
      </c>
      <c r="V142" s="69">
        <f>VLOOKUP($O142,'NO USAR2'!$B$2:$R$397,10,False)</f>
        <v>0.2</v>
      </c>
      <c r="W142" s="65">
        <f>VLOOKUP($O142,'NO USAR2'!$B$2:$R$397,12,False)</f>
        <v>5.9</v>
      </c>
      <c r="X142" s="65">
        <f>VLOOKUP($O142,'NO USAR2'!$B$2:$R$397,13,False)</f>
        <v>2.6</v>
      </c>
      <c r="Y142" s="65">
        <f>VLOOKUP($O142,'NO USAR2'!$B$2:$R$397,14,False)</f>
        <v>0.8</v>
      </c>
      <c r="Z142" s="70">
        <f>VLOOKUP($O142,'NO USAR2'!$B$2:$R$397,15,False)</f>
        <v>1.2</v>
      </c>
      <c r="AA142" s="65">
        <f>100*VLOOKUP($O142,'NO USAR2'!$B$2:$R$397,7,False)</f>
        <v>61.19402985</v>
      </c>
      <c r="AB142" s="65">
        <f>100*VLOOKUP($O142,'NO USAR2'!$B$2:$R$397,9,False)</f>
        <v>69.56521739</v>
      </c>
      <c r="AC142" s="65">
        <f>VLOOKUP($O142,'NO USAR2'!$B$2:$Q$397,16,False)</f>
        <v>1.4</v>
      </c>
      <c r="AD142" s="65">
        <f>VLOOKUP($O142,'NO USAR1'!$A$4:$L$399,2,False)*$U$19</f>
        <v>-1.85148393</v>
      </c>
      <c r="AE142" s="65">
        <f>VLOOKUP($O142,'NO USAR1'!$A$4:$L$399,3,False)*$V$19</f>
        <v>-1.41336001</v>
      </c>
      <c r="AF142" s="65">
        <f>VLOOKUP($O142,'NO USAR1'!$A$4:$L$399,4,False)*$W$19</f>
        <v>-0.07123221798</v>
      </c>
      <c r="AG142" s="65">
        <f>VLOOKUP($O142,'NO USAR1'!$A$4:$L$399,5,False)*$X$19</f>
        <v>-0.6289115786</v>
      </c>
      <c r="AH142" s="65">
        <f>VLOOKUP($O142,'NO USAR1'!$A$4:$L$399,6,False)*$Y$19</f>
        <v>-0.8340614572</v>
      </c>
      <c r="AI142" s="65">
        <f>VLOOKUP($O142,'NO USAR1'!$A$4:$L$399,7,False)*$Z$19</f>
        <v>0</v>
      </c>
      <c r="AJ142" s="65">
        <f>VLOOKUP($O142,'NO USAR1'!$A$4:$L$399,8,False)*$AA$19</f>
        <v>0</v>
      </c>
      <c r="AK142" s="70">
        <f>VLOOKUP($O142,'NO USAR1'!$A$4:$L$399,10,False)*$AB$19</f>
        <v>-0.3586877392</v>
      </c>
      <c r="AL142" s="65">
        <f>VLOOKUP($O142,'NO USAR1'!$A$4:$L$399,12,False)*$AC$19</f>
        <v>0</v>
      </c>
      <c r="AM142" s="71">
        <f t="shared" si="2"/>
        <v>-1.85148393</v>
      </c>
      <c r="AN142" s="71">
        <f t="shared" si="3"/>
        <v>-3.26484394</v>
      </c>
    </row>
    <row r="143">
      <c r="A143" t="str">
        <f>IF('NO USAR2'!B141="",ROW('NO USAR2'!B141),'NO USAR2'!B141)</f>
        <v>Bruce Brown</v>
      </c>
      <c r="B143" s="58">
        <f>IF(TYPE($A143)=1,"",('NO USAR2'!$L141-B$1)/B$2)</f>
        <v>-1.411845854</v>
      </c>
      <c r="C143" s="58">
        <f>IF(TYPE($A143)=1,"",('NO USAR2'!$K141-C$1)/C$2)</f>
        <v>-1.113373341</v>
      </c>
      <c r="D143" s="58">
        <f>IF(TYPE($A143)=1,"",('NO USAR2'!$M141-D$1)/D$2)</f>
        <v>-0.5202691613</v>
      </c>
      <c r="E143" s="58">
        <f>IF(TYPE($A143)=1,"",('NO USAR2'!$N141-E$1)/E$2)</f>
        <v>-0.7314065472</v>
      </c>
      <c r="F143" s="58">
        <f>IF(TYPE($A143)=1,"",('NO USAR2'!$O141-F$1)/F$2)</f>
        <v>0.3138704957</v>
      </c>
      <c r="G143" s="58">
        <f>IF(TYPE($A143)=1,"",('NO USAR2'!$P141-G$1)/G$2)</f>
        <v>0.005529973215</v>
      </c>
      <c r="H143" s="58">
        <f>IF(TYPE($A143)=1,"",('NO USAR2'!$H141-H$1)/H$2*I143/$I$1)</f>
        <v>0.2645963493</v>
      </c>
      <c r="I143" s="58">
        <f>IF(TYPE($A143)=1,"",IF('NO USAR2'!H141=0,0,'NO USAR2'!G141/'NO USAR2'!H141))</f>
        <v>6.9</v>
      </c>
      <c r="J143" s="59">
        <f>IF(TYPE($A143)=1,"",('NO USAR2'!$J141-J$1)/J$2*K143/$K$1)</f>
        <v>-0.07553722752</v>
      </c>
      <c r="K143" s="60">
        <f>IF(TYPE($A143)=1,"",IF('NO USAR2'!J141=0,0,'NO USAR2'!I141/'NO USAR2'!J141))</f>
        <v>1.8</v>
      </c>
      <c r="L143" s="58">
        <f>IF(TYPE($A143)=1,"",-('NO USAR2'!$Q141-L$1)/L$2)</f>
        <v>1.347346548</v>
      </c>
      <c r="N143" s="63">
        <v>123.0</v>
      </c>
      <c r="O143" s="68" t="str">
        <f>IF('NO USAR2'!B136="",ROW('NO USAR2'!B136),'NO USAR2'!B136)</f>
        <v>Matisse Thybulle</v>
      </c>
      <c r="P143" s="68">
        <f>'NO USAR2'!E124</f>
        <v>60</v>
      </c>
      <c r="Q143" s="68" t="str">
        <f>IF('NO USAR2'!C136="",ROW('NO USAR2'!N151),'NO USAR2'!C136)</f>
        <v>PG/SG</v>
      </c>
      <c r="R143" s="65">
        <f>VLOOKUP($O143,'NO USAR1'!$A$4:$L$399,2,False)+VLOOKUP($O143,'NO USAR1'!$A$4:$L$399,3,False)+VLOOKUP($O143,'NO USAR1'!$A$4:$L$399,4,False)+VLOOKUP($O143,'NO USAR1'!$A$4:$L$399,5,False)+VLOOKUP($O143,'NO USAR1'!$A$4:$L$399,6,False)+VLOOKUP($O143,'NO USAR1'!$A$4:$L$399,7,False)+VLOOKUP($O143,'NO USAR1'!$A$4:$L$399,8,False)+VLOOKUP($O143,'NO USAR1'!$A$4:$L$399,10,False)+VLOOKUP($O143,'NO USAR1'!$A$4:$L$399,12,False)*0</f>
        <v>-2.65981528</v>
      </c>
      <c r="S143" s="65">
        <f>VLOOKUP($O143,'NO USAR1'!$A$4:$L$399,2,False)*$U$19+VLOOKUP($O143,'NO USAR1'!$A$4:$L$399,3,False)*$V$19+VLOOKUP($O143,'NO USAR1'!$A$4:$L$399,4,False)*$W$19+VLOOKUP($O143,'NO USAR1'!$A$4:$L$399,5,False)*$X$19+VLOOKUP($O143,'NO USAR1'!$A$4:$L$399,6,False)*$Y$19+VLOOKUP($O143,'NO USAR1'!$A$4:$L$399,7,False)*$Z$19+VLOOKUP($O143,'NO USAR1'!$A$4:$L$399,8,False)*$AA$19+VLOOKUP($O143,'NO USAR1'!$A$4:$L$399,10,False)*$AB$19+VLOOKUP($O143,'NO USAR1'!$A$4:$L$399,12,False)*$AC$19+IF(Projections!$K$3,-AN143, IF(Projections!$J$3,-AM143,0))</f>
        <v>-4.457120821</v>
      </c>
      <c r="T143" s="65">
        <f t="shared" si="1"/>
        <v>-1.797305541</v>
      </c>
      <c r="U143" s="65">
        <f>VLOOKUP($O143,'NO USAR2'!$B$2:$R$397,11,False)</f>
        <v>5.7</v>
      </c>
      <c r="V143" s="69">
        <f>VLOOKUP($O143,'NO USAR2'!$B$2:$R$397,10,False)</f>
        <v>0.7</v>
      </c>
      <c r="W143" s="65">
        <f>VLOOKUP($O143,'NO USAR2'!$B$2:$R$397,12,False)</f>
        <v>2.3</v>
      </c>
      <c r="X143" s="65">
        <f>VLOOKUP($O143,'NO USAR2'!$B$2:$R$397,13,False)</f>
        <v>1.1</v>
      </c>
      <c r="Y143" s="65">
        <f>VLOOKUP($O143,'NO USAR2'!$B$2:$R$397,14,False)</f>
        <v>1.6</v>
      </c>
      <c r="Z143" s="70">
        <f>VLOOKUP($O143,'NO USAR2'!$B$2:$R$397,15,False)</f>
        <v>1.1</v>
      </c>
      <c r="AA143" s="65">
        <f>100*VLOOKUP($O143,'NO USAR2'!$B$2:$R$397,7,False)</f>
        <v>51.11111111</v>
      </c>
      <c r="AB143" s="65">
        <f>100*VLOOKUP($O143,'NO USAR2'!$B$2:$R$397,9,False)</f>
        <v>83.33333333</v>
      </c>
      <c r="AC143" s="65">
        <f>VLOOKUP($O143,'NO USAR2'!$B$2:$Q$397,16,False)</f>
        <v>0.6</v>
      </c>
      <c r="AD143" s="65">
        <f>VLOOKUP($O143,'NO USAR1'!$A$4:$L$399,2,False)*$U$19</f>
        <v>-2.996508789</v>
      </c>
      <c r="AE143" s="65">
        <f>VLOOKUP($O143,'NO USAR1'!$A$4:$L$399,3,False)*$V$19</f>
        <v>-0.9133822286</v>
      </c>
      <c r="AF143" s="65">
        <f>VLOOKUP($O143,'NO USAR1'!$A$4:$L$399,4,False)*$W$19</f>
        <v>-1.540807669</v>
      </c>
      <c r="AG143" s="65">
        <f>VLOOKUP($O143,'NO USAR1'!$A$4:$L$399,5,False)*$X$19</f>
        <v>-1.484951395</v>
      </c>
      <c r="AH143" s="65">
        <f>VLOOKUP($O143,'NO USAR1'!$A$4:$L$399,6,False)*$Y$19</f>
        <v>2.436337414</v>
      </c>
      <c r="AI143" s="65">
        <f>VLOOKUP($O143,'NO USAR1'!$A$4:$L$399,7,False)*$Z$19</f>
        <v>0</v>
      </c>
      <c r="AJ143" s="65">
        <f>VLOOKUP($O143,'NO USAR1'!$A$4:$L$399,8,False)*$AA$19</f>
        <v>0</v>
      </c>
      <c r="AK143" s="70">
        <f>VLOOKUP($O143,'NO USAR1'!$A$4:$L$399,10,False)*$AB$19</f>
        <v>0.04219184629</v>
      </c>
      <c r="AL143" s="65">
        <f>VLOOKUP($O143,'NO USAR1'!$A$4:$L$399,12,False)*$AC$19</f>
        <v>0</v>
      </c>
      <c r="AM143" s="71">
        <f t="shared" si="2"/>
        <v>-2.996508789</v>
      </c>
      <c r="AN143" s="71">
        <f t="shared" si="3"/>
        <v>-4.537316458</v>
      </c>
    </row>
    <row r="144">
      <c r="A144" t="str">
        <f>IF('NO USAR2'!B142="",ROW('NO USAR2'!B142),'NO USAR2'!B142)</f>
        <v>Patrick Beverley</v>
      </c>
      <c r="B144" s="58">
        <f>IF(TYPE($A144)=1,"",('NO USAR2'!$L142-B$1)/B$2)</f>
        <v>-1.536112118</v>
      </c>
      <c r="C144" s="58">
        <f>IF(TYPE($A144)=1,"",('NO USAR2'!$K142-C$1)/C$2)</f>
        <v>-0.3134088911</v>
      </c>
      <c r="D144" s="58">
        <f>IF(TYPE($A144)=1,"",('NO USAR2'!$M142-D$1)/D$2)</f>
        <v>-0.9284845644</v>
      </c>
      <c r="E144" s="58">
        <f>IF(TYPE($A144)=1,"",('NO USAR2'!$N142-E$1)/E$2)</f>
        <v>0.1817025901</v>
      </c>
      <c r="F144" s="58">
        <f>IF(TYPE($A144)=1,"",('NO USAR2'!$O142-F$1)/F$2)</f>
        <v>0.3138704957</v>
      </c>
      <c r="G144" s="58">
        <f>IF(TYPE($A144)=1,"",('NO USAR2'!$P142-G$1)/G$2)</f>
        <v>0.2115214755</v>
      </c>
      <c r="H144" s="58">
        <f>IF(TYPE($A144)=1,"",('NO USAR2'!$H142-H$1)/H$2*I144/$I$1)</f>
        <v>-0.550406683</v>
      </c>
      <c r="I144" s="58">
        <f>IF(TYPE($A144)=1,"",IF('NO USAR2'!H142=0,0,'NO USAR2'!G142/'NO USAR2'!H142))</f>
        <v>6.7</v>
      </c>
      <c r="J144" s="59">
        <f>IF(TYPE($A144)=1,"",('NO USAR2'!$J142-J$1)/J$2*K144/$K$1)</f>
        <v>-0.5263778391</v>
      </c>
      <c r="K144" s="60">
        <f>IF(TYPE($A144)=1,"",IF('NO USAR2'!J142=0,0,'NO USAR2'!I142/'NO USAR2'!J142))</f>
        <v>2.1</v>
      </c>
      <c r="L144" s="58">
        <f>IF(TYPE($A144)=1,"",-('NO USAR2'!$Q142-L$1)/L$2)</f>
        <v>0.905885007</v>
      </c>
      <c r="N144" s="63">
        <v>124.0</v>
      </c>
      <c r="O144" s="68" t="str">
        <f>IF('NO USAR2'!B140="",ROW('NO USAR2'!B140),'NO USAR2'!B140)</f>
        <v>Dillon Brooks</v>
      </c>
      <c r="P144" s="68">
        <f>'NO USAR2'!E125</f>
        <v>72</v>
      </c>
      <c r="Q144" s="68" t="str">
        <f>IF('NO USAR2'!C140="",ROW('NO USAR2'!N155),'NO USAR2'!C140)</f>
        <v>SG/SF</v>
      </c>
      <c r="R144" s="65">
        <f>VLOOKUP($O144,'NO USAR1'!$A$4:$L$399,2,False)+VLOOKUP($O144,'NO USAR1'!$A$4:$L$399,3,False)+VLOOKUP($O144,'NO USAR1'!$A$4:$L$399,4,False)+VLOOKUP($O144,'NO USAR1'!$A$4:$L$399,5,False)+VLOOKUP($O144,'NO USAR1'!$A$4:$L$399,6,False)+VLOOKUP($O144,'NO USAR1'!$A$4:$L$399,7,False)+VLOOKUP($O144,'NO USAR1'!$A$4:$L$399,8,False)+VLOOKUP($O144,'NO USAR1'!$A$4:$L$399,10,False)+VLOOKUP($O144,'NO USAR1'!$A$4:$L$399,12,False)*0</f>
        <v>-2.67677791</v>
      </c>
      <c r="S144" s="65">
        <f>VLOOKUP($O144,'NO USAR1'!$A$4:$L$399,2,False)*$U$19+VLOOKUP($O144,'NO USAR1'!$A$4:$L$399,3,False)*$V$19+VLOOKUP($O144,'NO USAR1'!$A$4:$L$399,4,False)*$W$19+VLOOKUP($O144,'NO USAR1'!$A$4:$L$399,5,False)*$X$19+VLOOKUP($O144,'NO USAR1'!$A$4:$L$399,6,False)*$Y$19+VLOOKUP($O144,'NO USAR1'!$A$4:$L$399,7,False)*$Z$19+VLOOKUP($O144,'NO USAR1'!$A$4:$L$399,8,False)*$AA$19+VLOOKUP($O144,'NO USAR1'!$A$4:$L$399,10,False)*$AB$19+VLOOKUP($O144,'NO USAR1'!$A$4:$L$399,12,False)*$AC$19+IF(Projections!$K$3,-AN144, IF(Projections!$J$3,-AM144,0))</f>
        <v>-0.8015330545</v>
      </c>
      <c r="T144" s="65">
        <f t="shared" si="1"/>
        <v>1.875244855</v>
      </c>
      <c r="U144" s="65">
        <f>VLOOKUP($O144,'NO USAR2'!$B$2:$R$397,11,False)</f>
        <v>19.6</v>
      </c>
      <c r="V144" s="69">
        <f>VLOOKUP($O144,'NO USAR2'!$B$2:$R$397,10,False)</f>
        <v>1.5</v>
      </c>
      <c r="W144" s="65">
        <f>VLOOKUP($O144,'NO USAR2'!$B$2:$R$397,12,False)</f>
        <v>3.5</v>
      </c>
      <c r="X144" s="65">
        <f>VLOOKUP($O144,'NO USAR2'!$B$2:$R$397,13,False)</f>
        <v>2.4</v>
      </c>
      <c r="Y144" s="65">
        <f>VLOOKUP($O144,'NO USAR2'!$B$2:$R$397,14,False)</f>
        <v>1</v>
      </c>
      <c r="Z144" s="70">
        <f>VLOOKUP($O144,'NO USAR2'!$B$2:$R$397,15,False)</f>
        <v>0.3</v>
      </c>
      <c r="AA144" s="65">
        <f>100*VLOOKUP($O144,'NO USAR2'!$B$2:$R$397,7,False)</f>
        <v>42.13483146</v>
      </c>
      <c r="AB144" s="65">
        <f>100*VLOOKUP($O144,'NO USAR2'!$B$2:$R$397,9,False)</f>
        <v>86.11111111</v>
      </c>
      <c r="AC144" s="65">
        <f>VLOOKUP($O144,'NO USAR2'!$B$2:$Q$397,16,False)</f>
        <v>1.8</v>
      </c>
      <c r="AD144" s="65">
        <f>VLOOKUP($O144,'NO USAR1'!$A$4:$L$399,2,False)*$U$19</f>
        <v>0.704850639</v>
      </c>
      <c r="AE144" s="65">
        <f>VLOOKUP($O144,'NO USAR1'!$A$4:$L$399,3,False)*$V$19</f>
        <v>-0.1134177786</v>
      </c>
      <c r="AF144" s="65">
        <f>VLOOKUP($O144,'NO USAR1'!$A$4:$L$399,4,False)*$W$19</f>
        <v>-1.050949185</v>
      </c>
      <c r="AG144" s="65">
        <f>VLOOKUP($O144,'NO USAR1'!$A$4:$L$399,5,False)*$X$19</f>
        <v>-0.7430502208</v>
      </c>
      <c r="AH144" s="65">
        <f>VLOOKUP($O144,'NO USAR1'!$A$4:$L$399,6,False)*$Y$19</f>
        <v>-0.01646173929</v>
      </c>
      <c r="AI144" s="65">
        <f>VLOOKUP($O144,'NO USAR1'!$A$4:$L$399,7,False)*$Z$19</f>
        <v>0</v>
      </c>
      <c r="AJ144" s="65">
        <f>VLOOKUP($O144,'NO USAR1'!$A$4:$L$399,8,False)*$AA$19</f>
        <v>0</v>
      </c>
      <c r="AK144" s="70">
        <f>VLOOKUP($O144,'NO USAR1'!$A$4:$L$399,10,False)*$AB$19</f>
        <v>0.4174952304</v>
      </c>
      <c r="AL144" s="65">
        <f>VLOOKUP($O144,'NO USAR1'!$A$4:$L$399,12,False)*$AC$19</f>
        <v>0</v>
      </c>
      <c r="AM144" s="71">
        <f t="shared" si="2"/>
        <v>-1.050949185</v>
      </c>
      <c r="AN144" s="71">
        <f t="shared" si="3"/>
        <v>-1.793999406</v>
      </c>
    </row>
    <row r="145">
      <c r="A145" t="str">
        <f>IF('NO USAR2'!B143="",ROW('NO USAR2'!B143),'NO USAR2'!B143)</f>
        <v>Nassir Little</v>
      </c>
      <c r="B145" s="58">
        <f>IF(TYPE($A145)=1,"",('NO USAR2'!$L143-B$1)/B$2)</f>
        <v>-1.163313326</v>
      </c>
      <c r="C145" s="58">
        <f>IF(TYPE($A145)=1,"",('NO USAR2'!$K143-C$1)/C$2)</f>
        <v>-0.3134088911</v>
      </c>
      <c r="D145" s="58">
        <f>IF(TYPE($A145)=1,"",('NO USAR2'!$M143-D$1)/D$2)</f>
        <v>-0.07123221798</v>
      </c>
      <c r="E145" s="58">
        <f>IF(TYPE($A145)=1,"",('NO USAR2'!$N143-E$1)/E$2)</f>
        <v>-1.050994745</v>
      </c>
      <c r="F145" s="58">
        <f>IF(TYPE($A145)=1,"",('NO USAR2'!$O143-F$1)/F$2)</f>
        <v>-1.32132894</v>
      </c>
      <c r="G145" s="58">
        <f>IF(TYPE($A145)=1,"",('NO USAR2'!$P143-G$1)/G$2)</f>
        <v>0.62350448</v>
      </c>
      <c r="H145" s="58">
        <f>IF(TYPE($A145)=1,"",('NO USAR2'!$H143-H$1)/H$2*I145/$I$1)</f>
        <v>-0.2432176206</v>
      </c>
      <c r="I145" s="58">
        <f>IF(TYPE($A145)=1,"",IF('NO USAR2'!H143=0,0,'NO USAR2'!G143/'NO USAR2'!H143))</f>
        <v>8</v>
      </c>
      <c r="J145" s="59">
        <f>IF(TYPE($A145)=1,"",('NO USAR2'!$J143-J$1)/J$2*K145/$K$1)</f>
        <v>-0.1288442009</v>
      </c>
      <c r="K145" s="60">
        <f>IF(TYPE($A145)=1,"",IF('NO USAR2'!J143=0,0,'NO USAR2'!I143/'NO USAR2'!J143))</f>
        <v>2.2</v>
      </c>
      <c r="L145" s="58">
        <f>IF(TYPE($A145)=1,"",-('NO USAR2'!$Q143-L$1)/L$2)</f>
        <v>1.016250392</v>
      </c>
      <c r="N145" s="2">
        <v>125.0</v>
      </c>
      <c r="O145" s="68" t="str">
        <f>IF('NO USAR2'!B124="",ROW('NO USAR2'!B124),'NO USAR2'!B124)</f>
        <v>Malcolm Brogdon</v>
      </c>
      <c r="P145" s="68">
        <f>'NO USAR2'!E126</f>
        <v>70</v>
      </c>
      <c r="Q145" s="68" t="str">
        <f>IF('NO USAR2'!C124="",ROW('NO USAR2'!N139),'NO USAR2'!C124)</f>
        <v>PG/SG</v>
      </c>
      <c r="R145" s="65">
        <f>VLOOKUP($O145,'NO USAR1'!$A$4:$L$399,2,False)+VLOOKUP($O145,'NO USAR1'!$A$4:$L$399,3,False)+VLOOKUP($O145,'NO USAR1'!$A$4:$L$399,4,False)+VLOOKUP($O145,'NO USAR1'!$A$4:$L$399,5,False)+VLOOKUP($O145,'NO USAR1'!$A$4:$L$399,6,False)+VLOOKUP($O145,'NO USAR1'!$A$4:$L$399,7,False)+VLOOKUP($O145,'NO USAR1'!$A$4:$L$399,8,False)+VLOOKUP($O145,'NO USAR1'!$A$4:$L$399,10,False)+VLOOKUP($O145,'NO USAR1'!$A$4:$L$399,12,False)*0</f>
        <v>-2.717618719</v>
      </c>
      <c r="S145" s="65">
        <f>VLOOKUP($O145,'NO USAR1'!$A$4:$L$399,2,False)*$U$19+VLOOKUP($O145,'NO USAR1'!$A$4:$L$399,3,False)*$V$19+VLOOKUP($O145,'NO USAR1'!$A$4:$L$399,4,False)*$W$19+VLOOKUP($O145,'NO USAR1'!$A$4:$L$399,5,False)*$X$19+VLOOKUP($O145,'NO USAR1'!$A$4:$L$399,6,False)*$Y$19+VLOOKUP($O145,'NO USAR1'!$A$4:$L$399,7,False)*$Z$19+VLOOKUP($O145,'NO USAR1'!$A$4:$L$399,8,False)*$AA$19+VLOOKUP($O145,'NO USAR1'!$A$4:$L$399,10,False)*$AB$19+VLOOKUP($O145,'NO USAR1'!$A$4:$L$399,12,False)*$AC$19+IF(Projections!$K$3,-AN145, IF(Projections!$J$3,-AM145,0))</f>
        <v>-2.00396207</v>
      </c>
      <c r="T145" s="65">
        <f t="shared" si="1"/>
        <v>0.7136566486</v>
      </c>
      <c r="U145" s="65">
        <f>VLOOKUP($O145,'NO USAR2'!$B$2:$R$397,11,False)</f>
        <v>16.1</v>
      </c>
      <c r="V145" s="69">
        <f>VLOOKUP($O145,'NO USAR2'!$B$2:$R$397,10,False)</f>
        <v>1.3</v>
      </c>
      <c r="W145" s="65">
        <f>VLOOKUP($O145,'NO USAR2'!$B$2:$R$397,12,False)</f>
        <v>4.3</v>
      </c>
      <c r="X145" s="65">
        <f>VLOOKUP($O145,'NO USAR2'!$B$2:$R$397,13,False)</f>
        <v>3.9</v>
      </c>
      <c r="Y145" s="65">
        <f>VLOOKUP($O145,'NO USAR2'!$B$2:$R$397,14,False)</f>
        <v>0.7</v>
      </c>
      <c r="Z145" s="70">
        <f>VLOOKUP($O145,'NO USAR2'!$B$2:$R$397,15,False)</f>
        <v>0.3</v>
      </c>
      <c r="AA145" s="65">
        <f>100*VLOOKUP($O145,'NO USAR2'!$B$2:$R$397,7,False)</f>
        <v>44.88188976</v>
      </c>
      <c r="AB145" s="65">
        <f>100*VLOOKUP($O145,'NO USAR2'!$B$2:$R$397,9,False)</f>
        <v>85</v>
      </c>
      <c r="AC145" s="65">
        <f>VLOOKUP($O145,'NO USAR2'!$B$2:$Q$397,16,False)</f>
        <v>1.8</v>
      </c>
      <c r="AD145" s="65">
        <f>VLOOKUP($O145,'NO USAR1'!$A$4:$L$399,2,False)*$U$19</f>
        <v>-0.2271463393</v>
      </c>
      <c r="AE145" s="65">
        <f>VLOOKUP($O145,'NO USAR1'!$A$4:$L$399,3,False)*$V$19</f>
        <v>-0.3134088911</v>
      </c>
      <c r="AF145" s="65">
        <f>VLOOKUP($O145,'NO USAR1'!$A$4:$L$399,4,False)*$W$19</f>
        <v>-0.7243768628</v>
      </c>
      <c r="AG145" s="65">
        <f>VLOOKUP($O145,'NO USAR1'!$A$4:$L$399,5,False)*$X$19</f>
        <v>0.1129895954</v>
      </c>
      <c r="AH145" s="65">
        <f>VLOOKUP($O145,'NO USAR1'!$A$4:$L$399,6,False)*$Y$19</f>
        <v>-1.242861316</v>
      </c>
      <c r="AI145" s="65">
        <f>VLOOKUP($O145,'NO USAR1'!$A$4:$L$399,7,False)*$Z$19</f>
        <v>0</v>
      </c>
      <c r="AJ145" s="65">
        <f>VLOOKUP($O145,'NO USAR1'!$A$4:$L$399,8,False)*$AA$19</f>
        <v>0</v>
      </c>
      <c r="AK145" s="70">
        <f>VLOOKUP($O145,'NO USAR1'!$A$4:$L$399,10,False)*$AB$19</f>
        <v>0.3908417437</v>
      </c>
      <c r="AL145" s="65">
        <f>VLOOKUP($O145,'NO USAR1'!$A$4:$L$399,12,False)*$AC$19</f>
        <v>0</v>
      </c>
      <c r="AM145" s="71">
        <f t="shared" si="2"/>
        <v>-1.242861316</v>
      </c>
      <c r="AN145" s="71">
        <f t="shared" si="3"/>
        <v>-1.967238179</v>
      </c>
    </row>
    <row r="146">
      <c r="A146" t="str">
        <f>IF('NO USAR2'!B144="",ROW('NO USAR2'!B144),'NO USAR2'!B144)</f>
        <v>Jaden McDaniels</v>
      </c>
      <c r="B146" s="58">
        <f>IF(TYPE($A146)=1,"",('NO USAR2'!$L144-B$1)/B$2)</f>
        <v>-1.092304033</v>
      </c>
      <c r="C146" s="58">
        <f>IF(TYPE($A146)=1,"",('NO USAR2'!$K144-C$1)/C$2)</f>
        <v>-0.3134088911</v>
      </c>
      <c r="D146" s="58">
        <f>IF(TYPE($A146)=1,"",('NO USAR2'!$M144-D$1)/D$2)</f>
        <v>-0.6019122419</v>
      </c>
      <c r="E146" s="58">
        <f>IF(TYPE($A146)=1,"",('NO USAR2'!$N144-E$1)/E$2)</f>
        <v>-1.096650202</v>
      </c>
      <c r="F146" s="58">
        <f>IF(TYPE($A146)=1,"",('NO USAR2'!$O144-F$1)/F$2)</f>
        <v>-0.6672491657</v>
      </c>
      <c r="G146" s="58">
        <f>IF(TYPE($A146)=1,"",('NO USAR2'!$P144-G$1)/G$2)</f>
        <v>0.62350448</v>
      </c>
      <c r="H146" s="58">
        <f>IF(TYPE($A146)=1,"",('NO USAR2'!$H144-H$1)/H$2*I146/$I$1)</f>
        <v>-0.2841911614</v>
      </c>
      <c r="I146" s="58">
        <f>IF(TYPE($A146)=1,"",IF('NO USAR2'!H144=0,0,'NO USAR2'!G144/'NO USAR2'!H144))</f>
        <v>9.3</v>
      </c>
      <c r="J146" s="59">
        <f>IF(TYPE($A146)=1,"",('NO USAR2'!$J144-J$1)/J$2*K146/$K$1)</f>
        <v>-0.1599209201</v>
      </c>
      <c r="K146" s="60">
        <f>IF(TYPE($A146)=1,"",IF('NO USAR2'!J144=0,0,'NO USAR2'!I144/'NO USAR2'!J144))</f>
        <v>1.2</v>
      </c>
      <c r="L146" s="58">
        <f>IF(TYPE($A146)=1,"",-('NO USAR2'!$Q144-L$1)/L$2)</f>
        <v>0.7955196219</v>
      </c>
      <c r="N146" s="63">
        <v>126.0</v>
      </c>
      <c r="O146" s="68" t="str">
        <f>IF('NO USAR2'!B103="",ROW('NO USAR2'!B103),'NO USAR2'!B103)</f>
        <v>JaVale McGee</v>
      </c>
      <c r="P146" s="68">
        <f>'NO USAR2'!E127</f>
        <v>68</v>
      </c>
      <c r="Q146" s="68" t="str">
        <f>IF('NO USAR2'!C103="",ROW('NO USAR2'!N118),'NO USAR2'!C103)</f>
        <v>C</v>
      </c>
      <c r="R146" s="65">
        <f>VLOOKUP($O146,'NO USAR1'!$A$4:$L$399,2,False)+VLOOKUP($O146,'NO USAR1'!$A$4:$L$399,3,False)+VLOOKUP($O146,'NO USAR1'!$A$4:$L$399,4,False)+VLOOKUP($O146,'NO USAR1'!$A$4:$L$399,5,False)+VLOOKUP($O146,'NO USAR1'!$A$4:$L$399,6,False)+VLOOKUP($O146,'NO USAR1'!$A$4:$L$399,7,False)+VLOOKUP($O146,'NO USAR1'!$A$4:$L$399,8,False)+VLOOKUP($O146,'NO USAR1'!$A$4:$L$399,10,False)+VLOOKUP($O146,'NO USAR1'!$A$4:$L$399,12,False)*0</f>
        <v>-2.821308676</v>
      </c>
      <c r="S146" s="65">
        <f>VLOOKUP($O146,'NO USAR1'!$A$4:$L$399,2,False)*$U$19+VLOOKUP($O146,'NO USAR1'!$A$4:$L$399,3,False)*$V$19+VLOOKUP($O146,'NO USAR1'!$A$4:$L$399,4,False)*$W$19+VLOOKUP($O146,'NO USAR1'!$A$4:$L$399,5,False)*$X$19+VLOOKUP($O146,'NO USAR1'!$A$4:$L$399,6,False)*$Y$19+VLOOKUP($O146,'NO USAR1'!$A$4:$L$399,7,False)*$Z$19+VLOOKUP($O146,'NO USAR1'!$A$4:$L$399,8,False)*$AA$19+VLOOKUP($O146,'NO USAR1'!$A$4:$L$399,10,False)*$AB$19+VLOOKUP($O146,'NO USAR1'!$A$4:$L$399,12,False)*$AC$19+IF(Projections!$K$3,-AN146, IF(Projections!$J$3,-AM146,0))</f>
        <v>-6.204469719</v>
      </c>
      <c r="T146" s="65">
        <f t="shared" si="1"/>
        <v>-3.383161044</v>
      </c>
      <c r="U146" s="65">
        <f>VLOOKUP($O146,'NO USAR2'!$B$2:$R$397,11,False)</f>
        <v>11.8</v>
      </c>
      <c r="V146" s="69">
        <f>VLOOKUP($O146,'NO USAR2'!$B$2:$R$397,10,False)</f>
        <v>0</v>
      </c>
      <c r="W146" s="65">
        <f>VLOOKUP($O146,'NO USAR2'!$B$2:$R$397,12,False)</f>
        <v>8.8</v>
      </c>
      <c r="X146" s="65">
        <f>VLOOKUP($O146,'NO USAR2'!$B$2:$R$397,13,False)</f>
        <v>0.9</v>
      </c>
      <c r="Y146" s="65">
        <f>VLOOKUP($O146,'NO USAR2'!$B$2:$R$397,14,False)</f>
        <v>0.4</v>
      </c>
      <c r="Z146" s="70">
        <f>VLOOKUP($O146,'NO USAR2'!$B$2:$R$397,15,False)</f>
        <v>1.4</v>
      </c>
      <c r="AA146" s="65">
        <f>100*VLOOKUP($O146,'NO USAR2'!$B$2:$R$397,7,False)</f>
        <v>57.95454545</v>
      </c>
      <c r="AB146" s="65">
        <f>100*VLOOKUP($O146,'NO USAR2'!$B$2:$R$397,9,False)</f>
        <v>71.42857143</v>
      </c>
      <c r="AC146" s="65">
        <f>VLOOKUP($O146,'NO USAR2'!$B$2:$Q$397,16,False)</f>
        <v>1.9</v>
      </c>
      <c r="AD146" s="65">
        <f>VLOOKUP($O146,'NO USAR1'!$A$4:$L$399,2,False)*$U$19</f>
        <v>-1.372171198</v>
      </c>
      <c r="AE146" s="65">
        <f>VLOOKUP($O146,'NO USAR1'!$A$4:$L$399,3,False)*$V$19</f>
        <v>-1.613351122</v>
      </c>
      <c r="AF146" s="65">
        <f>VLOOKUP($O146,'NO USAR1'!$A$4:$L$399,4,False)*$W$19</f>
        <v>1.112592451</v>
      </c>
      <c r="AG146" s="65">
        <f>VLOOKUP($O146,'NO USAR1'!$A$4:$L$399,5,False)*$X$19</f>
        <v>-1.599090037</v>
      </c>
      <c r="AH146" s="65">
        <f>VLOOKUP($O146,'NO USAR1'!$A$4:$L$399,6,False)*$Y$19</f>
        <v>-2.469260893</v>
      </c>
      <c r="AI146" s="65">
        <f>VLOOKUP($O146,'NO USAR1'!$A$4:$L$399,7,False)*$Z$19</f>
        <v>0</v>
      </c>
      <c r="AJ146" s="65">
        <f>VLOOKUP($O146,'NO USAR1'!$A$4:$L$399,8,False)*$AA$19</f>
        <v>0</v>
      </c>
      <c r="AK146" s="70">
        <f>VLOOKUP($O146,'NO USAR1'!$A$4:$L$399,10,False)*$AB$19</f>
        <v>-0.2631889196</v>
      </c>
      <c r="AL146" s="65">
        <f>VLOOKUP($O146,'NO USAR1'!$A$4:$L$399,12,False)*$AC$19</f>
        <v>0</v>
      </c>
      <c r="AM146" s="71">
        <f t="shared" si="2"/>
        <v>-2.469260893</v>
      </c>
      <c r="AN146" s="71">
        <f t="shared" si="3"/>
        <v>-4.082612015</v>
      </c>
    </row>
    <row r="147">
      <c r="A147" t="str">
        <f>IF('NO USAR2'!B145="",ROW('NO USAR2'!B145),'NO USAR2'!B145)</f>
        <v>Derrick White</v>
      </c>
      <c r="B147" s="58">
        <f>IF(TYPE($A147)=1,"",('NO USAR2'!$L145-B$1)/B$2)</f>
        <v>-0.9502854457</v>
      </c>
      <c r="C147" s="58">
        <f>IF(TYPE($A147)=1,"",('NO USAR2'!$K145-C$1)/C$2)</f>
        <v>-0.3134088911</v>
      </c>
      <c r="D147" s="58">
        <f>IF(TYPE($A147)=1,"",('NO USAR2'!$M145-D$1)/D$2)</f>
        <v>-1.214235346</v>
      </c>
      <c r="E147" s="58">
        <f>IF(TYPE($A147)=1,"",('NO USAR2'!$N145-E$1)/E$2)</f>
        <v>-0.1835410648</v>
      </c>
      <c r="F147" s="58">
        <f>IF(TYPE($A147)=1,"",('NO USAR2'!$O145-F$1)/F$2)</f>
        <v>-0.6672491657</v>
      </c>
      <c r="G147" s="58">
        <f>IF(TYPE($A147)=1,"",('NO USAR2'!$P145-G$1)/G$2)</f>
        <v>0.005529973215</v>
      </c>
      <c r="H147" s="58">
        <f>IF(TYPE($A147)=1,"",('NO USAR2'!$H145-H$1)/H$2*I147/$I$1)</f>
        <v>-0.7457843413</v>
      </c>
      <c r="I147" s="58">
        <f>IF(TYPE($A147)=1,"",IF('NO USAR2'!H145=0,0,'NO USAR2'!G145/'NO USAR2'!H145))</f>
        <v>9.5</v>
      </c>
      <c r="J147" s="59">
        <f>IF(TYPE($A147)=1,"",('NO USAR2'!$J145-J$1)/J$2*K147/$K$1)</f>
        <v>0.5440707692</v>
      </c>
      <c r="K147" s="60">
        <f>IF(TYPE($A147)=1,"",IF('NO USAR2'!J145=0,0,'NO USAR2'!I145/'NO USAR2'!J145))</f>
        <v>2.7</v>
      </c>
      <c r="L147" s="58">
        <f>IF(TYPE($A147)=1,"",-('NO USAR2'!$Q145-L$1)/L$2)</f>
        <v>0.6851542367</v>
      </c>
      <c r="N147" s="63">
        <v>127.0</v>
      </c>
      <c r="O147" s="68" t="str">
        <f>IF('NO USAR2'!B127="",ROW('NO USAR2'!B127),'NO USAR2'!B127)</f>
        <v>Norman Powell</v>
      </c>
      <c r="P147" s="68">
        <f>'NO USAR2'!E128</f>
        <v>76</v>
      </c>
      <c r="Q147" s="68" t="str">
        <f>IF('NO USAR2'!C127="",ROW('NO USAR2'!N142),'NO USAR2'!C127)</f>
        <v>SG/SF</v>
      </c>
      <c r="R147" s="65">
        <f>VLOOKUP($O147,'NO USAR1'!$A$4:$L$399,2,False)+VLOOKUP($O147,'NO USAR1'!$A$4:$L$399,3,False)+VLOOKUP($O147,'NO USAR1'!$A$4:$L$399,4,False)+VLOOKUP($O147,'NO USAR1'!$A$4:$L$399,5,False)+VLOOKUP($O147,'NO USAR1'!$A$4:$L$399,6,False)+VLOOKUP($O147,'NO USAR1'!$A$4:$L$399,7,False)+VLOOKUP($O147,'NO USAR1'!$A$4:$L$399,8,False)+VLOOKUP($O147,'NO USAR1'!$A$4:$L$399,10,False)+VLOOKUP($O147,'NO USAR1'!$A$4:$L$399,12,False)*0</f>
        <v>-2.827850158</v>
      </c>
      <c r="S147" s="65">
        <f>VLOOKUP($O147,'NO USAR1'!$A$4:$L$399,2,False)*$U$19+VLOOKUP($O147,'NO USAR1'!$A$4:$L$399,3,False)*$V$19+VLOOKUP($O147,'NO USAR1'!$A$4:$L$399,4,False)*$W$19+VLOOKUP($O147,'NO USAR1'!$A$4:$L$399,5,False)*$X$19+VLOOKUP($O147,'NO USAR1'!$A$4:$L$399,6,False)*$Y$19+VLOOKUP($O147,'NO USAR1'!$A$4:$L$399,7,False)*$Z$19+VLOOKUP($O147,'NO USAR1'!$A$4:$L$399,8,False)*$AA$19+VLOOKUP($O147,'NO USAR1'!$A$4:$L$399,10,False)*$AB$19+VLOOKUP($O147,'NO USAR1'!$A$4:$L$399,12,False)*$AC$19+IF(Projections!$K$3,-AN147, IF(Projections!$J$3,-AM147,0))</f>
        <v>-2.681245817</v>
      </c>
      <c r="T147" s="65">
        <f t="shared" si="1"/>
        <v>0.1466043414</v>
      </c>
      <c r="U147" s="65">
        <f>VLOOKUP($O147,'NO USAR2'!$B$2:$R$397,11,False)</f>
        <v>16.2</v>
      </c>
      <c r="V147" s="69">
        <f>VLOOKUP($O147,'NO USAR2'!$B$2:$R$397,10,False)</f>
        <v>2.1</v>
      </c>
      <c r="W147" s="65">
        <f>VLOOKUP($O147,'NO USAR2'!$B$2:$R$397,12,False)</f>
        <v>2.7</v>
      </c>
      <c r="X147" s="65">
        <f>VLOOKUP($O147,'NO USAR2'!$B$2:$R$397,13,False)</f>
        <v>1.8</v>
      </c>
      <c r="Y147" s="65">
        <f>VLOOKUP($O147,'NO USAR2'!$B$2:$R$397,14,False)</f>
        <v>0.8</v>
      </c>
      <c r="Z147" s="70">
        <f>VLOOKUP($O147,'NO USAR2'!$B$2:$R$397,15,False)</f>
        <v>0.4</v>
      </c>
      <c r="AA147" s="65">
        <f>100*VLOOKUP($O147,'NO USAR2'!$B$2:$R$397,7,False)</f>
        <v>46.49122807</v>
      </c>
      <c r="AB147" s="65">
        <f>100*VLOOKUP($O147,'NO USAR2'!$B$2:$R$397,9,False)</f>
        <v>83.72093023</v>
      </c>
      <c r="AC147" s="65">
        <f>VLOOKUP($O147,'NO USAR2'!$B$2:$Q$397,16,False)</f>
        <v>1.3</v>
      </c>
      <c r="AD147" s="65">
        <f>VLOOKUP($O147,'NO USAR1'!$A$4:$L$399,2,False)*$U$19</f>
        <v>-0.2005178542</v>
      </c>
      <c r="AE147" s="65">
        <f>VLOOKUP($O147,'NO USAR1'!$A$4:$L$399,3,False)*$V$19</f>
        <v>0.486555559</v>
      </c>
      <c r="AF147" s="65">
        <f>VLOOKUP($O147,'NO USAR1'!$A$4:$L$399,4,False)*$W$19</f>
        <v>-1.377521508</v>
      </c>
      <c r="AG147" s="65">
        <f>VLOOKUP($O147,'NO USAR1'!$A$4:$L$399,5,False)*$X$19</f>
        <v>-1.085466147</v>
      </c>
      <c r="AH147" s="65">
        <f>VLOOKUP($O147,'NO USAR1'!$A$4:$L$399,6,False)*$Y$19</f>
        <v>-0.8340614572</v>
      </c>
      <c r="AI147" s="65">
        <f>VLOOKUP($O147,'NO USAR1'!$A$4:$L$399,7,False)*$Z$19</f>
        <v>0</v>
      </c>
      <c r="AJ147" s="65">
        <f>VLOOKUP($O147,'NO USAR1'!$A$4:$L$399,8,False)*$AA$19</f>
        <v>0</v>
      </c>
      <c r="AK147" s="70">
        <f>VLOOKUP($O147,'NO USAR1'!$A$4:$L$399,10,False)*$AB$19</f>
        <v>0.3297655905</v>
      </c>
      <c r="AL147" s="65">
        <f>VLOOKUP($O147,'NO USAR1'!$A$4:$L$399,12,False)*$AC$19</f>
        <v>0</v>
      </c>
      <c r="AM147" s="71">
        <f t="shared" si="2"/>
        <v>-1.377521508</v>
      </c>
      <c r="AN147" s="71">
        <f t="shared" si="3"/>
        <v>-2.462987655</v>
      </c>
    </row>
    <row r="148">
      <c r="A148" t="str">
        <f>IF('NO USAR2'!B146="",ROW('NO USAR2'!B146),'NO USAR2'!B146)</f>
        <v>Alex Caruso</v>
      </c>
      <c r="B148" s="58">
        <f>IF(TYPE($A148)=1,"",('NO USAR2'!$L146-B$1)/B$2)</f>
        <v>-1.695883028</v>
      </c>
      <c r="C148" s="58">
        <f>IF(TYPE($A148)=1,"",('NO USAR2'!$K146-C$1)/C$2)</f>
        <v>-0.6133955598</v>
      </c>
      <c r="D148" s="58">
        <f>IF(TYPE($A148)=1,"",('NO USAR2'!$M146-D$1)/D$2)</f>
        <v>-1.091770726</v>
      </c>
      <c r="E148" s="58">
        <f>IF(TYPE($A148)=1,"",('NO USAR2'!$N146-E$1)/E$2)</f>
        <v>0.04473621948</v>
      </c>
      <c r="F148" s="58">
        <f>IF(TYPE($A148)=1,"",('NO USAR2'!$O146-F$1)/F$2)</f>
        <v>1.622030044</v>
      </c>
      <c r="G148" s="58">
        <f>IF(TYPE($A148)=1,"",('NO USAR2'!$P146-G$1)/G$2)</f>
        <v>-0.6124445335</v>
      </c>
      <c r="H148" s="58">
        <f>IF(TYPE($A148)=1,"",('NO USAR2'!$H146-H$1)/H$2*I148/$I$1)</f>
        <v>-0.4448469802</v>
      </c>
      <c r="I148" s="58">
        <f>IF(TYPE($A148)=1,"",IF('NO USAR2'!H146=0,0,'NO USAR2'!G146/'NO USAR2'!H146))</f>
        <v>5.9</v>
      </c>
      <c r="J148" s="59">
        <f>IF(TYPE($A148)=1,"",('NO USAR2'!$J146-J$1)/J$2*K148/$K$1)</f>
        <v>-0.1443825605</v>
      </c>
      <c r="K148" s="60">
        <f>IF(TYPE($A148)=1,"",IF('NO USAR2'!J146=0,0,'NO USAR2'!I146/'NO USAR2'!J146))</f>
        <v>1.7</v>
      </c>
      <c r="L148" s="58">
        <f>IF(TYPE($A148)=1,"",-('NO USAR2'!$Q146-L$1)/L$2)</f>
        <v>0.7955196219</v>
      </c>
      <c r="N148" s="2">
        <v>128.0</v>
      </c>
      <c r="O148" s="68" t="str">
        <f>IF('NO USAR2'!B123="",ROW('NO USAR2'!B123),'NO USAR2'!B123)</f>
        <v>Kendrick Nunn</v>
      </c>
      <c r="P148" s="68">
        <f>'NO USAR2'!E129</f>
        <v>70</v>
      </c>
      <c r="Q148" s="68" t="str">
        <f>IF('NO USAR2'!C123="",ROW('NO USAR2'!N138),'NO USAR2'!C123)</f>
        <v>SG</v>
      </c>
      <c r="R148" s="65">
        <f>VLOOKUP($O148,'NO USAR1'!$A$4:$L$399,2,False)+VLOOKUP($O148,'NO USAR1'!$A$4:$L$399,3,False)+VLOOKUP($O148,'NO USAR1'!$A$4:$L$399,4,False)+VLOOKUP($O148,'NO USAR1'!$A$4:$L$399,5,False)+VLOOKUP($O148,'NO USAR1'!$A$4:$L$399,6,False)+VLOOKUP($O148,'NO USAR1'!$A$4:$L$399,7,False)+VLOOKUP($O148,'NO USAR1'!$A$4:$L$399,8,False)+VLOOKUP($O148,'NO USAR1'!$A$4:$L$399,10,False)+VLOOKUP($O148,'NO USAR1'!$A$4:$L$399,12,False)*0</f>
        <v>-2.844869823</v>
      </c>
      <c r="S148" s="65">
        <f>VLOOKUP($O148,'NO USAR1'!$A$4:$L$399,2,False)*$U$19+VLOOKUP($O148,'NO USAR1'!$A$4:$L$399,3,False)*$V$19+VLOOKUP($O148,'NO USAR1'!$A$4:$L$399,4,False)*$W$19+VLOOKUP($O148,'NO USAR1'!$A$4:$L$399,5,False)*$X$19+VLOOKUP($O148,'NO USAR1'!$A$4:$L$399,6,False)*$Y$19+VLOOKUP($O148,'NO USAR1'!$A$4:$L$399,7,False)*$Z$19+VLOOKUP($O148,'NO USAR1'!$A$4:$L$399,8,False)*$AA$19+VLOOKUP($O148,'NO USAR1'!$A$4:$L$399,10,False)*$AB$19+VLOOKUP($O148,'NO USAR1'!$A$4:$L$399,12,False)*$AC$19+IF(Projections!$K$3,-AN148, IF(Projections!$J$3,-AM148,0))</f>
        <v>-2.649789101</v>
      </c>
      <c r="T148" s="65">
        <f t="shared" si="1"/>
        <v>0.1950807218</v>
      </c>
      <c r="U148" s="65">
        <f>VLOOKUP($O148,'NO USAR2'!$B$2:$R$397,11,False)</f>
        <v>13.6</v>
      </c>
      <c r="V148" s="69">
        <f>VLOOKUP($O148,'NO USAR2'!$B$2:$R$397,10,False)</f>
        <v>2.1</v>
      </c>
      <c r="W148" s="65">
        <f>VLOOKUP($O148,'NO USAR2'!$B$2:$R$397,12,False)</f>
        <v>3</v>
      </c>
      <c r="X148" s="65">
        <f>VLOOKUP($O148,'NO USAR2'!$B$2:$R$397,13,False)</f>
        <v>2.4</v>
      </c>
      <c r="Y148" s="65">
        <f>VLOOKUP($O148,'NO USAR2'!$B$2:$R$397,14,False)</f>
        <v>0.9</v>
      </c>
      <c r="Z148" s="70">
        <f>VLOOKUP($O148,'NO USAR2'!$B$2:$R$397,15,False)</f>
        <v>0.3</v>
      </c>
      <c r="AA148" s="65">
        <f>100*VLOOKUP($O148,'NO USAR2'!$B$2:$R$397,7,False)</f>
        <v>48.18181818</v>
      </c>
      <c r="AB148" s="65">
        <f>100*VLOOKUP($O148,'NO USAR2'!$B$2:$R$397,9,False)</f>
        <v>90</v>
      </c>
      <c r="AC148" s="65">
        <f>VLOOKUP($O148,'NO USAR2'!$B$2:$Q$397,16,False)</f>
        <v>1.3</v>
      </c>
      <c r="AD148" s="65">
        <f>VLOOKUP($O148,'NO USAR1'!$A$4:$L$399,2,False)*$U$19</f>
        <v>-0.8928584667</v>
      </c>
      <c r="AE148" s="65">
        <f>VLOOKUP($O148,'NO USAR1'!$A$4:$L$399,3,False)*$V$19</f>
        <v>0.486555559</v>
      </c>
      <c r="AF148" s="65">
        <f>VLOOKUP($O148,'NO USAR1'!$A$4:$L$399,4,False)*$W$19</f>
        <v>-1.255056887</v>
      </c>
      <c r="AG148" s="65">
        <f>VLOOKUP($O148,'NO USAR1'!$A$4:$L$399,5,False)*$X$19</f>
        <v>-0.7430502208</v>
      </c>
      <c r="AH148" s="65">
        <f>VLOOKUP($O148,'NO USAR1'!$A$4:$L$399,6,False)*$Y$19</f>
        <v>-0.4252615982</v>
      </c>
      <c r="AI148" s="65">
        <f>VLOOKUP($O148,'NO USAR1'!$A$4:$L$399,7,False)*$Z$19</f>
        <v>0</v>
      </c>
      <c r="AJ148" s="65">
        <f>VLOOKUP($O148,'NO USAR1'!$A$4:$L$399,8,False)*$AA$19</f>
        <v>0</v>
      </c>
      <c r="AK148" s="70">
        <f>VLOOKUP($O148,'NO USAR1'!$A$4:$L$399,10,False)*$AB$19</f>
        <v>0.1798825122</v>
      </c>
      <c r="AL148" s="65">
        <f>VLOOKUP($O148,'NO USAR1'!$A$4:$L$399,12,False)*$AC$19</f>
        <v>0</v>
      </c>
      <c r="AM148" s="71">
        <f t="shared" si="2"/>
        <v>-1.255056887</v>
      </c>
      <c r="AN148" s="71">
        <f t="shared" si="3"/>
        <v>-2.147915353</v>
      </c>
    </row>
    <row r="149">
      <c r="A149" t="str">
        <f>IF('NO USAR2'!B147="",ROW('NO USAR2'!B147),'NO USAR2'!B147)</f>
        <v>Caleb Martin</v>
      </c>
      <c r="B149" s="58">
        <f>IF(TYPE($A149)=1,"",('NO USAR2'!$L147-B$1)/B$2)</f>
        <v>-1.23432262</v>
      </c>
      <c r="C149" s="58">
        <f>IF(TYPE($A149)=1,"",('NO USAR2'!$K147-C$1)/C$2)</f>
        <v>-0.4134044473</v>
      </c>
      <c r="D149" s="58">
        <f>IF(TYPE($A149)=1,"",('NO USAR2'!$M147-D$1)/D$2)</f>
        <v>-0.7651984031</v>
      </c>
      <c r="E149" s="58">
        <f>IF(TYPE($A149)=1,"",('NO USAR2'!$N147-E$1)/E$2)</f>
        <v>-1.142305659</v>
      </c>
      <c r="F149" s="58">
        <f>IF(TYPE($A149)=1,"",('NO USAR2'!$O147-F$1)/F$2)</f>
        <v>0.3138704957</v>
      </c>
      <c r="G149" s="58">
        <f>IF(TYPE($A149)=1,"",('NO USAR2'!$P147-G$1)/G$2)</f>
        <v>-0.4064530313</v>
      </c>
      <c r="H149" s="58">
        <f>IF(TYPE($A149)=1,"",('NO USAR2'!$H147-H$1)/H$2*I149/$I$1)</f>
        <v>0.09707410906</v>
      </c>
      <c r="I149" s="58">
        <f>IF(TYPE($A149)=1,"",IF('NO USAR2'!H147=0,0,'NO USAR2'!G147/'NO USAR2'!H147))</f>
        <v>7.4</v>
      </c>
      <c r="J149" s="59">
        <f>IF(TYPE($A149)=1,"",('NO USAR2'!$J147-J$1)/J$2*K149/$K$1)</f>
        <v>-0.1443825605</v>
      </c>
      <c r="K149" s="60">
        <f>IF(TYPE($A149)=1,"",IF('NO USAR2'!J147=0,0,'NO USAR2'!I147/'NO USAR2'!J147))</f>
        <v>1.7</v>
      </c>
      <c r="L149" s="58">
        <f>IF(TYPE($A149)=1,"",-('NO USAR2'!$Q147-L$1)/L$2)</f>
        <v>1.126615777</v>
      </c>
      <c r="N149" s="63">
        <v>129.0</v>
      </c>
      <c r="O149" s="68" t="str">
        <f>IF('NO USAR2'!B122="",ROW('NO USAR2'!B122),'NO USAR2'!B122)</f>
        <v>Jalen Smith</v>
      </c>
      <c r="P149" s="68">
        <f>'NO USAR2'!E130</f>
        <v>77</v>
      </c>
      <c r="Q149" s="68" t="str">
        <f>IF('NO USAR2'!C122="",ROW('NO USAR2'!N137),'NO USAR2'!C122)</f>
        <v>PF</v>
      </c>
      <c r="R149" s="65">
        <f>VLOOKUP($O149,'NO USAR1'!$A$4:$L$399,2,False)+VLOOKUP($O149,'NO USAR1'!$A$4:$L$399,3,False)+VLOOKUP($O149,'NO USAR1'!$A$4:$L$399,4,False)+VLOOKUP($O149,'NO USAR1'!$A$4:$L$399,5,False)+VLOOKUP($O149,'NO USAR1'!$A$4:$L$399,6,False)+VLOOKUP($O149,'NO USAR1'!$A$4:$L$399,7,False)+VLOOKUP($O149,'NO USAR1'!$A$4:$L$399,8,False)+VLOOKUP($O149,'NO USAR1'!$A$4:$L$399,10,False)+VLOOKUP($O149,'NO USAR1'!$A$4:$L$399,12,False)*0</f>
        <v>-2.897777922</v>
      </c>
      <c r="S149" s="65">
        <f>VLOOKUP($O149,'NO USAR1'!$A$4:$L$399,2,False)*$U$19+VLOOKUP($O149,'NO USAR1'!$A$4:$L$399,3,False)*$V$19+VLOOKUP($O149,'NO USAR1'!$A$4:$L$399,4,False)*$W$19+VLOOKUP($O149,'NO USAR1'!$A$4:$L$399,5,False)*$X$19+VLOOKUP($O149,'NO USAR1'!$A$4:$L$399,6,False)*$Y$19+VLOOKUP($O149,'NO USAR1'!$A$4:$L$399,7,False)*$Z$19+VLOOKUP($O149,'NO USAR1'!$A$4:$L$399,8,False)*$AA$19+VLOOKUP($O149,'NO USAR1'!$A$4:$L$399,10,False)*$AB$19+VLOOKUP($O149,'NO USAR1'!$A$4:$L$399,12,False)*$AC$19+IF(Projections!$K$3,-AN149, IF(Projections!$J$3,-AM149,0))</f>
        <v>-4.554178215</v>
      </c>
      <c r="T149" s="65">
        <f t="shared" si="1"/>
        <v>-1.656400293</v>
      </c>
      <c r="U149" s="65">
        <f>VLOOKUP($O149,'NO USAR2'!$B$2:$R$397,11,False)</f>
        <v>13.5</v>
      </c>
      <c r="V149" s="69">
        <f>VLOOKUP($O149,'NO USAR2'!$B$2:$R$397,10,False)</f>
        <v>1.3</v>
      </c>
      <c r="W149" s="65">
        <f>VLOOKUP($O149,'NO USAR2'!$B$2:$R$397,12,False)</f>
        <v>7.5</v>
      </c>
      <c r="X149" s="65">
        <f>VLOOKUP($O149,'NO USAR2'!$B$2:$R$397,13,False)</f>
        <v>0.8</v>
      </c>
      <c r="Y149" s="65">
        <f>VLOOKUP($O149,'NO USAR2'!$B$2:$R$397,14,False)</f>
        <v>0.5</v>
      </c>
      <c r="Z149" s="70">
        <f>VLOOKUP($O149,'NO USAR2'!$B$2:$R$397,15,False)</f>
        <v>1.1</v>
      </c>
      <c r="AA149" s="65">
        <f>100*VLOOKUP($O149,'NO USAR2'!$B$2:$R$397,7,False)</f>
        <v>48.57142857</v>
      </c>
      <c r="AB149" s="65">
        <f>100*VLOOKUP($O149,'NO USAR2'!$B$2:$R$397,9,False)</f>
        <v>75</v>
      </c>
      <c r="AC149" s="65">
        <f>VLOOKUP($O149,'NO USAR2'!$B$2:$Q$397,16,False)</f>
        <v>1.3</v>
      </c>
      <c r="AD149" s="65">
        <f>VLOOKUP($O149,'NO USAR1'!$A$4:$L$399,2,False)*$U$19</f>
        <v>-0.9194869518</v>
      </c>
      <c r="AE149" s="65">
        <f>VLOOKUP($O149,'NO USAR1'!$A$4:$L$399,3,False)*$V$19</f>
        <v>-0.3134088911</v>
      </c>
      <c r="AF149" s="65">
        <f>VLOOKUP($O149,'NO USAR1'!$A$4:$L$399,4,False)*$W$19</f>
        <v>0.5819124269</v>
      </c>
      <c r="AG149" s="65">
        <f>VLOOKUP($O149,'NO USAR1'!$A$4:$L$399,5,False)*$X$19</f>
        <v>-1.656159358</v>
      </c>
      <c r="AH149" s="65">
        <f>VLOOKUP($O149,'NO USAR1'!$A$4:$L$399,6,False)*$Y$19</f>
        <v>-2.060461034</v>
      </c>
      <c r="AI149" s="65">
        <f>VLOOKUP($O149,'NO USAR1'!$A$4:$L$399,7,False)*$Z$19</f>
        <v>0</v>
      </c>
      <c r="AJ149" s="65">
        <f>VLOOKUP($O149,'NO USAR1'!$A$4:$L$399,8,False)*$AA$19</f>
        <v>0</v>
      </c>
      <c r="AK149" s="70">
        <f>VLOOKUP($O149,'NO USAR1'!$A$4:$L$399,10,False)*$AB$19</f>
        <v>-0.1865744068</v>
      </c>
      <c r="AL149" s="65">
        <f>VLOOKUP($O149,'NO USAR1'!$A$4:$L$399,12,False)*$AC$19</f>
        <v>0</v>
      </c>
      <c r="AM149" s="71">
        <f t="shared" si="2"/>
        <v>-2.060461034</v>
      </c>
      <c r="AN149" s="71">
        <f t="shared" si="3"/>
        <v>-3.716620392</v>
      </c>
    </row>
    <row r="150">
      <c r="A150" t="str">
        <f>IF('NO USAR2'!B148="",ROW('NO USAR2'!B148),'NO USAR2'!B148)</f>
        <v>Markelle Fultz</v>
      </c>
      <c r="B150" s="58">
        <f>IF(TYPE($A150)=1,"",('NO USAR2'!$L148-B$1)/B$2)</f>
        <v>-0.5242296842</v>
      </c>
      <c r="C150" s="58">
        <f>IF(TYPE($A150)=1,"",('NO USAR2'!$K148-C$1)/C$2)</f>
        <v>-1.313364454</v>
      </c>
      <c r="D150" s="58">
        <f>IF(TYPE($A150)=1,"",('NO USAR2'!$M148-D$1)/D$2)</f>
        <v>-1.050949185</v>
      </c>
      <c r="E150" s="58">
        <f>IF(TYPE($A150)=1,"",('NO USAR2'!$N148-E$1)/E$2)</f>
        <v>0.5926017018</v>
      </c>
      <c r="F150" s="58">
        <f>IF(TYPE($A150)=1,"",('NO USAR2'!$O148-F$1)/F$2)</f>
        <v>-0.01316939143</v>
      </c>
      <c r="G150" s="58">
        <f>IF(TYPE($A150)=1,"",('NO USAR2'!$P148-G$1)/G$2)</f>
        <v>-0.8184360358</v>
      </c>
      <c r="H150" s="58">
        <f>IF(TYPE($A150)=1,"",('NO USAR2'!$H148-H$1)/H$2*I150/$I$1)</f>
        <v>-0.4123590331</v>
      </c>
      <c r="I150" s="58">
        <f>IF(TYPE($A150)=1,"",IF('NO USAR2'!H148=0,0,'NO USAR2'!G148/'NO USAR2'!H148))</f>
        <v>12.8</v>
      </c>
      <c r="J150" s="59">
        <f>IF(TYPE($A150)=1,"",('NO USAR2'!$J148-J$1)/J$2*K150/$K$1)</f>
        <v>0.1998441044</v>
      </c>
      <c r="K150" s="60">
        <f>IF(TYPE($A150)=1,"",IF('NO USAR2'!J148=0,0,'NO USAR2'!I148/'NO USAR2'!J148))</f>
        <v>2.2</v>
      </c>
      <c r="L150" s="58">
        <f>IF(TYPE($A150)=1,"",-('NO USAR2'!$Q148-L$1)/L$2)</f>
        <v>-0.528865</v>
      </c>
      <c r="N150" s="63">
        <v>130.0</v>
      </c>
      <c r="O150" s="68" t="str">
        <f>IF('NO USAR2'!B146="",ROW('NO USAR2'!B146),'NO USAR2'!B146)</f>
        <v>Alex Caruso</v>
      </c>
      <c r="P150" s="68">
        <f>'NO USAR2'!E131</f>
        <v>73</v>
      </c>
      <c r="Q150" s="68" t="str">
        <f>IF('NO USAR2'!C146="",ROW('NO USAR2'!N161),'NO USAR2'!C146)</f>
        <v>PG/SG</v>
      </c>
      <c r="R150" s="65">
        <f>VLOOKUP($O150,'NO USAR1'!$A$4:$L$399,2,False)+VLOOKUP($O150,'NO USAR1'!$A$4:$L$399,3,False)+VLOOKUP($O150,'NO USAR1'!$A$4:$L$399,4,False)+VLOOKUP($O150,'NO USAR1'!$A$4:$L$399,5,False)+VLOOKUP($O150,'NO USAR1'!$A$4:$L$399,6,False)+VLOOKUP($O150,'NO USAR1'!$A$4:$L$399,7,False)+VLOOKUP($O150,'NO USAR1'!$A$4:$L$399,8,False)+VLOOKUP($O150,'NO USAR1'!$A$4:$L$399,10,False)+VLOOKUP($O150,'NO USAR1'!$A$4:$L$399,12,False)*0</f>
        <v>-2.935957124</v>
      </c>
      <c r="S150" s="65">
        <f>VLOOKUP($O150,'NO USAR1'!$A$4:$L$399,2,False)*$U$19+VLOOKUP($O150,'NO USAR1'!$A$4:$L$399,3,False)*$V$19+VLOOKUP($O150,'NO USAR1'!$A$4:$L$399,4,False)*$W$19+VLOOKUP($O150,'NO USAR1'!$A$4:$L$399,5,False)*$X$19+VLOOKUP($O150,'NO USAR1'!$A$4:$L$399,6,False)*$Y$19+VLOOKUP($O150,'NO USAR1'!$A$4:$L$399,7,False)*$Z$19+VLOOKUP($O150,'NO USAR1'!$A$4:$L$399,8,False)*$AA$19+VLOOKUP($O150,'NO USAR1'!$A$4:$L$399,10,False)*$AB$19+VLOOKUP($O150,'NO USAR1'!$A$4:$L$399,12,False)*$AC$19+IF(Projections!$K$3,-AN150, IF(Projections!$J$3,-AM150,0))</f>
        <v>-2.237724279</v>
      </c>
      <c r="T150" s="65">
        <f t="shared" si="1"/>
        <v>0.6982328457</v>
      </c>
      <c r="U150" s="65">
        <f>VLOOKUP($O150,'NO USAR2'!$B$2:$R$397,11,False)</f>
        <v>7.4</v>
      </c>
      <c r="V150" s="69">
        <f>VLOOKUP($O150,'NO USAR2'!$B$2:$R$397,10,False)</f>
        <v>1</v>
      </c>
      <c r="W150" s="65">
        <f>VLOOKUP($O150,'NO USAR2'!$B$2:$R$397,12,False)</f>
        <v>3.4</v>
      </c>
      <c r="X150" s="65">
        <f>VLOOKUP($O150,'NO USAR2'!$B$2:$R$397,13,False)</f>
        <v>3.8</v>
      </c>
      <c r="Y150" s="65">
        <f>VLOOKUP($O150,'NO USAR2'!$B$2:$R$397,14,False)</f>
        <v>1.5</v>
      </c>
      <c r="Z150" s="70">
        <f>VLOOKUP($O150,'NO USAR2'!$B$2:$R$397,15,False)</f>
        <v>0.4</v>
      </c>
      <c r="AA150" s="65">
        <f>100*VLOOKUP($O150,'NO USAR2'!$B$2:$R$397,7,False)</f>
        <v>42.37288136</v>
      </c>
      <c r="AB150" s="65">
        <f>100*VLOOKUP($O150,'NO USAR2'!$B$2:$R$397,9,False)</f>
        <v>76.47058824</v>
      </c>
      <c r="AC150" s="65">
        <f>VLOOKUP($O150,'NO USAR2'!$B$2:$Q$397,16,False)</f>
        <v>1.3</v>
      </c>
      <c r="AD150" s="65">
        <f>VLOOKUP($O150,'NO USAR1'!$A$4:$L$399,2,False)*$U$19</f>
        <v>-2.543824543</v>
      </c>
      <c r="AE150" s="65">
        <f>VLOOKUP($O150,'NO USAR1'!$A$4:$L$399,3,False)*$V$19</f>
        <v>-0.6133955598</v>
      </c>
      <c r="AF150" s="65">
        <f>VLOOKUP($O150,'NO USAR1'!$A$4:$L$399,4,False)*$W$19</f>
        <v>-1.091770726</v>
      </c>
      <c r="AG150" s="65">
        <f>VLOOKUP($O150,'NO USAR1'!$A$4:$L$399,5,False)*$X$19</f>
        <v>0.05592027435</v>
      </c>
      <c r="AH150" s="65">
        <f>VLOOKUP($O150,'NO USAR1'!$A$4:$L$399,6,False)*$Y$19</f>
        <v>2.027537555</v>
      </c>
      <c r="AI150" s="65">
        <f>VLOOKUP($O150,'NO USAR1'!$A$4:$L$399,7,False)*$Z$19</f>
        <v>0</v>
      </c>
      <c r="AJ150" s="65">
        <f>VLOOKUP($O150,'NO USAR1'!$A$4:$L$399,8,False)*$AA$19</f>
        <v>0</v>
      </c>
      <c r="AK150" s="70">
        <f>VLOOKUP($O150,'NO USAR1'!$A$4:$L$399,10,False)*$AB$19</f>
        <v>-0.07219128025</v>
      </c>
      <c r="AL150" s="65">
        <f>VLOOKUP($O150,'NO USAR1'!$A$4:$L$399,12,False)*$AC$19</f>
        <v>0</v>
      </c>
      <c r="AM150" s="71">
        <f t="shared" si="2"/>
        <v>-2.543824543</v>
      </c>
      <c r="AN150" s="71">
        <f t="shared" si="3"/>
        <v>-3.635595268</v>
      </c>
    </row>
    <row r="151">
      <c r="A151" t="str">
        <f>IF('NO USAR2'!B149="",ROW('NO USAR2'!B149),'NO USAR2'!B149)</f>
        <v>Bojan Bogdanovic</v>
      </c>
      <c r="B151" s="58">
        <f>IF(TYPE($A151)=1,"",('NO USAR2'!$L149-B$1)/B$2)</f>
        <v>0.0438446645</v>
      </c>
      <c r="C151" s="58">
        <f>IF(TYPE($A151)=1,"",('NO USAR2'!$K149-C$1)/C$2)</f>
        <v>0.886537784</v>
      </c>
      <c r="D151" s="58">
        <f>IF(TYPE($A151)=1,"",('NO USAR2'!$M149-D$1)/D$2)</f>
        <v>-0.8468414838</v>
      </c>
      <c r="E151" s="58">
        <f>IF(TYPE($A151)=1,"",('NO USAR2'!$N149-E$1)/E$2)</f>
        <v>-0.9596838315</v>
      </c>
      <c r="F151" s="58">
        <f>IF(TYPE($A151)=1,"",('NO USAR2'!$O149-F$1)/F$2)</f>
        <v>-1.648368827</v>
      </c>
      <c r="G151" s="58">
        <f>IF(TYPE($A151)=1,"",('NO USAR2'!$P149-G$1)/G$2)</f>
        <v>-1.436410543</v>
      </c>
      <c r="H151" s="58">
        <f>IF(TYPE($A151)=1,"",('NO USAR2'!$H149-H$1)/H$2*I151/$I$1)</f>
        <v>-0.5851285225</v>
      </c>
      <c r="I151" s="58">
        <f>IF(TYPE($A151)=1,"",IF('NO USAR2'!H149=0,0,'NO USAR2'!G149/'NO USAR2'!H149))</f>
        <v>12.9</v>
      </c>
      <c r="J151" s="59">
        <f>IF(TYPE($A151)=1,"",('NO USAR2'!$J149-J$1)/J$2*K151/$K$1)</f>
        <v>0.8349904607</v>
      </c>
      <c r="K151" s="60">
        <f>IF(TYPE($A151)=1,"",IF('NO USAR2'!J149=0,0,'NO USAR2'!I149/'NO USAR2'!J149))</f>
        <v>3.6</v>
      </c>
      <c r="L151" s="58">
        <f>IF(TYPE($A151)=1,"",-('NO USAR2'!$Q149-L$1)/L$2)</f>
        <v>0.4644234664</v>
      </c>
      <c r="N151" s="2">
        <v>131.0</v>
      </c>
      <c r="O151" s="68" t="str">
        <f>IF('NO USAR2'!B132="",ROW('NO USAR2'!B132),'NO USAR2'!B132)</f>
        <v>Otto Porter Jr.</v>
      </c>
      <c r="P151" s="68">
        <f>'NO USAR2'!E132</f>
        <v>63</v>
      </c>
      <c r="Q151" s="68" t="str">
        <f>IF('NO USAR2'!C132="",ROW('NO USAR2'!N147),'NO USAR2'!C132)</f>
        <v>SF</v>
      </c>
      <c r="R151" s="65">
        <f>VLOOKUP($O151,'NO USAR1'!$A$4:$L$399,2,False)+VLOOKUP($O151,'NO USAR1'!$A$4:$L$399,3,False)+VLOOKUP($O151,'NO USAR1'!$A$4:$L$399,4,False)+VLOOKUP($O151,'NO USAR1'!$A$4:$L$399,5,False)+VLOOKUP($O151,'NO USAR1'!$A$4:$L$399,6,False)+VLOOKUP($O151,'NO USAR1'!$A$4:$L$399,7,False)+VLOOKUP($O151,'NO USAR1'!$A$4:$L$399,8,False)+VLOOKUP($O151,'NO USAR1'!$A$4:$L$399,10,False)+VLOOKUP($O151,'NO USAR1'!$A$4:$L$399,12,False)*0</f>
        <v>-3.038283563</v>
      </c>
      <c r="S151" s="65">
        <f>VLOOKUP($O151,'NO USAR1'!$A$4:$L$399,2,False)*$U$19+VLOOKUP($O151,'NO USAR1'!$A$4:$L$399,3,False)*$V$19+VLOOKUP($O151,'NO USAR1'!$A$4:$L$399,4,False)*$W$19+VLOOKUP($O151,'NO USAR1'!$A$4:$L$399,5,False)*$X$19+VLOOKUP($O151,'NO USAR1'!$A$4:$L$399,6,False)*$Y$19+VLOOKUP($O151,'NO USAR1'!$A$4:$L$399,7,False)*$Z$19+VLOOKUP($O151,'NO USAR1'!$A$4:$L$399,8,False)*$AA$19+VLOOKUP($O151,'NO USAR1'!$A$4:$L$399,10,False)*$AB$19+VLOOKUP($O151,'NO USAR1'!$A$4:$L$399,12,False)*$AC$19+IF(Projections!$K$3,-AN151, IF(Projections!$J$3,-AM151,0))</f>
        <v>-3.484349947</v>
      </c>
      <c r="T151" s="65">
        <f t="shared" si="1"/>
        <v>-0.4460663834</v>
      </c>
      <c r="U151" s="65">
        <f>VLOOKUP($O151,'NO USAR2'!$B$2:$R$397,11,False)</f>
        <v>8.5</v>
      </c>
      <c r="V151" s="69">
        <f>VLOOKUP($O151,'NO USAR2'!$B$2:$R$397,10,False)</f>
        <v>1.3</v>
      </c>
      <c r="W151" s="65">
        <f>VLOOKUP($O151,'NO USAR2'!$B$2:$R$397,12,False)</f>
        <v>5.9</v>
      </c>
      <c r="X151" s="65">
        <f>VLOOKUP($O151,'NO USAR2'!$B$2:$R$397,13,False)</f>
        <v>1.5</v>
      </c>
      <c r="Y151" s="65">
        <f>VLOOKUP($O151,'NO USAR2'!$B$2:$R$397,14,False)</f>
        <v>1.1</v>
      </c>
      <c r="Z151" s="70">
        <f>VLOOKUP($O151,'NO USAR2'!$B$2:$R$397,15,False)</f>
        <v>0.5</v>
      </c>
      <c r="AA151" s="65">
        <f>100*VLOOKUP($O151,'NO USAR2'!$B$2:$R$397,7,False)</f>
        <v>47.76119403</v>
      </c>
      <c r="AB151" s="65">
        <f>100*VLOOKUP($O151,'NO USAR2'!$B$2:$R$397,9,False)</f>
        <v>80</v>
      </c>
      <c r="AC151" s="65">
        <f>VLOOKUP($O151,'NO USAR2'!$B$2:$Q$397,16,False)</f>
        <v>0.6</v>
      </c>
      <c r="AD151" s="65">
        <f>VLOOKUP($O151,'NO USAR1'!$A$4:$L$399,2,False)*$U$19</f>
        <v>-2.250911207</v>
      </c>
      <c r="AE151" s="65">
        <f>VLOOKUP($O151,'NO USAR1'!$A$4:$L$399,3,False)*$V$19</f>
        <v>-0.3134088911</v>
      </c>
      <c r="AF151" s="65">
        <f>VLOOKUP($O151,'NO USAR1'!$A$4:$L$399,4,False)*$W$19</f>
        <v>-0.07123221798</v>
      </c>
      <c r="AG151" s="65">
        <f>VLOOKUP($O151,'NO USAR1'!$A$4:$L$399,5,False)*$X$19</f>
        <v>-1.25667411</v>
      </c>
      <c r="AH151" s="65">
        <f>VLOOKUP($O151,'NO USAR1'!$A$4:$L$399,6,False)*$Y$19</f>
        <v>0.3923381197</v>
      </c>
      <c r="AI151" s="65">
        <f>VLOOKUP($O151,'NO USAR1'!$A$4:$L$399,7,False)*$Z$19</f>
        <v>0</v>
      </c>
      <c r="AJ151" s="65">
        <f>VLOOKUP($O151,'NO USAR1'!$A$4:$L$399,8,False)*$AA$19</f>
        <v>0</v>
      </c>
      <c r="AK151" s="70">
        <f>VLOOKUP($O151,'NO USAR1'!$A$4:$L$399,10,False)*$AB$19</f>
        <v>0.01553835961</v>
      </c>
      <c r="AL151" s="65">
        <f>VLOOKUP($O151,'NO USAR1'!$A$4:$L$399,12,False)*$AC$19</f>
        <v>0</v>
      </c>
      <c r="AM151" s="71">
        <f t="shared" si="2"/>
        <v>-2.250911207</v>
      </c>
      <c r="AN151" s="71">
        <f t="shared" si="3"/>
        <v>-3.507585317</v>
      </c>
    </row>
    <row r="152">
      <c r="A152" t="str">
        <f>IF('NO USAR2'!B150="",ROW('NO USAR2'!B150),'NO USAR2'!B150)</f>
        <v>Jae'Sean Tate</v>
      </c>
      <c r="B152" s="58">
        <f>IF(TYPE($A152)=1,"",('NO USAR2'!$L150-B$1)/B$2)</f>
        <v>-0.8615238287</v>
      </c>
      <c r="C152" s="58">
        <f>IF(TYPE($A152)=1,"",('NO USAR2'!$K150-C$1)/C$2)</f>
        <v>-0.8133866724</v>
      </c>
      <c r="D152" s="58">
        <f>IF(TYPE($A152)=1,"",('NO USAR2'!$M150-D$1)/D$2)</f>
        <v>-0.2345183792</v>
      </c>
      <c r="E152" s="58">
        <f>IF(TYPE($A152)=1,"",('NO USAR2'!$N150-E$1)/E$2)</f>
        <v>-0.3661628923</v>
      </c>
      <c r="F152" s="58">
        <f>IF(TYPE($A152)=1,"",('NO USAR2'!$O150-F$1)/F$2)</f>
        <v>-0.3402092786</v>
      </c>
      <c r="G152" s="58">
        <f>IF(TYPE($A152)=1,"",('NO USAR2'!$P150-G$1)/G$2)</f>
        <v>-0.4064530313</v>
      </c>
      <c r="H152" s="58">
        <f>IF(TYPE($A152)=1,"",('NO USAR2'!$H150-H$1)/H$2*I152/$I$1)</f>
        <v>0.1259339793</v>
      </c>
      <c r="I152" s="58">
        <f>IF(TYPE($A152)=1,"",IF('NO USAR2'!H150=0,0,'NO USAR2'!G150/'NO USAR2'!H150))</f>
        <v>9.6</v>
      </c>
      <c r="J152" s="59">
        <f>IF(TYPE($A152)=1,"",('NO USAR2'!$J150-J$1)/J$2*K152/$K$1)</f>
        <v>-0.9083731177</v>
      </c>
      <c r="K152" s="60">
        <f>IF(TYPE($A152)=1,"",IF('NO USAR2'!J150=0,0,'NO USAR2'!I150/'NO USAR2'!J150))</f>
        <v>2.5</v>
      </c>
      <c r="L152" s="58">
        <f>IF(TYPE($A152)=1,"",-('NO USAR2'!$Q150-L$1)/L$2)</f>
        <v>0.2436926961</v>
      </c>
      <c r="N152" s="63">
        <v>132.0</v>
      </c>
      <c r="O152" s="68" t="str">
        <f>IF('NO USAR2'!B130="",ROW('NO USAR2'!B130),'NO USAR2'!B130)</f>
        <v>Harrison Barnes</v>
      </c>
      <c r="P152" s="68">
        <f>'NO USAR2'!E133</f>
        <v>73</v>
      </c>
      <c r="Q152" s="68" t="str">
        <f>IF('NO USAR2'!C130="",ROW('NO USAR2'!N145),'NO USAR2'!C130)</f>
        <v>SF/PF</v>
      </c>
      <c r="R152" s="65">
        <f>VLOOKUP($O152,'NO USAR1'!$A$4:$L$399,2,False)+VLOOKUP($O152,'NO USAR1'!$A$4:$L$399,3,False)+VLOOKUP($O152,'NO USAR1'!$A$4:$L$399,4,False)+VLOOKUP($O152,'NO USAR1'!$A$4:$L$399,5,False)+VLOOKUP($O152,'NO USAR1'!$A$4:$L$399,6,False)+VLOOKUP($O152,'NO USAR1'!$A$4:$L$399,7,False)+VLOOKUP($O152,'NO USAR1'!$A$4:$L$399,8,False)+VLOOKUP($O152,'NO USAR1'!$A$4:$L$399,10,False)+VLOOKUP($O152,'NO USAR1'!$A$4:$L$399,12,False)*0</f>
        <v>-3.045845648</v>
      </c>
      <c r="S152" s="65">
        <f>VLOOKUP($O152,'NO USAR1'!$A$4:$L$399,2,False)*$U$19+VLOOKUP($O152,'NO USAR1'!$A$4:$L$399,3,False)*$V$19+VLOOKUP($O152,'NO USAR1'!$A$4:$L$399,4,False)*$W$19+VLOOKUP($O152,'NO USAR1'!$A$4:$L$399,5,False)*$X$19+VLOOKUP($O152,'NO USAR1'!$A$4:$L$399,6,False)*$Y$19+VLOOKUP($O152,'NO USAR1'!$A$4:$L$399,7,False)*$Z$19+VLOOKUP($O152,'NO USAR1'!$A$4:$L$399,8,False)*$AA$19+VLOOKUP($O152,'NO USAR1'!$A$4:$L$399,10,False)*$AB$19+VLOOKUP($O152,'NO USAR1'!$A$4:$L$399,12,False)*$AC$19+IF(Projections!$K$3,-AN152, IF(Projections!$J$3,-AM152,0))</f>
        <v>-2.760711965</v>
      </c>
      <c r="T152" s="65">
        <f t="shared" si="1"/>
        <v>0.2851336837</v>
      </c>
      <c r="U152" s="65">
        <f>VLOOKUP($O152,'NO USAR2'!$B$2:$R$397,11,False)</f>
        <v>14.7</v>
      </c>
      <c r="V152" s="69">
        <f>VLOOKUP($O152,'NO USAR2'!$B$2:$R$397,10,False)</f>
        <v>1.7</v>
      </c>
      <c r="W152" s="65">
        <f>VLOOKUP($O152,'NO USAR2'!$B$2:$R$397,12,False)</f>
        <v>5</v>
      </c>
      <c r="X152" s="65">
        <f>VLOOKUP($O152,'NO USAR2'!$B$2:$R$397,13,False)</f>
        <v>2.3</v>
      </c>
      <c r="Y152" s="65">
        <f>VLOOKUP($O152,'NO USAR2'!$B$2:$R$397,14,False)</f>
        <v>0.7</v>
      </c>
      <c r="Z152" s="70">
        <f>VLOOKUP($O152,'NO USAR2'!$B$2:$R$397,15,False)</f>
        <v>0.2</v>
      </c>
      <c r="AA152" s="65">
        <f>100*VLOOKUP($O152,'NO USAR2'!$B$2:$R$397,7,False)</f>
        <v>47.95918367</v>
      </c>
      <c r="AB152" s="65">
        <f>100*VLOOKUP($O152,'NO USAR2'!$B$2:$R$397,9,False)</f>
        <v>82.22222222</v>
      </c>
      <c r="AC152" s="65">
        <f>VLOOKUP($O152,'NO USAR2'!$B$2:$Q$397,16,False)</f>
        <v>1.4</v>
      </c>
      <c r="AD152" s="65">
        <f>VLOOKUP($O152,'NO USAR1'!$A$4:$L$399,2,False)*$U$19</f>
        <v>-0.5999451306</v>
      </c>
      <c r="AE152" s="65">
        <f>VLOOKUP($O152,'NO USAR1'!$A$4:$L$399,3,False)*$V$19</f>
        <v>0.08657333394</v>
      </c>
      <c r="AF152" s="65">
        <f>VLOOKUP($O152,'NO USAR1'!$A$4:$L$399,4,False)*$W$19</f>
        <v>-0.4386260807</v>
      </c>
      <c r="AG152" s="65">
        <f>VLOOKUP($O152,'NO USAR1'!$A$4:$L$399,5,False)*$X$19</f>
        <v>-0.8001195418</v>
      </c>
      <c r="AH152" s="65">
        <f>VLOOKUP($O152,'NO USAR1'!$A$4:$L$399,6,False)*$Y$19</f>
        <v>-1.242861316</v>
      </c>
      <c r="AI152" s="65">
        <f>VLOOKUP($O152,'NO USAR1'!$A$4:$L$399,7,False)*$Z$19</f>
        <v>0</v>
      </c>
      <c r="AJ152" s="65">
        <f>VLOOKUP($O152,'NO USAR1'!$A$4:$L$399,8,False)*$AA$19</f>
        <v>0</v>
      </c>
      <c r="AK152" s="70">
        <f>VLOOKUP($O152,'NO USAR1'!$A$4:$L$399,10,False)*$AB$19</f>
        <v>0.2342667709</v>
      </c>
      <c r="AL152" s="65">
        <f>VLOOKUP($O152,'NO USAR1'!$A$4:$L$399,12,False)*$AC$19</f>
        <v>0</v>
      </c>
      <c r="AM152" s="71">
        <f t="shared" si="2"/>
        <v>-1.242861316</v>
      </c>
      <c r="AN152" s="71">
        <f t="shared" si="3"/>
        <v>-2.042980858</v>
      </c>
    </row>
    <row r="153">
      <c r="A153" t="str">
        <f>IF('NO USAR2'!B151="",ROW('NO USAR2'!B151),'NO USAR2'!B151)</f>
        <v>Kelly Oubre Jr.</v>
      </c>
      <c r="B153" s="58">
        <f>IF(TYPE($A153)=1,"",('NO USAR2'!$L151-B$1)/B$2)</f>
        <v>-0.1336785695</v>
      </c>
      <c r="C153" s="58">
        <f>IF(TYPE($A153)=1,"",('NO USAR2'!$K151-C$1)/C$2)</f>
        <v>1.086528896</v>
      </c>
      <c r="D153" s="58">
        <f>IF(TYPE($A153)=1,"",('NO USAR2'!$M151-D$1)/D$2)</f>
        <v>-0.7651984031</v>
      </c>
      <c r="E153" s="58">
        <f>IF(TYPE($A153)=1,"",('NO USAR2'!$N151-E$1)/E$2)</f>
        <v>-1.142305659</v>
      </c>
      <c r="F153" s="58">
        <f>IF(TYPE($A153)=1,"",('NO USAR2'!$O151-F$1)/F$2)</f>
        <v>0.3138704957</v>
      </c>
      <c r="G153" s="58">
        <f>IF(TYPE($A153)=1,"",('NO USAR2'!$P151-G$1)/G$2)</f>
        <v>-0.6124445335</v>
      </c>
      <c r="H153" s="58">
        <f>IF(TYPE($A153)=1,"",('NO USAR2'!$H151-H$1)/H$2*I153/$I$1)</f>
        <v>-0.8119896756</v>
      </c>
      <c r="I153" s="58">
        <f>IF(TYPE($A153)=1,"",IF('NO USAR2'!H151=0,0,'NO USAR2'!G151/'NO USAR2'!H151))</f>
        <v>13.3</v>
      </c>
      <c r="J153" s="59">
        <f>IF(TYPE($A153)=1,"",('NO USAR2'!$J151-J$1)/J$2*K153/$K$1)</f>
        <v>-1.099370757</v>
      </c>
      <c r="K153" s="60">
        <f>IF(TYPE($A153)=1,"",IF('NO USAR2'!J151=0,0,'NO USAR2'!I151/'NO USAR2'!J151))</f>
        <v>2.7</v>
      </c>
      <c r="L153" s="58">
        <f>IF(TYPE($A153)=1,"",-('NO USAR2'!$Q151-L$1)/L$2)</f>
        <v>1.126615777</v>
      </c>
      <c r="N153" s="63">
        <v>133.0</v>
      </c>
      <c r="O153" s="68" t="str">
        <f>IF('NO USAR2'!B160="",ROW('NO USAR2'!B160),'NO USAR2'!B160)</f>
        <v>Chris Duarte</v>
      </c>
      <c r="P153" s="68">
        <f>'NO USAR2'!E134</f>
        <v>67</v>
      </c>
      <c r="Q153" s="68" t="str">
        <f>IF('NO USAR2'!C160="",ROW('NO USAR2'!N175),'NO USAR2'!C160)</f>
        <v>SG</v>
      </c>
      <c r="R153" s="65">
        <f>VLOOKUP($O153,'NO USAR1'!$A$4:$L$399,2,False)+VLOOKUP($O153,'NO USAR1'!$A$4:$L$399,3,False)+VLOOKUP($O153,'NO USAR1'!$A$4:$L$399,4,False)+VLOOKUP($O153,'NO USAR1'!$A$4:$L$399,5,False)+VLOOKUP($O153,'NO USAR1'!$A$4:$L$399,6,False)+VLOOKUP($O153,'NO USAR1'!$A$4:$L$399,7,False)+VLOOKUP($O153,'NO USAR1'!$A$4:$L$399,8,False)+VLOOKUP($O153,'NO USAR1'!$A$4:$L$399,10,False)+VLOOKUP($O153,'NO USAR1'!$A$4:$L$399,12,False)*0</f>
        <v>-3.059400188</v>
      </c>
      <c r="S153" s="65">
        <f>VLOOKUP($O153,'NO USAR1'!$A$4:$L$399,2,False)*$U$19+VLOOKUP($O153,'NO USAR1'!$A$4:$L$399,3,False)*$V$19+VLOOKUP($O153,'NO USAR1'!$A$4:$L$399,4,False)*$W$19+VLOOKUP($O153,'NO USAR1'!$A$4:$L$399,5,False)*$X$19+VLOOKUP($O153,'NO USAR1'!$A$4:$L$399,6,False)*$Y$19+VLOOKUP($O153,'NO USAR1'!$A$4:$L$399,7,False)*$Z$19+VLOOKUP($O153,'NO USAR1'!$A$4:$L$399,8,False)*$AA$19+VLOOKUP($O153,'NO USAR1'!$A$4:$L$399,10,False)*$AB$19+VLOOKUP($O153,'NO USAR1'!$A$4:$L$399,12,False)*$AC$19+IF(Projections!$K$3,-AN153, IF(Projections!$J$3,-AM153,0))</f>
        <v>-1.750132342</v>
      </c>
      <c r="T153" s="65">
        <f t="shared" si="1"/>
        <v>1.309267846</v>
      </c>
      <c r="U153" s="65">
        <f>VLOOKUP($O153,'NO USAR2'!$B$2:$R$397,11,False)</f>
        <v>13.9</v>
      </c>
      <c r="V153" s="69">
        <f>VLOOKUP($O153,'NO USAR2'!$B$2:$R$397,10,False)</f>
        <v>1.8</v>
      </c>
      <c r="W153" s="65">
        <f>VLOOKUP($O153,'NO USAR2'!$B$2:$R$397,12,False)</f>
        <v>4.3</v>
      </c>
      <c r="X153" s="65">
        <f>VLOOKUP($O153,'NO USAR2'!$B$2:$R$397,13,False)</f>
        <v>2.2</v>
      </c>
      <c r="Y153" s="65">
        <f>VLOOKUP($O153,'NO USAR2'!$B$2:$R$397,14,False)</f>
        <v>1.1</v>
      </c>
      <c r="Z153" s="70">
        <f>VLOOKUP($O153,'NO USAR2'!$B$2:$R$397,15,False)</f>
        <v>0.2</v>
      </c>
      <c r="AA153" s="65">
        <f>100*VLOOKUP($O153,'NO USAR2'!$B$2:$R$397,7,False)</f>
        <v>43.69747899</v>
      </c>
      <c r="AB153" s="65">
        <f>100*VLOOKUP($O153,'NO USAR2'!$B$2:$R$397,9,False)</f>
        <v>80.95238095</v>
      </c>
      <c r="AC153" s="65">
        <f>VLOOKUP($O153,'NO USAR2'!$B$2:$Q$397,16,False)</f>
        <v>1.7</v>
      </c>
      <c r="AD153" s="65">
        <f>VLOOKUP($O153,'NO USAR1'!$A$4:$L$399,2,False)*$U$19</f>
        <v>-0.8129730114</v>
      </c>
      <c r="AE153" s="65">
        <f>VLOOKUP($O153,'NO USAR1'!$A$4:$L$399,3,False)*$V$19</f>
        <v>0.1865688902</v>
      </c>
      <c r="AF153" s="65">
        <f>VLOOKUP($O153,'NO USAR1'!$A$4:$L$399,4,False)*$W$19</f>
        <v>-0.7243768628</v>
      </c>
      <c r="AG153" s="65">
        <f>VLOOKUP($O153,'NO USAR1'!$A$4:$L$399,5,False)*$X$19</f>
        <v>-0.8571888629</v>
      </c>
      <c r="AH153" s="65">
        <f>VLOOKUP($O153,'NO USAR1'!$A$4:$L$399,6,False)*$Y$19</f>
        <v>0.3923381197</v>
      </c>
      <c r="AI153" s="65">
        <f>VLOOKUP($O153,'NO USAR1'!$A$4:$L$399,7,False)*$Z$19</f>
        <v>0</v>
      </c>
      <c r="AJ153" s="65">
        <f>VLOOKUP($O153,'NO USAR1'!$A$4:$L$399,8,False)*$AA$19</f>
        <v>0</v>
      </c>
      <c r="AK153" s="70">
        <f>VLOOKUP($O153,'NO USAR1'!$A$4:$L$399,10,False)*$AB$19</f>
        <v>0.0654993857</v>
      </c>
      <c r="AL153" s="65">
        <f>VLOOKUP($O153,'NO USAR1'!$A$4:$L$399,12,False)*$AC$19</f>
        <v>0</v>
      </c>
      <c r="AM153" s="71">
        <f t="shared" si="2"/>
        <v>-0.8571888629</v>
      </c>
      <c r="AN153" s="71">
        <f t="shared" si="3"/>
        <v>-1.670161874</v>
      </c>
    </row>
    <row r="154">
      <c r="A154" t="str">
        <f>IF('NO USAR2'!B152="",ROW('NO USAR2'!B152),'NO USAR2'!B152)</f>
        <v>Reggie Jackson</v>
      </c>
      <c r="B154" s="58">
        <f>IF(TYPE($A154)=1,"",('NO USAR2'!$L152-B$1)/B$2)</f>
        <v>-0.2756971566</v>
      </c>
      <c r="C154" s="58">
        <f>IF(TYPE($A154)=1,"",('NO USAR2'!$K152-C$1)/C$2)</f>
        <v>0.3865600027</v>
      </c>
      <c r="D154" s="58">
        <f>IF(TYPE($A154)=1,"",('NO USAR2'!$M152-D$1)/D$2)</f>
        <v>-1.132592266</v>
      </c>
      <c r="E154" s="58">
        <f>IF(TYPE($A154)=1,"",('NO USAR2'!$N152-E$1)/E$2)</f>
        <v>0.3186689607</v>
      </c>
      <c r="F154" s="58">
        <f>IF(TYPE($A154)=1,"",('NO USAR2'!$O152-F$1)/F$2)</f>
        <v>-1.32132894</v>
      </c>
      <c r="G154" s="58">
        <f>IF(TYPE($A154)=1,"",('NO USAR2'!$P152-G$1)/G$2)</f>
        <v>-1.024427538</v>
      </c>
      <c r="H154" s="58">
        <f>IF(TYPE($A154)=1,"",('NO USAR2'!$H152-H$1)/H$2*I154/$I$1)</f>
        <v>-0.6392201862</v>
      </c>
      <c r="I154" s="58">
        <f>IF(TYPE($A154)=1,"",IF('NO USAR2'!H152=0,0,'NO USAR2'!G152/'NO USAR2'!H152))</f>
        <v>13.2</v>
      </c>
      <c r="J154" s="59">
        <f>IF(TYPE($A154)=1,"",('NO USAR2'!$J152-J$1)/J$2*K154/$K$1)</f>
        <v>0.3908417437</v>
      </c>
      <c r="K154" s="60">
        <f>IF(TYPE($A154)=1,"",IF('NO USAR2'!J152=0,0,'NO USAR2'!I152/'NO USAR2'!J152))</f>
        <v>2</v>
      </c>
      <c r="L154" s="58">
        <f>IF(TYPE($A154)=1,"",-('NO USAR2'!$Q152-L$1)/L$2)</f>
        <v>-0.08740345939</v>
      </c>
      <c r="N154" s="2">
        <v>134.0</v>
      </c>
      <c r="O154" s="68" t="str">
        <f>IF('NO USAR2'!B129="",ROW('NO USAR2'!B129),'NO USAR2'!B129)</f>
        <v>Patrick Williams</v>
      </c>
      <c r="P154" s="68">
        <f>'NO USAR2'!E135</f>
        <v>73</v>
      </c>
      <c r="Q154" s="68" t="str">
        <f>IF('NO USAR2'!C129="",ROW('NO USAR2'!N144),'NO USAR2'!C129)</f>
        <v>SF/PF</v>
      </c>
      <c r="R154" s="65">
        <f>VLOOKUP($O154,'NO USAR1'!$A$4:$L$399,2,False)+VLOOKUP($O154,'NO USAR1'!$A$4:$L$399,3,False)+VLOOKUP($O154,'NO USAR1'!$A$4:$L$399,4,False)+VLOOKUP($O154,'NO USAR1'!$A$4:$L$399,5,False)+VLOOKUP($O154,'NO USAR1'!$A$4:$L$399,6,False)+VLOOKUP($O154,'NO USAR1'!$A$4:$L$399,7,False)+VLOOKUP($O154,'NO USAR1'!$A$4:$L$399,8,False)+VLOOKUP($O154,'NO USAR1'!$A$4:$L$399,10,False)+VLOOKUP($O154,'NO USAR1'!$A$4:$L$399,12,False)*0</f>
        <v>-3.138080021</v>
      </c>
      <c r="S154" s="65">
        <f>VLOOKUP($O154,'NO USAR1'!$A$4:$L$399,2,False)*$U$19+VLOOKUP($O154,'NO USAR1'!$A$4:$L$399,3,False)*$V$19+VLOOKUP($O154,'NO USAR1'!$A$4:$L$399,4,False)*$W$19+VLOOKUP($O154,'NO USAR1'!$A$4:$L$399,5,False)*$X$19+VLOOKUP($O154,'NO USAR1'!$A$4:$L$399,6,False)*$Y$19+VLOOKUP($O154,'NO USAR1'!$A$4:$L$399,7,False)*$Z$19+VLOOKUP($O154,'NO USAR1'!$A$4:$L$399,8,False)*$AA$19+VLOOKUP($O154,'NO USAR1'!$A$4:$L$399,10,False)*$AB$19+VLOOKUP($O154,'NO USAR1'!$A$4:$L$399,12,False)*$AC$19+IF(Projections!$K$3,-AN154, IF(Projections!$J$3,-AM154,0))</f>
        <v>-3.787164759</v>
      </c>
      <c r="T154" s="65">
        <f t="shared" si="1"/>
        <v>-0.6490847385</v>
      </c>
      <c r="U154" s="65">
        <f>VLOOKUP($O154,'NO USAR2'!$B$2:$R$397,11,False)</f>
        <v>11</v>
      </c>
      <c r="V154" s="69">
        <f>VLOOKUP($O154,'NO USAR2'!$B$2:$R$397,10,False)</f>
        <v>1.3</v>
      </c>
      <c r="W154" s="65">
        <f>VLOOKUP($O154,'NO USAR2'!$B$2:$R$397,12,False)</f>
        <v>4.9</v>
      </c>
      <c r="X154" s="65">
        <f>VLOOKUP($O154,'NO USAR2'!$B$2:$R$397,13,False)</f>
        <v>1.1</v>
      </c>
      <c r="Y154" s="65">
        <f>VLOOKUP($O154,'NO USAR2'!$B$2:$R$397,14,False)</f>
        <v>1.1</v>
      </c>
      <c r="Z154" s="70">
        <f>VLOOKUP($O154,'NO USAR2'!$B$2:$R$397,15,False)</f>
        <v>0.7</v>
      </c>
      <c r="AA154" s="65">
        <f>100*VLOOKUP($O154,'NO USAR2'!$B$2:$R$397,7,False)</f>
        <v>51.35135135</v>
      </c>
      <c r="AB154" s="65">
        <f>100*VLOOKUP($O154,'NO USAR2'!$B$2:$R$397,9,False)</f>
        <v>72.4137931</v>
      </c>
      <c r="AC154" s="65">
        <f>VLOOKUP($O154,'NO USAR2'!$B$2:$Q$397,16,False)</f>
        <v>1.1</v>
      </c>
      <c r="AD154" s="65">
        <f>VLOOKUP($O154,'NO USAR1'!$A$4:$L$399,2,False)*$U$19</f>
        <v>-1.585199079</v>
      </c>
      <c r="AE154" s="65">
        <f>VLOOKUP($O154,'NO USAR1'!$A$4:$L$399,3,False)*$V$19</f>
        <v>-0.3134088911</v>
      </c>
      <c r="AF154" s="65">
        <f>VLOOKUP($O154,'NO USAR1'!$A$4:$L$399,4,False)*$W$19</f>
        <v>-0.479447621</v>
      </c>
      <c r="AG154" s="65">
        <f>VLOOKUP($O154,'NO USAR1'!$A$4:$L$399,5,False)*$X$19</f>
        <v>-1.484951395</v>
      </c>
      <c r="AH154" s="65">
        <f>VLOOKUP($O154,'NO USAR1'!$A$4:$L$399,6,False)*$Y$19</f>
        <v>0.3923381197</v>
      </c>
      <c r="AI154" s="65">
        <f>VLOOKUP($O154,'NO USAR1'!$A$4:$L$399,7,False)*$Z$19</f>
        <v>0</v>
      </c>
      <c r="AJ154" s="65">
        <f>VLOOKUP($O154,'NO USAR1'!$A$4:$L$399,8,False)*$AA$19</f>
        <v>0</v>
      </c>
      <c r="AK154" s="70">
        <f>VLOOKUP($O154,'NO USAR1'!$A$4:$L$399,10,False)*$AB$19</f>
        <v>-0.3164958929</v>
      </c>
      <c r="AL154" s="65">
        <f>VLOOKUP($O154,'NO USAR1'!$A$4:$L$399,12,False)*$AC$19</f>
        <v>0</v>
      </c>
      <c r="AM154" s="71">
        <f t="shared" si="2"/>
        <v>-1.585199079</v>
      </c>
      <c r="AN154" s="71">
        <f t="shared" si="3"/>
        <v>-3.070150474</v>
      </c>
    </row>
    <row r="155">
      <c r="A155" t="str">
        <f>IF('NO USAR2'!B153="",ROW('NO USAR2'!B153),'NO USAR2'!B153)</f>
        <v>Pat Connaughton</v>
      </c>
      <c r="B155" s="58">
        <f>IF(TYPE($A155)=1,"",('NO USAR2'!$L153-B$1)/B$2)</f>
        <v>-1.198817973</v>
      </c>
      <c r="C155" s="58">
        <f>IF(TYPE($A155)=1,"",('NO USAR2'!$K153-C$1)/C$2)</f>
        <v>0.7865422277</v>
      </c>
      <c r="D155" s="58">
        <f>IF(TYPE($A155)=1,"",('NO USAR2'!$M153-D$1)/D$2)</f>
        <v>-0.7243768628</v>
      </c>
      <c r="E155" s="58">
        <f>IF(TYPE($A155)=1,"",('NO USAR2'!$N153-E$1)/E$2)</f>
        <v>-1.096650202</v>
      </c>
      <c r="F155" s="58">
        <f>IF(TYPE($A155)=1,"",('NO USAR2'!$O153-F$1)/F$2)</f>
        <v>-0.3402092786</v>
      </c>
      <c r="G155" s="58">
        <f>IF(TYPE($A155)=1,"",('NO USAR2'!$P153-G$1)/G$2)</f>
        <v>-1.024427538</v>
      </c>
      <c r="H155" s="58">
        <f>IF(TYPE($A155)=1,"",('NO USAR2'!$H153-H$1)/H$2*I155/$I$1)</f>
        <v>-0.2458412451</v>
      </c>
      <c r="I155" s="58">
        <f>IF(TYPE($A155)=1,"",IF('NO USAR2'!H153=0,0,'NO USAR2'!G153/'NO USAR2'!H153))</f>
        <v>7.8</v>
      </c>
      <c r="J155" s="59">
        <f>IF(TYPE($A155)=1,"",('NO USAR2'!$J153-J$1)/J$2*K155/$K$1)</f>
        <v>-0.03776861376</v>
      </c>
      <c r="K155" s="60">
        <f>IF(TYPE($A155)=1,"",IF('NO USAR2'!J153=0,0,'NO USAR2'!I153/'NO USAR2'!J153))</f>
        <v>0.9</v>
      </c>
      <c r="L155" s="58">
        <f>IF(TYPE($A155)=1,"",-('NO USAR2'!$Q153-L$1)/L$2)</f>
        <v>1.678442703</v>
      </c>
      <c r="N155" s="63">
        <v>135.0</v>
      </c>
      <c r="O155" s="68" t="str">
        <f>IF('NO USAR2'!B142="",ROW('NO USAR2'!B142),'NO USAR2'!B142)</f>
        <v>Patrick Beverley</v>
      </c>
      <c r="P155" s="68">
        <f>'NO USAR2'!E136</f>
        <v>68</v>
      </c>
      <c r="Q155" s="68" t="str">
        <f>IF('NO USAR2'!C142="",ROW('NO USAR2'!N157),'NO USAR2'!C142)</f>
        <v>PG</v>
      </c>
      <c r="R155" s="65">
        <f>VLOOKUP($O155,'NO USAR1'!$A$4:$L$399,2,False)+VLOOKUP($O155,'NO USAR1'!$A$4:$L$399,3,False)+VLOOKUP($O155,'NO USAR1'!$A$4:$L$399,4,False)+VLOOKUP($O155,'NO USAR1'!$A$4:$L$399,5,False)+VLOOKUP($O155,'NO USAR1'!$A$4:$L$399,6,False)+VLOOKUP($O155,'NO USAR1'!$A$4:$L$399,7,False)+VLOOKUP($O155,'NO USAR1'!$A$4:$L$399,8,False)+VLOOKUP($O155,'NO USAR1'!$A$4:$L$399,10,False)+VLOOKUP($O155,'NO USAR1'!$A$4:$L$399,12,False)*0</f>
        <v>-3.147695534</v>
      </c>
      <c r="S155" s="65">
        <f>VLOOKUP($O155,'NO USAR1'!$A$4:$L$399,2,False)*$U$19+VLOOKUP($O155,'NO USAR1'!$A$4:$L$399,3,False)*$V$19+VLOOKUP($O155,'NO USAR1'!$A$4:$L$399,4,False)*$W$19+VLOOKUP($O155,'NO USAR1'!$A$4:$L$399,5,False)*$X$19+VLOOKUP($O155,'NO USAR1'!$A$4:$L$399,6,False)*$Y$19+VLOOKUP($O155,'NO USAR1'!$A$4:$L$399,7,False)*$Z$19+VLOOKUP($O155,'NO USAR1'!$A$4:$L$399,8,False)*$AA$19+VLOOKUP($O155,'NO USAR1'!$A$4:$L$399,10,False)*$AB$19+VLOOKUP($O155,'NO USAR1'!$A$4:$L$399,12,False)*$AC$19+IF(Projections!$K$3,-AN155, IF(Projections!$J$3,-AM155,0))</f>
        <v>-3.189784194</v>
      </c>
      <c r="T155" s="65">
        <f t="shared" si="1"/>
        <v>-0.04208866035</v>
      </c>
      <c r="U155" s="65">
        <f>VLOOKUP($O155,'NO USAR2'!$B$2:$R$397,11,False)</f>
        <v>8.3</v>
      </c>
      <c r="V155" s="69">
        <f>VLOOKUP($O155,'NO USAR2'!$B$2:$R$397,10,False)</f>
        <v>1.3</v>
      </c>
      <c r="W155" s="65">
        <f>VLOOKUP($O155,'NO USAR2'!$B$2:$R$397,12,False)</f>
        <v>3.8</v>
      </c>
      <c r="X155" s="65">
        <f>VLOOKUP($O155,'NO USAR2'!$B$2:$R$397,13,False)</f>
        <v>4.1</v>
      </c>
      <c r="Y155" s="65">
        <f>VLOOKUP($O155,'NO USAR2'!$B$2:$R$397,14,False)</f>
        <v>1.1</v>
      </c>
      <c r="Z155" s="70">
        <f>VLOOKUP($O155,'NO USAR2'!$B$2:$R$397,15,False)</f>
        <v>0.8</v>
      </c>
      <c r="AA155" s="65">
        <f>100*VLOOKUP($O155,'NO USAR2'!$B$2:$R$397,7,False)</f>
        <v>41.79104478</v>
      </c>
      <c r="AB155" s="65">
        <f>100*VLOOKUP($O155,'NO USAR2'!$B$2:$R$397,9,False)</f>
        <v>71.42857143</v>
      </c>
      <c r="AC155" s="65">
        <f>VLOOKUP($O155,'NO USAR2'!$B$2:$Q$397,16,False)</f>
        <v>1.2</v>
      </c>
      <c r="AD155" s="65">
        <f>VLOOKUP($O155,'NO USAR1'!$A$4:$L$399,2,False)*$U$19</f>
        <v>-2.304168177</v>
      </c>
      <c r="AE155" s="65">
        <f>VLOOKUP($O155,'NO USAR1'!$A$4:$L$399,3,False)*$V$19</f>
        <v>-0.3134088911</v>
      </c>
      <c r="AF155" s="65">
        <f>VLOOKUP($O155,'NO USAR1'!$A$4:$L$399,4,False)*$W$19</f>
        <v>-0.9284845644</v>
      </c>
      <c r="AG155" s="65">
        <f>VLOOKUP($O155,'NO USAR1'!$A$4:$L$399,5,False)*$X$19</f>
        <v>0.2271282376</v>
      </c>
      <c r="AH155" s="65">
        <f>VLOOKUP($O155,'NO USAR1'!$A$4:$L$399,6,False)*$Y$19</f>
        <v>0.3923381197</v>
      </c>
      <c r="AI155" s="65">
        <f>VLOOKUP($O155,'NO USAR1'!$A$4:$L$399,7,False)*$Z$19</f>
        <v>0</v>
      </c>
      <c r="AJ155" s="65">
        <f>VLOOKUP($O155,'NO USAR1'!$A$4:$L$399,8,False)*$AA$19</f>
        <v>0</v>
      </c>
      <c r="AK155" s="70">
        <f>VLOOKUP($O155,'NO USAR1'!$A$4:$L$399,10,False)*$AB$19</f>
        <v>-0.2631889196</v>
      </c>
      <c r="AL155" s="65">
        <f>VLOOKUP($O155,'NO USAR1'!$A$4:$L$399,12,False)*$AC$19</f>
        <v>0</v>
      </c>
      <c r="AM155" s="71">
        <f t="shared" si="2"/>
        <v>-2.304168177</v>
      </c>
      <c r="AN155" s="71">
        <f t="shared" si="3"/>
        <v>-3.232652741</v>
      </c>
    </row>
    <row r="156">
      <c r="A156" t="str">
        <f>IF('NO USAR2'!B154="",ROW('NO USAR2'!B154),'NO USAR2'!B154)</f>
        <v>Isaiah Stewart</v>
      </c>
      <c r="B156" s="58">
        <f>IF(TYPE($A156)=1,"",('NO USAR2'!$L154-B$1)/B$2)</f>
        <v>-1.305331914</v>
      </c>
      <c r="C156" s="58">
        <f>IF(TYPE($A156)=1,"",('NO USAR2'!$K154-C$1)/C$2)</f>
        <v>-0.9133822286</v>
      </c>
      <c r="D156" s="58">
        <f>IF(TYPE($A156)=1,"",('NO USAR2'!$M154-D$1)/D$2)</f>
        <v>0.7860201284</v>
      </c>
      <c r="E156" s="58">
        <f>IF(TYPE($A156)=1,"",('NO USAR2'!$N154-E$1)/E$2)</f>
        <v>-1.142305659</v>
      </c>
      <c r="F156" s="58">
        <f>IF(TYPE($A156)=1,"",('NO USAR2'!$O154-F$1)/F$2)</f>
        <v>-2.302448601</v>
      </c>
      <c r="G156" s="58">
        <f>IF(TYPE($A156)=1,"",('NO USAR2'!$P154-G$1)/G$2)</f>
        <v>0.8294959822</v>
      </c>
      <c r="H156" s="58">
        <f>IF(TYPE($A156)=1,"",('NO USAR2'!$H154-H$1)/H$2*I156/$I$1)</f>
        <v>0.1023213582</v>
      </c>
      <c r="I156" s="58">
        <f>IF(TYPE($A156)=1,"",IF('NO USAR2'!H154=0,0,'NO USAR2'!G154/'NO USAR2'!H154))</f>
        <v>7.8</v>
      </c>
      <c r="J156" s="59">
        <f>IF(TYPE($A156)=1,"",('NO USAR2'!$J154-J$1)/J$2*K156/$K$1)</f>
        <v>-0.4730708657</v>
      </c>
      <c r="K156" s="60">
        <f>IF(TYPE($A156)=1,"",IF('NO USAR2'!J154=0,0,'NO USAR2'!I154/'NO USAR2'!J154))</f>
        <v>1.7</v>
      </c>
      <c r="L156" s="58">
        <f>IF(TYPE($A156)=1,"",-('NO USAR2'!$Q154-L$1)/L$2)</f>
        <v>0.905885007</v>
      </c>
      <c r="N156" s="63">
        <v>136.0</v>
      </c>
      <c r="O156" s="68" t="str">
        <f>IF('NO USAR2'!B164="",ROW('NO USAR2'!B164),'NO USAR2'!B164)</f>
        <v>Jae Crowder</v>
      </c>
      <c r="P156" s="68">
        <f>'NO USAR2'!E137</f>
        <v>70</v>
      </c>
      <c r="Q156" s="68" t="str">
        <f>IF('NO USAR2'!C164="",ROW('NO USAR2'!N179),'NO USAR2'!C164)</f>
        <v>SF/PF</v>
      </c>
      <c r="R156" s="65">
        <f>VLOOKUP($O156,'NO USAR1'!$A$4:$L$399,2,False)+VLOOKUP($O156,'NO USAR1'!$A$4:$L$399,3,False)+VLOOKUP($O156,'NO USAR1'!$A$4:$L$399,4,False)+VLOOKUP($O156,'NO USAR1'!$A$4:$L$399,5,False)+VLOOKUP($O156,'NO USAR1'!$A$4:$L$399,6,False)+VLOOKUP($O156,'NO USAR1'!$A$4:$L$399,7,False)+VLOOKUP($O156,'NO USAR1'!$A$4:$L$399,8,False)+VLOOKUP($O156,'NO USAR1'!$A$4:$L$399,10,False)+VLOOKUP($O156,'NO USAR1'!$A$4:$L$399,12,False)*0</f>
        <v>-3.157014127</v>
      </c>
      <c r="S156" s="65">
        <f>VLOOKUP($O156,'NO USAR1'!$A$4:$L$399,2,False)*$U$19+VLOOKUP($O156,'NO USAR1'!$A$4:$L$399,3,False)*$V$19+VLOOKUP($O156,'NO USAR1'!$A$4:$L$399,4,False)*$W$19+VLOOKUP($O156,'NO USAR1'!$A$4:$L$399,5,False)*$X$19+VLOOKUP($O156,'NO USAR1'!$A$4:$L$399,6,False)*$Y$19+VLOOKUP($O156,'NO USAR1'!$A$4:$L$399,7,False)*$Z$19+VLOOKUP($O156,'NO USAR1'!$A$4:$L$399,8,False)*$AA$19+VLOOKUP($O156,'NO USAR1'!$A$4:$L$399,10,False)*$AB$19+VLOOKUP($O156,'NO USAR1'!$A$4:$L$399,12,False)*$AC$19+IF(Projections!$K$3,-AN156, IF(Projections!$J$3,-AM156,0))</f>
        <v>-2.425792126</v>
      </c>
      <c r="T156" s="65">
        <f t="shared" si="1"/>
        <v>0.7312220017</v>
      </c>
      <c r="U156" s="65">
        <f>VLOOKUP($O156,'NO USAR2'!$B$2:$R$397,11,False)</f>
        <v>8.8</v>
      </c>
      <c r="V156" s="69">
        <f>VLOOKUP($O156,'NO USAR2'!$B$2:$R$397,10,False)</f>
        <v>1.8</v>
      </c>
      <c r="W156" s="65">
        <f>VLOOKUP($O156,'NO USAR2'!$B$2:$R$397,12,False)</f>
        <v>4.8</v>
      </c>
      <c r="X156" s="65">
        <f>VLOOKUP($O156,'NO USAR2'!$B$2:$R$397,13,False)</f>
        <v>1.8</v>
      </c>
      <c r="Y156" s="65">
        <f>VLOOKUP($O156,'NO USAR2'!$B$2:$R$397,14,False)</f>
        <v>1.3</v>
      </c>
      <c r="Z156" s="70">
        <f>VLOOKUP($O156,'NO USAR2'!$B$2:$R$397,15,False)</f>
        <v>0.4</v>
      </c>
      <c r="AA156" s="65">
        <f>100*VLOOKUP($O156,'NO USAR2'!$B$2:$R$397,7,False)</f>
        <v>40</v>
      </c>
      <c r="AB156" s="65">
        <f>100*VLOOKUP($O156,'NO USAR2'!$B$2:$R$397,9,False)</f>
        <v>76.92307692</v>
      </c>
      <c r="AC156" s="65">
        <f>VLOOKUP($O156,'NO USAR2'!$B$2:$Q$397,16,False)</f>
        <v>0.7</v>
      </c>
      <c r="AD156" s="65">
        <f>VLOOKUP($O156,'NO USAR1'!$A$4:$L$399,2,False)*$U$19</f>
        <v>-2.171025751</v>
      </c>
      <c r="AE156" s="65">
        <f>VLOOKUP($O156,'NO USAR1'!$A$4:$L$399,3,False)*$V$19</f>
        <v>0.1865688902</v>
      </c>
      <c r="AF156" s="65">
        <f>VLOOKUP($O156,'NO USAR1'!$A$4:$L$399,4,False)*$W$19</f>
        <v>-0.5202691613</v>
      </c>
      <c r="AG156" s="65">
        <f>VLOOKUP($O156,'NO USAR1'!$A$4:$L$399,5,False)*$X$19</f>
        <v>-1.085466147</v>
      </c>
      <c r="AH156" s="65">
        <f>VLOOKUP($O156,'NO USAR1'!$A$4:$L$399,6,False)*$Y$19</f>
        <v>1.209937838</v>
      </c>
      <c r="AI156" s="65">
        <f>VLOOKUP($O156,'NO USAR1'!$A$4:$L$399,7,False)*$Z$19</f>
        <v>0</v>
      </c>
      <c r="AJ156" s="65">
        <f>VLOOKUP($O156,'NO USAR1'!$A$4:$L$399,8,False)*$AA$19</f>
        <v>0</v>
      </c>
      <c r="AK156" s="70">
        <f>VLOOKUP($O156,'NO USAR1'!$A$4:$L$399,10,False)*$AB$19</f>
        <v>-0.04553779356</v>
      </c>
      <c r="AL156" s="65">
        <f>VLOOKUP($O156,'NO USAR1'!$A$4:$L$399,12,False)*$AC$19</f>
        <v>0</v>
      </c>
      <c r="AM156" s="71">
        <f t="shared" si="2"/>
        <v>-2.171025751</v>
      </c>
      <c r="AN156" s="71">
        <f t="shared" si="3"/>
        <v>-3.256491899</v>
      </c>
    </row>
    <row r="157">
      <c r="A157" t="str">
        <f>IF('NO USAR2'!B155="",ROW('NO USAR2'!B155),'NO USAR2'!B155)</f>
        <v>Luguentz Dort</v>
      </c>
      <c r="B157" s="58">
        <f>IF(TYPE($A157)=1,"",('NO USAR2'!$L155-B$1)/B$2)</f>
        <v>-0.1514308929</v>
      </c>
      <c r="C157" s="58">
        <f>IF(TYPE($A157)=1,"",('NO USAR2'!$K155-C$1)/C$2)</f>
        <v>0.5865511152</v>
      </c>
      <c r="D157" s="58">
        <f>IF(TYPE($A157)=1,"",('NO USAR2'!$M155-D$1)/D$2)</f>
        <v>-0.9284845644</v>
      </c>
      <c r="E157" s="58">
        <f>IF(TYPE($A157)=1,"",('NO USAR2'!$N155-E$1)/E$2)</f>
        <v>-0.9596838315</v>
      </c>
      <c r="F157" s="58">
        <f>IF(TYPE($A157)=1,"",('NO USAR2'!$O155-F$1)/F$2)</f>
        <v>-0.6672491657</v>
      </c>
      <c r="G157" s="58">
        <f>IF(TYPE($A157)=1,"",('NO USAR2'!$P155-G$1)/G$2)</f>
        <v>-0.6124445335</v>
      </c>
      <c r="H157" s="58">
        <f>IF(TYPE($A157)=1,"",('NO USAR2'!$H155-H$1)/H$2*I157/$I$1)</f>
        <v>-1.27620648</v>
      </c>
      <c r="I157" s="58">
        <f>IF(TYPE($A157)=1,"",IF('NO USAR2'!H155=0,0,'NO USAR2'!G155/'NO USAR2'!H155))</f>
        <v>13.3</v>
      </c>
      <c r="J157" s="59">
        <f>IF(TYPE($A157)=1,"",('NO USAR2'!$J155-J$1)/J$2*K157/$K$1)</f>
        <v>0.5063021555</v>
      </c>
      <c r="K157" s="60">
        <f>IF(TYPE($A157)=1,"",IF('NO USAR2'!J155=0,0,'NO USAR2'!I155/'NO USAR2'!J155))</f>
        <v>3.6</v>
      </c>
      <c r="L157" s="58">
        <f>IF(TYPE($A157)=1,"",-('NO USAR2'!$Q155-L$1)/L$2)</f>
        <v>0.4644234664</v>
      </c>
      <c r="N157" s="2">
        <v>137.0</v>
      </c>
      <c r="O157" s="68" t="str">
        <f>IF('NO USAR2'!B151="",ROW('NO USAR2'!B151),'NO USAR2'!B151)</f>
        <v>Kelly Oubre Jr.</v>
      </c>
      <c r="P157" s="68">
        <f>'NO USAR2'!E138</f>
        <v>70</v>
      </c>
      <c r="Q157" s="68" t="str">
        <f>IF('NO USAR2'!C151="",ROW('NO USAR2'!N166),'NO USAR2'!C151)</f>
        <v>SG/PF</v>
      </c>
      <c r="R157" s="65">
        <f>VLOOKUP($O157,'NO USAR1'!$A$4:$L$399,2,False)+VLOOKUP($O157,'NO USAR1'!$A$4:$L$399,3,False)+VLOOKUP($O157,'NO USAR1'!$A$4:$L$399,4,False)+VLOOKUP($O157,'NO USAR1'!$A$4:$L$399,5,False)+VLOOKUP($O157,'NO USAR1'!$A$4:$L$399,6,False)+VLOOKUP($O157,'NO USAR1'!$A$4:$L$399,7,False)+VLOOKUP($O157,'NO USAR1'!$A$4:$L$399,8,False)+VLOOKUP($O157,'NO USAR1'!$A$4:$L$399,10,False)+VLOOKUP($O157,'NO USAR1'!$A$4:$L$399,12,False)*0</f>
        <v>-3.164588206</v>
      </c>
      <c r="S157" s="65">
        <f>VLOOKUP($O157,'NO USAR1'!$A$4:$L$399,2,False)*$U$19+VLOOKUP($O157,'NO USAR1'!$A$4:$L$399,3,False)*$V$19+VLOOKUP($O157,'NO USAR1'!$A$4:$L$399,4,False)*$W$19+VLOOKUP($O157,'NO USAR1'!$A$4:$L$399,5,False)*$X$19+VLOOKUP($O157,'NO USAR1'!$A$4:$L$399,6,False)*$Y$19+VLOOKUP($O157,'NO USAR1'!$A$4:$L$399,7,False)*$Z$19+VLOOKUP($O157,'NO USAR1'!$A$4:$L$399,8,False)*$AA$19+VLOOKUP($O157,'NO USAR1'!$A$4:$L$399,10,False)*$AB$19+VLOOKUP($O157,'NO USAR1'!$A$4:$L$399,12,False)*$AC$19+IF(Projections!$K$3,-AN157, IF(Projections!$J$3,-AM157,0))</f>
        <v>-1.464416693</v>
      </c>
      <c r="T157" s="65">
        <f t="shared" si="1"/>
        <v>1.700171512</v>
      </c>
      <c r="U157" s="65">
        <f>VLOOKUP($O157,'NO USAR2'!$B$2:$R$397,11,False)</f>
        <v>16.2</v>
      </c>
      <c r="V157" s="69">
        <f>VLOOKUP($O157,'NO USAR2'!$B$2:$R$397,10,False)</f>
        <v>2.7</v>
      </c>
      <c r="W157" s="65">
        <f>VLOOKUP($O157,'NO USAR2'!$B$2:$R$397,12,False)</f>
        <v>4.2</v>
      </c>
      <c r="X157" s="65">
        <f>VLOOKUP($O157,'NO USAR2'!$B$2:$R$397,13,False)</f>
        <v>1.2</v>
      </c>
      <c r="Y157" s="65">
        <f>VLOOKUP($O157,'NO USAR2'!$B$2:$R$397,14,False)</f>
        <v>1.1</v>
      </c>
      <c r="Z157" s="70">
        <f>VLOOKUP($O157,'NO USAR2'!$B$2:$R$397,15,False)</f>
        <v>0.4</v>
      </c>
      <c r="AA157" s="65">
        <f>100*VLOOKUP($O157,'NO USAR2'!$B$2:$R$397,7,False)</f>
        <v>43.60902256</v>
      </c>
      <c r="AB157" s="65">
        <f>100*VLOOKUP($O157,'NO USAR2'!$B$2:$R$397,9,False)</f>
        <v>66.66666667</v>
      </c>
      <c r="AC157" s="65">
        <f>VLOOKUP($O157,'NO USAR2'!$B$2:$Q$397,16,False)</f>
        <v>1</v>
      </c>
      <c r="AD157" s="65">
        <f>VLOOKUP($O157,'NO USAR1'!$A$4:$L$399,2,False)*$U$19</f>
        <v>-0.2005178542</v>
      </c>
      <c r="AE157" s="65">
        <f>VLOOKUP($O157,'NO USAR1'!$A$4:$L$399,3,False)*$V$19</f>
        <v>1.086528896</v>
      </c>
      <c r="AF157" s="65">
        <f>VLOOKUP($O157,'NO USAR1'!$A$4:$L$399,4,False)*$W$19</f>
        <v>-0.7651984031</v>
      </c>
      <c r="AG157" s="65">
        <f>VLOOKUP($O157,'NO USAR1'!$A$4:$L$399,5,False)*$X$19</f>
        <v>-1.427882074</v>
      </c>
      <c r="AH157" s="65">
        <f>VLOOKUP($O157,'NO USAR1'!$A$4:$L$399,6,False)*$Y$19</f>
        <v>0.3923381197</v>
      </c>
      <c r="AI157" s="65">
        <f>VLOOKUP($O157,'NO USAR1'!$A$4:$L$399,7,False)*$Z$19</f>
        <v>0</v>
      </c>
      <c r="AJ157" s="65">
        <f>VLOOKUP($O157,'NO USAR1'!$A$4:$L$399,8,False)*$AA$19</f>
        <v>0</v>
      </c>
      <c r="AK157" s="70">
        <f>VLOOKUP($O157,'NO USAR1'!$A$4:$L$399,10,False)*$AB$19</f>
        <v>-0.5496853785</v>
      </c>
      <c r="AL157" s="65">
        <f>VLOOKUP($O157,'NO USAR1'!$A$4:$L$399,12,False)*$AC$19</f>
        <v>0</v>
      </c>
      <c r="AM157" s="71">
        <f t="shared" si="2"/>
        <v>-1.427882074</v>
      </c>
      <c r="AN157" s="71">
        <f t="shared" si="3"/>
        <v>-2.193080477</v>
      </c>
    </row>
    <row r="158">
      <c r="A158" t="str">
        <f>IF('NO USAR2'!B156="",ROW('NO USAR2'!B156),'NO USAR2'!B156)</f>
        <v>Chuma Okeke</v>
      </c>
      <c r="B158" s="58">
        <f>IF(TYPE($A158)=1,"",('NO USAR2'!$L156-B$1)/B$2)</f>
        <v>-1.607121411</v>
      </c>
      <c r="C158" s="58">
        <f>IF(TYPE($A158)=1,"",('NO USAR2'!$K156-C$1)/C$2)</f>
        <v>-0.01342222232</v>
      </c>
      <c r="D158" s="58">
        <f>IF(TYPE($A158)=1,"",('NO USAR2'!$M156-D$1)/D$2)</f>
        <v>-0.6019122419</v>
      </c>
      <c r="E158" s="58">
        <f>IF(TYPE($A158)=1,"",('NO USAR2'!$N156-E$1)/E$2)</f>
        <v>-0.9596838315</v>
      </c>
      <c r="F158" s="58">
        <f>IF(TYPE($A158)=1,"",('NO USAR2'!$O156-F$1)/F$2)</f>
        <v>0.96795027</v>
      </c>
      <c r="G158" s="58">
        <f>IF(TYPE($A158)=1,"",('NO USAR2'!$P156-G$1)/G$2)</f>
        <v>-0.200461529</v>
      </c>
      <c r="H158" s="58">
        <f>IF(TYPE($A158)=1,"",('NO USAR2'!$H156-H$1)/H$2*I158/$I$1)</f>
        <v>-0.7205525478</v>
      </c>
      <c r="I158" s="58">
        <f>IF(TYPE($A158)=1,"",IF('NO USAR2'!H156=0,0,'NO USAR2'!G156/'NO USAR2'!H156))</f>
        <v>7</v>
      </c>
      <c r="J158" s="59">
        <f>IF(TYPE($A158)=1,"",('NO USAR2'!$J156-J$1)/J$2*K158/$K$1)</f>
        <v>-0.03776861376</v>
      </c>
      <c r="K158" s="60">
        <f>IF(TYPE($A158)=1,"",IF('NO USAR2'!J156=0,0,'NO USAR2'!I156/'NO USAR2'!J156))</f>
        <v>0.9</v>
      </c>
      <c r="L158" s="58">
        <f>IF(TYPE($A158)=1,"",-('NO USAR2'!$Q156-L$1)/L$2)</f>
        <v>1.457711933</v>
      </c>
      <c r="N158" s="63">
        <v>138.0</v>
      </c>
      <c r="O158" s="68" t="str">
        <f>IF('NO USAR2'!B116="",ROW('NO USAR2'!B116),'NO USAR2'!B116)</f>
        <v>Nicolas Claxton</v>
      </c>
      <c r="P158" s="68">
        <f>'NO USAR2'!E139</f>
        <v>70</v>
      </c>
      <c r="Q158" s="68" t="str">
        <f>IF('NO USAR2'!C116="",ROW('NO USAR2'!N131),'NO USAR2'!C116)</f>
        <v>PF/C</v>
      </c>
      <c r="R158" s="65">
        <f>VLOOKUP($O158,'NO USAR1'!$A$4:$L$399,2,False)+VLOOKUP($O158,'NO USAR1'!$A$4:$L$399,3,False)+VLOOKUP($O158,'NO USAR1'!$A$4:$L$399,4,False)+VLOOKUP($O158,'NO USAR1'!$A$4:$L$399,5,False)+VLOOKUP($O158,'NO USAR1'!$A$4:$L$399,6,False)+VLOOKUP($O158,'NO USAR1'!$A$4:$L$399,7,False)+VLOOKUP($O158,'NO USAR1'!$A$4:$L$399,8,False)+VLOOKUP($O158,'NO USAR1'!$A$4:$L$399,10,False)+VLOOKUP($O158,'NO USAR1'!$A$4:$L$399,12,False)*0</f>
        <v>-3.165345609</v>
      </c>
      <c r="S158" s="65">
        <f>VLOOKUP($O158,'NO USAR1'!$A$4:$L$399,2,False)*$U$19+VLOOKUP($O158,'NO USAR1'!$A$4:$L$399,3,False)*$V$19+VLOOKUP($O158,'NO USAR1'!$A$4:$L$399,4,False)*$W$19+VLOOKUP($O158,'NO USAR1'!$A$4:$L$399,5,False)*$X$19+VLOOKUP($O158,'NO USAR1'!$A$4:$L$399,6,False)*$Y$19+VLOOKUP($O158,'NO USAR1'!$A$4:$L$399,7,False)*$Z$19+VLOOKUP($O158,'NO USAR1'!$A$4:$L$399,8,False)*$AA$19+VLOOKUP($O158,'NO USAR1'!$A$4:$L$399,10,False)*$AB$19+VLOOKUP($O158,'NO USAR1'!$A$4:$L$399,12,False)*$AC$19+IF(Projections!$K$3,-AN158, IF(Projections!$J$3,-AM158,0))</f>
        <v>-6.219011818</v>
      </c>
      <c r="T158" s="65">
        <f t="shared" si="1"/>
        <v>-3.053666209</v>
      </c>
      <c r="U158" s="65">
        <f>VLOOKUP($O158,'NO USAR2'!$B$2:$R$397,11,False)</f>
        <v>10.8</v>
      </c>
      <c r="V158" s="69">
        <f>VLOOKUP($O158,'NO USAR2'!$B$2:$R$397,10,False)</f>
        <v>0</v>
      </c>
      <c r="W158" s="65">
        <f>VLOOKUP($O158,'NO USAR2'!$B$2:$R$397,12,False)</f>
        <v>7.5</v>
      </c>
      <c r="X158" s="65">
        <f>VLOOKUP($O158,'NO USAR2'!$B$2:$R$397,13,False)</f>
        <v>1.2</v>
      </c>
      <c r="Y158" s="65">
        <f>VLOOKUP($O158,'NO USAR2'!$B$2:$R$397,14,False)</f>
        <v>0.7</v>
      </c>
      <c r="Z158" s="70">
        <f>VLOOKUP($O158,'NO USAR2'!$B$2:$R$397,15,False)</f>
        <v>1.5</v>
      </c>
      <c r="AA158" s="65">
        <f>100*VLOOKUP($O158,'NO USAR2'!$B$2:$R$397,7,False)</f>
        <v>63.01369863</v>
      </c>
      <c r="AB158" s="65">
        <f>100*VLOOKUP($O158,'NO USAR2'!$B$2:$R$397,9,False)</f>
        <v>59.25925926</v>
      </c>
      <c r="AC158" s="65">
        <f>VLOOKUP($O158,'NO USAR2'!$B$2:$Q$397,16,False)</f>
        <v>1.1</v>
      </c>
      <c r="AD158" s="65">
        <f>VLOOKUP($O158,'NO USAR1'!$A$4:$L$399,2,False)*$U$19</f>
        <v>-1.638456049</v>
      </c>
      <c r="AE158" s="65">
        <f>VLOOKUP($O158,'NO USAR1'!$A$4:$L$399,3,False)*$V$19</f>
        <v>-1.613351122</v>
      </c>
      <c r="AF158" s="65">
        <f>VLOOKUP($O158,'NO USAR1'!$A$4:$L$399,4,False)*$W$19</f>
        <v>0.5819124269</v>
      </c>
      <c r="AG158" s="65">
        <f>VLOOKUP($O158,'NO USAR1'!$A$4:$L$399,5,False)*$X$19</f>
        <v>-1.427882074</v>
      </c>
      <c r="AH158" s="65">
        <f>VLOOKUP($O158,'NO USAR1'!$A$4:$L$399,6,False)*$Y$19</f>
        <v>-1.242861316</v>
      </c>
      <c r="AI158" s="65">
        <f>VLOOKUP($O158,'NO USAR1'!$A$4:$L$399,7,False)*$Z$19</f>
        <v>0</v>
      </c>
      <c r="AJ158" s="65">
        <f>VLOOKUP($O158,'NO USAR1'!$A$4:$L$399,8,False)*$AA$19</f>
        <v>0</v>
      </c>
      <c r="AK158" s="70">
        <f>VLOOKUP($O158,'NO USAR1'!$A$4:$L$399,10,False)*$AB$19</f>
        <v>-0.8783736838</v>
      </c>
      <c r="AL158" s="65">
        <f>VLOOKUP($O158,'NO USAR1'!$A$4:$L$399,12,False)*$AC$19</f>
        <v>0</v>
      </c>
      <c r="AM158" s="71">
        <f t="shared" si="2"/>
        <v>-1.638456049</v>
      </c>
      <c r="AN158" s="71">
        <f t="shared" si="3"/>
        <v>-3.251807172</v>
      </c>
    </row>
    <row r="159">
      <c r="A159" t="str">
        <f>IF('NO USAR2'!B157="",ROW('NO USAR2'!B157),'NO USAR2'!B157)</f>
        <v>Seth Curry</v>
      </c>
      <c r="B159" s="58">
        <f>IF(TYPE($A159)=1,"",('NO USAR2'!$L157-B$1)/B$2)</f>
        <v>-0.7905145352</v>
      </c>
      <c r="C159" s="58">
        <f>IF(TYPE($A159)=1,"",('NO USAR2'!$K157-C$1)/C$2)</f>
        <v>0.486555559</v>
      </c>
      <c r="D159" s="58">
        <f>IF(TYPE($A159)=1,"",('NO USAR2'!$M157-D$1)/D$2)</f>
        <v>-1.418343048</v>
      </c>
      <c r="E159" s="58">
        <f>IF(TYPE($A159)=1,"",('NO USAR2'!$N157-E$1)/E$2)</f>
        <v>-0.3205074354</v>
      </c>
      <c r="F159" s="58">
        <f>IF(TYPE($A159)=1,"",('NO USAR2'!$O157-F$1)/F$2)</f>
        <v>-0.9942890529</v>
      </c>
      <c r="G159" s="58">
        <f>IF(TYPE($A159)=1,"",('NO USAR2'!$P157-G$1)/G$2)</f>
        <v>-1.024427538</v>
      </c>
      <c r="H159" s="58">
        <f>IF(TYPE($A159)=1,"",('NO USAR2'!$H157-H$1)/H$2*I159/$I$1)</f>
        <v>0.009879778212</v>
      </c>
      <c r="I159" s="58">
        <f>IF(TYPE($A159)=1,"",IF('NO USAR2'!H157=0,0,'NO USAR2'!G157/'NO USAR2'!H157))</f>
        <v>9.6</v>
      </c>
      <c r="J159" s="59">
        <f>IF(TYPE($A159)=1,"",('NO USAR2'!$J157-J$1)/J$2*K159/$K$1)</f>
        <v>0.2376127181</v>
      </c>
      <c r="K159" s="60">
        <f>IF(TYPE($A159)=1,"",IF('NO USAR2'!J157=0,0,'NO USAR2'!I157/'NO USAR2'!J157))</f>
        <v>1.3</v>
      </c>
      <c r="L159" s="58">
        <f>IF(TYPE($A159)=1,"",-('NO USAR2'!$Q157-L$1)/L$2)</f>
        <v>0.6851542367</v>
      </c>
      <c r="N159" s="63">
        <v>139.0</v>
      </c>
      <c r="O159" s="68" t="str">
        <f>IF('NO USAR2'!B156="",ROW('NO USAR2'!B156),'NO USAR2'!B156)</f>
        <v>Chuma Okeke</v>
      </c>
      <c r="P159" s="68">
        <f>'NO USAR2'!E140</f>
        <v>67</v>
      </c>
      <c r="Q159" s="68" t="str">
        <f>IF('NO USAR2'!C156="",ROW('NO USAR2'!N171),'NO USAR2'!C156)</f>
        <v>PF</v>
      </c>
      <c r="R159" s="65">
        <f>VLOOKUP($O159,'NO USAR1'!$A$4:$L$399,2,False)+VLOOKUP($O159,'NO USAR1'!$A$4:$L$399,3,False)+VLOOKUP($O159,'NO USAR1'!$A$4:$L$399,4,False)+VLOOKUP($O159,'NO USAR1'!$A$4:$L$399,5,False)+VLOOKUP($O159,'NO USAR1'!$A$4:$L$399,6,False)+VLOOKUP($O159,'NO USAR1'!$A$4:$L$399,7,False)+VLOOKUP($O159,'NO USAR1'!$A$4:$L$399,8,False)+VLOOKUP($O159,'NO USAR1'!$A$4:$L$399,10,False)+VLOOKUP($O159,'NO USAR1'!$A$4:$L$399,12,False)*0</f>
        <v>-3.172972128</v>
      </c>
      <c r="S159" s="65">
        <f>VLOOKUP($O159,'NO USAR1'!$A$4:$L$399,2,False)*$U$19+VLOOKUP($O159,'NO USAR1'!$A$4:$L$399,3,False)*$V$19+VLOOKUP($O159,'NO USAR1'!$A$4:$L$399,4,False)*$W$19+VLOOKUP($O159,'NO USAR1'!$A$4:$L$399,5,False)*$X$19+VLOOKUP($O159,'NO USAR1'!$A$4:$L$399,6,False)*$Y$19+VLOOKUP($O159,'NO USAR1'!$A$4:$L$399,7,False)*$Z$19+VLOOKUP($O159,'NO USAR1'!$A$4:$L$399,8,False)*$AA$19+VLOOKUP($O159,'NO USAR1'!$A$4:$L$399,10,False)*$AB$19+VLOOKUP($O159,'NO USAR1'!$A$4:$L$399,12,False)*$AC$19+IF(Projections!$K$3,-AN159, IF(Projections!$J$3,-AM159,0))</f>
        <v>-3.03456784</v>
      </c>
      <c r="T159" s="65">
        <f t="shared" si="1"/>
        <v>0.1384042877</v>
      </c>
      <c r="U159" s="65">
        <f>VLOOKUP($O159,'NO USAR2'!$B$2:$R$397,11,False)</f>
        <v>7.9</v>
      </c>
      <c r="V159" s="69">
        <f>VLOOKUP($O159,'NO USAR2'!$B$2:$R$397,10,False)</f>
        <v>1.6</v>
      </c>
      <c r="W159" s="65">
        <f>VLOOKUP($O159,'NO USAR2'!$B$2:$R$397,12,False)</f>
        <v>4.6</v>
      </c>
      <c r="X159" s="65">
        <f>VLOOKUP($O159,'NO USAR2'!$B$2:$R$397,13,False)</f>
        <v>1.6</v>
      </c>
      <c r="Y159" s="65">
        <f>VLOOKUP($O159,'NO USAR2'!$B$2:$R$397,14,False)</f>
        <v>1.3</v>
      </c>
      <c r="Z159" s="70">
        <f>VLOOKUP($O159,'NO USAR2'!$B$2:$R$397,15,False)</f>
        <v>0.6</v>
      </c>
      <c r="AA159" s="65">
        <f>100*VLOOKUP($O159,'NO USAR2'!$B$2:$R$397,7,False)</f>
        <v>40</v>
      </c>
      <c r="AB159" s="65">
        <f>100*VLOOKUP($O159,'NO USAR2'!$B$2:$R$397,9,False)</f>
        <v>77.77777778</v>
      </c>
      <c r="AC159" s="65">
        <f>VLOOKUP($O159,'NO USAR2'!$B$2:$Q$397,16,False)</f>
        <v>0.7</v>
      </c>
      <c r="AD159" s="65">
        <f>VLOOKUP($O159,'NO USAR1'!$A$4:$L$399,2,False)*$U$19</f>
        <v>-2.410682117</v>
      </c>
      <c r="AE159" s="65">
        <f>VLOOKUP($O159,'NO USAR1'!$A$4:$L$399,3,False)*$V$19</f>
        <v>-0.01342222232</v>
      </c>
      <c r="AF159" s="65">
        <f>VLOOKUP($O159,'NO USAR1'!$A$4:$L$399,4,False)*$W$19</f>
        <v>-0.6019122419</v>
      </c>
      <c r="AG159" s="65">
        <f>VLOOKUP($O159,'NO USAR1'!$A$4:$L$399,5,False)*$X$19</f>
        <v>-1.199604789</v>
      </c>
      <c r="AH159" s="65">
        <f>VLOOKUP($O159,'NO USAR1'!$A$4:$L$399,6,False)*$Y$19</f>
        <v>1.209937838</v>
      </c>
      <c r="AI159" s="65">
        <f>VLOOKUP($O159,'NO USAR1'!$A$4:$L$399,7,False)*$Z$19</f>
        <v>0</v>
      </c>
      <c r="AJ159" s="65">
        <f>VLOOKUP($O159,'NO USAR1'!$A$4:$L$399,8,False)*$AA$19</f>
        <v>0</v>
      </c>
      <c r="AK159" s="70">
        <f>VLOOKUP($O159,'NO USAR1'!$A$4:$L$399,10,False)*$AB$19</f>
        <v>-0.01888430688</v>
      </c>
      <c r="AL159" s="65">
        <f>VLOOKUP($O159,'NO USAR1'!$A$4:$L$399,12,False)*$AC$19</f>
        <v>0</v>
      </c>
      <c r="AM159" s="71">
        <f t="shared" si="2"/>
        <v>-2.410682117</v>
      </c>
      <c r="AN159" s="71">
        <f t="shared" si="3"/>
        <v>-3.610286907</v>
      </c>
    </row>
    <row r="160">
      <c r="A160" t="str">
        <f>IF('NO USAR2'!B158="",ROW('NO USAR2'!B158),'NO USAR2'!B158)</f>
        <v>Kevin Huerter</v>
      </c>
      <c r="B160" s="58">
        <f>IF(TYPE($A160)=1,"",('NO USAR2'!$L158-B$1)/B$2)</f>
        <v>-0.8792761521</v>
      </c>
      <c r="C160" s="58">
        <f>IF(TYPE($A160)=1,"",('NO USAR2'!$K158-C$1)/C$2)</f>
        <v>0.5865511152</v>
      </c>
      <c r="D160" s="58">
        <f>IF(TYPE($A160)=1,"",('NO USAR2'!$M158-D$1)/D$2)</f>
        <v>-1.091770726</v>
      </c>
      <c r="E160" s="58">
        <f>IF(TYPE($A160)=1,"",('NO USAR2'!$N158-E$1)/E$2)</f>
        <v>-0.457473806</v>
      </c>
      <c r="F160" s="58">
        <f>IF(TYPE($A160)=1,"",('NO USAR2'!$O158-F$1)/F$2)</f>
        <v>-0.9942890529</v>
      </c>
      <c r="G160" s="58">
        <f>IF(TYPE($A160)=1,"",('NO USAR2'!$P158-G$1)/G$2)</f>
        <v>-0.6124445335</v>
      </c>
      <c r="H160" s="58">
        <f>IF(TYPE($A160)=1,"",('NO USAR2'!$H158-H$1)/H$2*I160/$I$1)</f>
        <v>-0.4464661525</v>
      </c>
      <c r="I160" s="58">
        <f>IF(TYPE($A160)=1,"",IF('NO USAR2'!H158=0,0,'NO USAR2'!G158/'NO USAR2'!H158))</f>
        <v>10.2</v>
      </c>
      <c r="J160" s="59">
        <f>IF(TYPE($A160)=1,"",('NO USAR2'!$J158-J$1)/J$2*K160/$K$1)</f>
        <v>0.1532290256</v>
      </c>
      <c r="K160" s="60">
        <f>IF(TYPE($A160)=1,"",IF('NO USAR2'!J158=0,0,'NO USAR2'!I158/'NO USAR2'!J158))</f>
        <v>0.7</v>
      </c>
      <c r="L160" s="58">
        <f>IF(TYPE($A160)=1,"",-('NO USAR2'!$Q158-L$1)/L$2)</f>
        <v>0.905885007</v>
      </c>
      <c r="N160" s="2">
        <v>140.0</v>
      </c>
      <c r="O160" s="68" t="str">
        <f>IF('NO USAR2'!B128="",ROW('NO USAR2'!B128),'NO USAR2'!B128)</f>
        <v>Aaron Gordon</v>
      </c>
      <c r="P160" s="68">
        <f>'NO USAR2'!E141</f>
        <v>72</v>
      </c>
      <c r="Q160" s="68" t="str">
        <f>IF('NO USAR2'!C128="",ROW('NO USAR2'!N143),'NO USAR2'!C128)</f>
        <v>PF</v>
      </c>
      <c r="R160" s="65">
        <f>VLOOKUP($O160,'NO USAR1'!$A$4:$L$399,2,False)+VLOOKUP($O160,'NO USAR1'!$A$4:$L$399,3,False)+VLOOKUP($O160,'NO USAR1'!$A$4:$L$399,4,False)+VLOOKUP($O160,'NO USAR1'!$A$4:$L$399,5,False)+VLOOKUP($O160,'NO USAR1'!$A$4:$L$399,6,False)+VLOOKUP($O160,'NO USAR1'!$A$4:$L$399,7,False)+VLOOKUP($O160,'NO USAR1'!$A$4:$L$399,8,False)+VLOOKUP($O160,'NO USAR1'!$A$4:$L$399,10,False)+VLOOKUP($O160,'NO USAR1'!$A$4:$L$399,12,False)*0</f>
        <v>-3.182474997</v>
      </c>
      <c r="S160" s="65">
        <f>VLOOKUP($O160,'NO USAR1'!$A$4:$L$399,2,False)*$U$19+VLOOKUP($O160,'NO USAR1'!$A$4:$L$399,3,False)*$V$19+VLOOKUP($O160,'NO USAR1'!$A$4:$L$399,4,False)*$W$19+VLOOKUP($O160,'NO USAR1'!$A$4:$L$399,5,False)*$X$19+VLOOKUP($O160,'NO USAR1'!$A$4:$L$399,6,False)*$Y$19+VLOOKUP($O160,'NO USAR1'!$A$4:$L$399,7,False)*$Z$19+VLOOKUP($O160,'NO USAR1'!$A$4:$L$399,8,False)*$AA$19+VLOOKUP($O160,'NO USAR1'!$A$4:$L$399,10,False)*$AB$19+VLOOKUP($O160,'NO USAR1'!$A$4:$L$399,12,False)*$AC$19+IF(Projections!$K$3,-AN160, IF(Projections!$J$3,-AM160,0))</f>
        <v>-3.70290179</v>
      </c>
      <c r="T160" s="65">
        <f t="shared" si="1"/>
        <v>-0.5204267922</v>
      </c>
      <c r="U160" s="65">
        <f>VLOOKUP($O160,'NO USAR2'!$B$2:$R$397,11,False)</f>
        <v>14.6</v>
      </c>
      <c r="V160" s="69">
        <f>VLOOKUP($O160,'NO USAR2'!$B$2:$R$397,10,False)</f>
        <v>1.2</v>
      </c>
      <c r="W160" s="65">
        <f>VLOOKUP($O160,'NO USAR2'!$B$2:$R$397,12,False)</f>
        <v>5.8</v>
      </c>
      <c r="X160" s="65">
        <f>VLOOKUP($O160,'NO USAR2'!$B$2:$R$397,13,False)</f>
        <v>2.5</v>
      </c>
      <c r="Y160" s="65">
        <f>VLOOKUP($O160,'NO USAR2'!$B$2:$R$397,14,False)</f>
        <v>0.6</v>
      </c>
      <c r="Z160" s="70">
        <f>VLOOKUP($O160,'NO USAR2'!$B$2:$R$397,15,False)</f>
        <v>0.6</v>
      </c>
      <c r="AA160" s="65">
        <f>100*VLOOKUP($O160,'NO USAR2'!$B$2:$R$397,7,False)</f>
        <v>50.92592593</v>
      </c>
      <c r="AB160" s="65">
        <f>100*VLOOKUP($O160,'NO USAR2'!$B$2:$R$397,9,False)</f>
        <v>75</v>
      </c>
      <c r="AC160" s="65">
        <f>VLOOKUP($O160,'NO USAR2'!$B$2:$Q$397,16,False)</f>
        <v>1.8</v>
      </c>
      <c r="AD160" s="65">
        <f>VLOOKUP($O160,'NO USAR1'!$A$4:$L$399,2,False)*$U$19</f>
        <v>-0.6265736157</v>
      </c>
      <c r="AE160" s="65">
        <f>VLOOKUP($O160,'NO USAR1'!$A$4:$L$399,3,False)*$V$19</f>
        <v>-0.4134044473</v>
      </c>
      <c r="AF160" s="65">
        <f>VLOOKUP($O160,'NO USAR1'!$A$4:$L$399,4,False)*$W$19</f>
        <v>-0.1120537583</v>
      </c>
      <c r="AG160" s="65">
        <f>VLOOKUP($O160,'NO USAR1'!$A$4:$L$399,5,False)*$X$19</f>
        <v>-0.6859808997</v>
      </c>
      <c r="AH160" s="65">
        <f>VLOOKUP($O160,'NO USAR1'!$A$4:$L$399,6,False)*$Y$19</f>
        <v>-1.651661175</v>
      </c>
      <c r="AI160" s="65">
        <f>VLOOKUP($O160,'NO USAR1'!$A$4:$L$399,7,False)*$Z$19</f>
        <v>0</v>
      </c>
      <c r="AJ160" s="65">
        <f>VLOOKUP($O160,'NO USAR1'!$A$4:$L$399,8,False)*$AA$19</f>
        <v>0</v>
      </c>
      <c r="AK160" s="70">
        <f>VLOOKUP($O160,'NO USAR1'!$A$4:$L$399,10,False)*$AB$19</f>
        <v>-0.2132278935</v>
      </c>
      <c r="AL160" s="65">
        <f>VLOOKUP($O160,'NO USAR1'!$A$4:$L$399,12,False)*$AC$19</f>
        <v>0</v>
      </c>
      <c r="AM160" s="71">
        <f t="shared" si="2"/>
        <v>-1.651661175</v>
      </c>
      <c r="AN160" s="71">
        <f t="shared" si="3"/>
        <v>-2.337642075</v>
      </c>
    </row>
    <row r="161">
      <c r="A161" t="str">
        <f>IF('NO USAR2'!B159="",ROW('NO USAR2'!B159),'NO USAR2'!B159)</f>
        <v>Mason Plumlee</v>
      </c>
      <c r="B161" s="58">
        <f>IF(TYPE($A161)=1,"",('NO USAR2'!$L159-B$1)/B$2)</f>
        <v>-1.820149292</v>
      </c>
      <c r="C161" s="58">
        <f>IF(TYPE($A161)=1,"",('NO USAR2'!$K159-C$1)/C$2)</f>
        <v>-1.613351122</v>
      </c>
      <c r="D161" s="58">
        <f>IF(TYPE($A161)=1,"",('NO USAR2'!$M159-D$1)/D$2)</f>
        <v>0.5819124269</v>
      </c>
      <c r="E161" s="58">
        <f>IF(TYPE($A161)=1,"",('NO USAR2'!$N159-E$1)/E$2)</f>
        <v>-0.2291965217</v>
      </c>
      <c r="F161" s="58">
        <f>IF(TYPE($A161)=1,"",('NO USAR2'!$O159-F$1)/F$2)</f>
        <v>-0.6672491657</v>
      </c>
      <c r="G161" s="58">
        <f>IF(TYPE($A161)=1,"",('NO USAR2'!$P159-G$1)/G$2)</f>
        <v>0.005529973215</v>
      </c>
      <c r="H161" s="58">
        <f>IF(TYPE($A161)=1,"",('NO USAR2'!$H159-H$1)/H$2*I161/$I$1)</f>
        <v>0.81338386</v>
      </c>
      <c r="I161" s="58">
        <f>IF(TYPE($A161)=1,"",IF('NO USAR2'!H159=0,0,'NO USAR2'!G159/'NO USAR2'!H159))</f>
        <v>4.5</v>
      </c>
      <c r="J161" s="59">
        <f>IF(TYPE($A161)=1,"",('NO USAR2'!$J159-J$1)/J$2*K161/$K$1)</f>
        <v>-1.199292809</v>
      </c>
      <c r="K161" s="60">
        <f>IF(TYPE($A161)=1,"",IF('NO USAR2'!J159=0,0,'NO USAR2'!I159/'NO USAR2'!J159))</f>
        <v>1.6</v>
      </c>
      <c r="L161" s="58">
        <f>IF(TYPE($A161)=1,"",-('NO USAR2'!$Q159-L$1)/L$2)</f>
        <v>0.6851542367</v>
      </c>
      <c r="N161" s="63">
        <v>141.0</v>
      </c>
      <c r="O161" s="68" t="str">
        <f>IF('NO USAR2'!B137="",ROW('NO USAR2'!B137),'NO USAR2'!B137)</f>
        <v>Gary Payton II</v>
      </c>
      <c r="P161" s="68">
        <f>'NO USAR2'!E142</f>
        <v>58</v>
      </c>
      <c r="Q161" s="68" t="str">
        <f>IF('NO USAR2'!C137="",ROW('NO USAR2'!N152),'NO USAR2'!C137)</f>
        <v>PG</v>
      </c>
      <c r="R161" s="65">
        <f>VLOOKUP($O161,'NO USAR1'!$A$4:$L$399,2,False)+VLOOKUP($O161,'NO USAR1'!$A$4:$L$399,3,False)+VLOOKUP($O161,'NO USAR1'!$A$4:$L$399,4,False)+VLOOKUP($O161,'NO USAR1'!$A$4:$L$399,5,False)+VLOOKUP($O161,'NO USAR1'!$A$4:$L$399,6,False)+VLOOKUP($O161,'NO USAR1'!$A$4:$L$399,7,False)+VLOOKUP($O161,'NO USAR1'!$A$4:$L$399,8,False)+VLOOKUP($O161,'NO USAR1'!$A$4:$L$399,10,False)+VLOOKUP($O161,'NO USAR1'!$A$4:$L$399,12,False)*0</f>
        <v>-3.219311282</v>
      </c>
      <c r="S161" s="65">
        <f>VLOOKUP($O161,'NO USAR1'!$A$4:$L$399,2,False)*$U$19+VLOOKUP($O161,'NO USAR1'!$A$4:$L$399,3,False)*$V$19+VLOOKUP($O161,'NO USAR1'!$A$4:$L$399,4,False)*$W$19+VLOOKUP($O161,'NO USAR1'!$A$4:$L$399,5,False)*$X$19+VLOOKUP($O161,'NO USAR1'!$A$4:$L$399,6,False)*$Y$19+VLOOKUP($O161,'NO USAR1'!$A$4:$L$399,7,False)*$Z$19+VLOOKUP($O161,'NO USAR1'!$A$4:$L$399,8,False)*$AA$19+VLOOKUP($O161,'NO USAR1'!$A$4:$L$399,10,False)*$AB$19+VLOOKUP($O161,'NO USAR1'!$A$4:$L$399,12,False)*$AC$19+IF(Projections!$K$3,-AN161, IF(Projections!$J$3,-AM161,0))</f>
        <v>-3.978933996</v>
      </c>
      <c r="T161" s="65">
        <f t="shared" si="1"/>
        <v>-0.7596227141</v>
      </c>
      <c r="U161" s="65">
        <f>VLOOKUP($O161,'NO USAR2'!$B$2:$R$397,11,False)</f>
        <v>8.5</v>
      </c>
      <c r="V161" s="69">
        <f>VLOOKUP($O161,'NO USAR2'!$B$2:$R$397,10,False)</f>
        <v>0.7</v>
      </c>
      <c r="W161" s="65">
        <f>VLOOKUP($O161,'NO USAR2'!$B$2:$R$397,12,False)</f>
        <v>4.2</v>
      </c>
      <c r="X161" s="65">
        <f>VLOOKUP($O161,'NO USAR2'!$B$2:$R$397,13,False)</f>
        <v>1.1</v>
      </c>
      <c r="Y161" s="65">
        <f>VLOOKUP($O161,'NO USAR2'!$B$2:$R$397,14,False)</f>
        <v>1.4</v>
      </c>
      <c r="Z161" s="70">
        <f>VLOOKUP($O161,'NO USAR2'!$B$2:$R$397,15,False)</f>
        <v>0.4</v>
      </c>
      <c r="AA161" s="65">
        <f>100*VLOOKUP($O161,'NO USAR2'!$B$2:$R$397,7,False)</f>
        <v>61.01694915</v>
      </c>
      <c r="AB161" s="65">
        <f>100*VLOOKUP($O161,'NO USAR2'!$B$2:$R$397,9,False)</f>
        <v>66.66666667</v>
      </c>
      <c r="AC161" s="65">
        <f>VLOOKUP($O161,'NO USAR2'!$B$2:$Q$397,16,False)</f>
        <v>0.7</v>
      </c>
      <c r="AD161" s="65">
        <f>VLOOKUP($O161,'NO USAR1'!$A$4:$L$399,2,False)*$U$19</f>
        <v>-2.250911207</v>
      </c>
      <c r="AE161" s="65">
        <f>VLOOKUP($O161,'NO USAR1'!$A$4:$L$399,3,False)*$V$19</f>
        <v>-0.9133822286</v>
      </c>
      <c r="AF161" s="65">
        <f>VLOOKUP($O161,'NO USAR1'!$A$4:$L$399,4,False)*$W$19</f>
        <v>-0.7651984031</v>
      </c>
      <c r="AG161" s="65">
        <f>VLOOKUP($O161,'NO USAR1'!$A$4:$L$399,5,False)*$X$19</f>
        <v>-1.484951395</v>
      </c>
      <c r="AH161" s="65">
        <f>VLOOKUP($O161,'NO USAR1'!$A$4:$L$399,6,False)*$Y$19</f>
        <v>1.618737696</v>
      </c>
      <c r="AI161" s="65">
        <f>VLOOKUP($O161,'NO USAR1'!$A$4:$L$399,7,False)*$Z$19</f>
        <v>0</v>
      </c>
      <c r="AJ161" s="65">
        <f>VLOOKUP($O161,'NO USAR1'!$A$4:$L$399,8,False)*$AA$19</f>
        <v>0</v>
      </c>
      <c r="AK161" s="70">
        <f>VLOOKUP($O161,'NO USAR1'!$A$4:$L$399,10,False)*$AB$19</f>
        <v>-0.1832284595</v>
      </c>
      <c r="AL161" s="65">
        <f>VLOOKUP($O161,'NO USAR1'!$A$4:$L$399,12,False)*$AC$19</f>
        <v>0</v>
      </c>
      <c r="AM161" s="71">
        <f t="shared" si="2"/>
        <v>-2.250911207</v>
      </c>
      <c r="AN161" s="71">
        <f t="shared" si="3"/>
        <v>-3.735862601</v>
      </c>
    </row>
    <row r="162">
      <c r="A162" t="str">
        <f>IF('NO USAR2'!B160="",ROW('NO USAR2'!B160),'NO USAR2'!B160)</f>
        <v>Chris Duarte</v>
      </c>
      <c r="B162" s="58">
        <f>IF(TYPE($A162)=1,"",('NO USAR2'!$L160-B$1)/B$2)</f>
        <v>-0.5419820076</v>
      </c>
      <c r="C162" s="58">
        <f>IF(TYPE($A162)=1,"",('NO USAR2'!$K160-C$1)/C$2)</f>
        <v>0.1865688902</v>
      </c>
      <c r="D162" s="58">
        <f>IF(TYPE($A162)=1,"",('NO USAR2'!$M160-D$1)/D$2)</f>
        <v>-0.7243768628</v>
      </c>
      <c r="E162" s="58">
        <f>IF(TYPE($A162)=1,"",('NO USAR2'!$N160-E$1)/E$2)</f>
        <v>-0.6857510903</v>
      </c>
      <c r="F162" s="58">
        <f>IF(TYPE($A162)=1,"",('NO USAR2'!$O160-F$1)/F$2)</f>
        <v>0.3138704957</v>
      </c>
      <c r="G162" s="58">
        <f>IF(TYPE($A162)=1,"",('NO USAR2'!$P160-G$1)/G$2)</f>
        <v>-1.024427538</v>
      </c>
      <c r="H162" s="58">
        <f>IF(TYPE($A162)=1,"",('NO USAR2'!$H160-H$1)/H$2*I162/$I$1)</f>
        <v>-0.7143008464</v>
      </c>
      <c r="I162" s="58">
        <f>IF(TYPE($A162)=1,"",IF('NO USAR2'!H160=0,0,'NO USAR2'!G160/'NO USAR2'!H160))</f>
        <v>11.9</v>
      </c>
      <c r="J162" s="59">
        <f>IF(TYPE($A162)=1,"",('NO USAR2'!$J160-J$1)/J$2*K162/$K$1)</f>
        <v>0.1309987714</v>
      </c>
      <c r="K162" s="60">
        <f>IF(TYPE($A162)=1,"",IF('NO USAR2'!J160=0,0,'NO USAR2'!I160/'NO USAR2'!J160))</f>
        <v>2.1</v>
      </c>
      <c r="L162" s="58">
        <f>IF(TYPE($A162)=1,"",-('NO USAR2'!$Q160-L$1)/L$2)</f>
        <v>0.3540580812</v>
      </c>
      <c r="N162" s="63">
        <v>142.0</v>
      </c>
      <c r="O162" s="68" t="str">
        <f>IF('NO USAR2'!B141="",ROW('NO USAR2'!B141),'NO USAR2'!B141)</f>
        <v>Bruce Brown</v>
      </c>
      <c r="P162" s="68">
        <f>'NO USAR2'!E143</f>
        <v>60</v>
      </c>
      <c r="Q162" s="68" t="str">
        <f>IF('NO USAR2'!C141="",ROW('NO USAR2'!N156),'NO USAR2'!C141)</f>
        <v>SG</v>
      </c>
      <c r="R162" s="65">
        <f>VLOOKUP($O162,'NO USAR1'!$A$4:$L$399,2,False)+VLOOKUP($O162,'NO USAR1'!$A$4:$L$399,3,False)+VLOOKUP($O162,'NO USAR1'!$A$4:$L$399,4,False)+VLOOKUP($O162,'NO USAR1'!$A$4:$L$399,5,False)+VLOOKUP($O162,'NO USAR1'!$A$4:$L$399,6,False)+VLOOKUP($O162,'NO USAR1'!$A$4:$L$399,7,False)+VLOOKUP($O162,'NO USAR1'!$A$4:$L$399,8,False)+VLOOKUP($O162,'NO USAR1'!$A$4:$L$399,10,False)+VLOOKUP($O162,'NO USAR1'!$A$4:$L$399,12,False)*0</f>
        <v>-3.268435313</v>
      </c>
      <c r="S162" s="65">
        <f>VLOOKUP($O162,'NO USAR1'!$A$4:$L$399,2,False)*$U$19+VLOOKUP($O162,'NO USAR1'!$A$4:$L$399,3,False)*$V$19+VLOOKUP($O162,'NO USAR1'!$A$4:$L$399,4,False)*$W$19+VLOOKUP($O162,'NO USAR1'!$A$4:$L$399,5,False)*$X$19+VLOOKUP($O162,'NO USAR1'!$A$4:$L$399,6,False)*$Y$19+VLOOKUP($O162,'NO USAR1'!$A$4:$L$399,7,False)*$Z$19+VLOOKUP($O162,'NO USAR1'!$A$4:$L$399,8,False)*$AA$19+VLOOKUP($O162,'NO USAR1'!$A$4:$L$399,10,False)*$AB$19+VLOOKUP($O162,'NO USAR1'!$A$4:$L$399,12,False)*$AC$19+IF(Projections!$K$3,-AN162, IF(Projections!$J$3,-AM162,0))</f>
        <v>-4.311099962</v>
      </c>
      <c r="T162" s="65">
        <f t="shared" si="1"/>
        <v>-1.042664649</v>
      </c>
      <c r="U162" s="65">
        <f>VLOOKUP($O162,'NO USAR2'!$B$2:$R$397,11,False)</f>
        <v>9</v>
      </c>
      <c r="V162" s="69">
        <f>VLOOKUP($O162,'NO USAR2'!$B$2:$R$397,10,False)</f>
        <v>0.5</v>
      </c>
      <c r="W162" s="65">
        <f>VLOOKUP($O162,'NO USAR2'!$B$2:$R$397,12,False)</f>
        <v>4.8</v>
      </c>
      <c r="X162" s="65">
        <f>VLOOKUP($O162,'NO USAR2'!$B$2:$R$397,13,False)</f>
        <v>2.1</v>
      </c>
      <c r="Y162" s="65">
        <f>VLOOKUP($O162,'NO USAR2'!$B$2:$R$397,14,False)</f>
        <v>1.1</v>
      </c>
      <c r="Z162" s="70">
        <f>VLOOKUP($O162,'NO USAR2'!$B$2:$R$397,15,False)</f>
        <v>0.7</v>
      </c>
      <c r="AA162" s="65">
        <f>100*VLOOKUP($O162,'NO USAR2'!$B$2:$R$397,7,False)</f>
        <v>52.17391304</v>
      </c>
      <c r="AB162" s="65">
        <f>100*VLOOKUP($O162,'NO USAR2'!$B$2:$R$397,9,False)</f>
        <v>77.77777778</v>
      </c>
      <c r="AC162" s="65">
        <f>VLOOKUP($O162,'NO USAR2'!$B$2:$Q$397,16,False)</f>
        <v>0.8</v>
      </c>
      <c r="AD162" s="65">
        <f>VLOOKUP($O162,'NO USAR1'!$A$4:$L$399,2,False)*$U$19</f>
        <v>-2.117768781</v>
      </c>
      <c r="AE162" s="65">
        <f>VLOOKUP($O162,'NO USAR1'!$A$4:$L$399,3,False)*$V$19</f>
        <v>-1.113373341</v>
      </c>
      <c r="AF162" s="65">
        <f>VLOOKUP($O162,'NO USAR1'!$A$4:$L$399,4,False)*$W$19</f>
        <v>-0.5202691613</v>
      </c>
      <c r="AG162" s="65">
        <f>VLOOKUP($O162,'NO USAR1'!$A$4:$L$399,5,False)*$X$19</f>
        <v>-0.914258184</v>
      </c>
      <c r="AH162" s="65">
        <f>VLOOKUP($O162,'NO USAR1'!$A$4:$L$399,6,False)*$Y$19</f>
        <v>0.3923381197</v>
      </c>
      <c r="AI162" s="65">
        <f>VLOOKUP($O162,'NO USAR1'!$A$4:$L$399,7,False)*$Z$19</f>
        <v>0</v>
      </c>
      <c r="AJ162" s="65">
        <f>VLOOKUP($O162,'NO USAR1'!$A$4:$L$399,8,False)*$AA$19</f>
        <v>0</v>
      </c>
      <c r="AK162" s="70">
        <f>VLOOKUP($O162,'NO USAR1'!$A$4:$L$399,10,False)*$AB$19</f>
        <v>-0.03776861376</v>
      </c>
      <c r="AL162" s="65">
        <f>VLOOKUP($O162,'NO USAR1'!$A$4:$L$399,12,False)*$AC$19</f>
        <v>0</v>
      </c>
      <c r="AM162" s="71">
        <f t="shared" si="2"/>
        <v>-2.117768781</v>
      </c>
      <c r="AN162" s="71">
        <f t="shared" si="3"/>
        <v>-3.231142122</v>
      </c>
    </row>
    <row r="163">
      <c r="A163" t="str">
        <f>IF('NO USAR2'!B161="",ROW('NO USAR2'!B161),'NO USAR2'!B161)</f>
        <v>Darius Bazley</v>
      </c>
      <c r="B163" s="58">
        <f>IF(TYPE($A163)=1,"",('NO USAR2'!$L161-B$1)/B$2)</f>
        <v>-1.021294739</v>
      </c>
      <c r="C163" s="58">
        <f>IF(TYPE($A163)=1,"",('NO USAR2'!$K161-C$1)/C$2)</f>
        <v>-0.4134044473</v>
      </c>
      <c r="D163" s="58">
        <f>IF(TYPE($A163)=1,"",('NO USAR2'!$M161-D$1)/D$2)</f>
        <v>0.1736970238</v>
      </c>
      <c r="E163" s="58">
        <f>IF(TYPE($A163)=1,"",('NO USAR2'!$N161-E$1)/E$2)</f>
        <v>-1.050994745</v>
      </c>
      <c r="F163" s="58">
        <f>IF(TYPE($A163)=1,"",('NO USAR2'!$O161-F$1)/F$2)</f>
        <v>-0.6672491657</v>
      </c>
      <c r="G163" s="58">
        <f>IF(TYPE($A163)=1,"",('NO USAR2'!$P161-G$1)/G$2)</f>
        <v>0.62350448</v>
      </c>
      <c r="H163" s="58">
        <f>IF(TYPE($A163)=1,"",('NO USAR2'!$H161-H$1)/H$2*I163/$I$1)</f>
        <v>-0.6864454284</v>
      </c>
      <c r="I163" s="58">
        <f>IF(TYPE($A163)=1,"",IF('NO USAR2'!H161=0,0,'NO USAR2'!G161/'NO USAR2'!H161))</f>
        <v>9.6</v>
      </c>
      <c r="J163" s="59">
        <f>IF(TYPE($A163)=1,"",('NO USAR2'!$J161-J$1)/J$2*K163/$K$1)</f>
        <v>-0.6485301455</v>
      </c>
      <c r="K163" s="60">
        <f>IF(TYPE($A163)=1,"",IF('NO USAR2'!J161=0,0,'NO USAR2'!I161/'NO USAR2'!J161))</f>
        <v>2.4</v>
      </c>
      <c r="L163" s="58">
        <f>IF(TYPE($A163)=1,"",-('NO USAR2'!$Q161-L$1)/L$2)</f>
        <v>0.7955196219</v>
      </c>
      <c r="N163" s="2">
        <v>143.0</v>
      </c>
      <c r="O163" s="68" t="str">
        <f>IF('NO USAR2'!B152="",ROW('NO USAR2'!B152),'NO USAR2'!B152)</f>
        <v>Reggie Jackson</v>
      </c>
      <c r="P163" s="68">
        <f>'NO USAR2'!E144</f>
        <v>70</v>
      </c>
      <c r="Q163" s="68" t="str">
        <f>IF('NO USAR2'!C152="",ROW('NO USAR2'!N167),'NO USAR2'!C152)</f>
        <v>PG</v>
      </c>
      <c r="R163" s="65">
        <f>VLOOKUP($O163,'NO USAR1'!$A$4:$L$399,2,False)+VLOOKUP($O163,'NO USAR1'!$A$4:$L$399,3,False)+VLOOKUP($O163,'NO USAR1'!$A$4:$L$399,4,False)+VLOOKUP($O163,'NO USAR1'!$A$4:$L$399,5,False)+VLOOKUP($O163,'NO USAR1'!$A$4:$L$399,6,False)+VLOOKUP($O163,'NO USAR1'!$A$4:$L$399,7,False)+VLOOKUP($O163,'NO USAR1'!$A$4:$L$399,8,False)+VLOOKUP($O163,'NO USAR1'!$A$4:$L$399,10,False)+VLOOKUP($O163,'NO USAR1'!$A$4:$L$399,12,False)*0</f>
        <v>-3.29719538</v>
      </c>
      <c r="S163" s="65">
        <f>VLOOKUP($O163,'NO USAR1'!$A$4:$L$399,2,False)*$U$19+VLOOKUP($O163,'NO USAR1'!$A$4:$L$399,3,False)*$V$19+VLOOKUP($O163,'NO USAR1'!$A$4:$L$399,4,False)*$W$19+VLOOKUP($O163,'NO USAR1'!$A$4:$L$399,5,False)*$X$19+VLOOKUP($O163,'NO USAR1'!$A$4:$L$399,6,False)*$Y$19+VLOOKUP($O163,'NO USAR1'!$A$4:$L$399,7,False)*$Z$19+VLOOKUP($O163,'NO USAR1'!$A$4:$L$399,8,False)*$AA$19+VLOOKUP($O163,'NO USAR1'!$A$4:$L$399,10,False)*$AB$19+VLOOKUP($O163,'NO USAR1'!$A$4:$L$399,12,False)*$AC$19+IF(Projections!$K$3,-AN163, IF(Projections!$J$3,-AM163,0))</f>
        <v>-2.217482101</v>
      </c>
      <c r="T163" s="65">
        <f t="shared" si="1"/>
        <v>1.079713279</v>
      </c>
      <c r="U163" s="65">
        <f>VLOOKUP($O163,'NO USAR2'!$B$2:$R$397,11,False)</f>
        <v>15.4</v>
      </c>
      <c r="V163" s="69">
        <f>VLOOKUP($O163,'NO USAR2'!$B$2:$R$397,10,False)</f>
        <v>2</v>
      </c>
      <c r="W163" s="65">
        <f>VLOOKUP($O163,'NO USAR2'!$B$2:$R$397,12,False)</f>
        <v>3.3</v>
      </c>
      <c r="X163" s="65">
        <f>VLOOKUP($O163,'NO USAR2'!$B$2:$R$397,13,False)</f>
        <v>4.4</v>
      </c>
      <c r="Y163" s="65">
        <f>VLOOKUP($O163,'NO USAR2'!$B$2:$R$397,14,False)</f>
        <v>0.6</v>
      </c>
      <c r="Z163" s="70">
        <f>VLOOKUP($O163,'NO USAR2'!$B$2:$R$397,15,False)</f>
        <v>0.2</v>
      </c>
      <c r="AA163" s="65">
        <f>100*VLOOKUP($O163,'NO USAR2'!$B$2:$R$397,7,False)</f>
        <v>44.6969697</v>
      </c>
      <c r="AB163" s="65">
        <f>100*VLOOKUP($O163,'NO USAR2'!$B$2:$R$397,9,False)</f>
        <v>85</v>
      </c>
      <c r="AC163" s="65">
        <f>VLOOKUP($O163,'NO USAR2'!$B$2:$Q$397,16,False)</f>
        <v>2.1</v>
      </c>
      <c r="AD163" s="65">
        <f>VLOOKUP($O163,'NO USAR1'!$A$4:$L$399,2,False)*$U$19</f>
        <v>-0.413545735</v>
      </c>
      <c r="AE163" s="65">
        <f>VLOOKUP($O163,'NO USAR1'!$A$4:$L$399,3,False)*$V$19</f>
        <v>0.3865600027</v>
      </c>
      <c r="AF163" s="65">
        <f>VLOOKUP($O163,'NO USAR1'!$A$4:$L$399,4,False)*$W$19</f>
        <v>-1.132592266</v>
      </c>
      <c r="AG163" s="65">
        <f>VLOOKUP($O163,'NO USAR1'!$A$4:$L$399,5,False)*$X$19</f>
        <v>0.3983362008</v>
      </c>
      <c r="AH163" s="65">
        <f>VLOOKUP($O163,'NO USAR1'!$A$4:$L$399,6,False)*$Y$19</f>
        <v>-1.651661175</v>
      </c>
      <c r="AI163" s="65">
        <f>VLOOKUP($O163,'NO USAR1'!$A$4:$L$399,7,False)*$Z$19</f>
        <v>0</v>
      </c>
      <c r="AJ163" s="65">
        <f>VLOOKUP($O163,'NO USAR1'!$A$4:$L$399,8,False)*$AA$19</f>
        <v>0</v>
      </c>
      <c r="AK163" s="70">
        <f>VLOOKUP($O163,'NO USAR1'!$A$4:$L$399,10,False)*$AB$19</f>
        <v>0.1954208718</v>
      </c>
      <c r="AL163" s="65">
        <f>VLOOKUP($O163,'NO USAR1'!$A$4:$L$399,12,False)*$AC$19</f>
        <v>0</v>
      </c>
      <c r="AM163" s="71">
        <f t="shared" si="2"/>
        <v>-1.651661175</v>
      </c>
      <c r="AN163" s="71">
        <f t="shared" si="3"/>
        <v>-2.784253441</v>
      </c>
    </row>
    <row r="164">
      <c r="A164" t="str">
        <f>IF('NO USAR2'!B162="",ROW('NO USAR2'!B162),'NO USAR2'!B162)</f>
        <v>Cole Anthony</v>
      </c>
      <c r="B164" s="58">
        <f>IF(TYPE($A164)=1,"",('NO USAR2'!$L162-B$1)/B$2)</f>
        <v>-0.382211097</v>
      </c>
      <c r="C164" s="58">
        <f>IF(TYPE($A164)=1,"",('NO USAR2'!$K162-C$1)/C$2)</f>
        <v>0.1865688902</v>
      </c>
      <c r="D164" s="58">
        <f>IF(TYPE($A164)=1,"",('NO USAR2'!$M162-D$1)/D$2)</f>
        <v>-0.6427337822</v>
      </c>
      <c r="E164" s="58">
        <f>IF(TYPE($A164)=1,"",('NO USAR2'!$N162-E$1)/E$2)</f>
        <v>0.1360471332</v>
      </c>
      <c r="F164" s="58">
        <f>IF(TYPE($A164)=1,"",('NO USAR2'!$O162-F$1)/F$2)</f>
        <v>-1.32132894</v>
      </c>
      <c r="G164" s="58">
        <f>IF(TYPE($A164)=1,"",('NO USAR2'!$P162-G$1)/G$2)</f>
        <v>-0.8184360358</v>
      </c>
      <c r="H164" s="58">
        <f>IF(TYPE($A164)=1,"",('NO USAR2'!$H162-H$1)/H$2*I164/$I$1)</f>
        <v>-1.286700978</v>
      </c>
      <c r="I164" s="58">
        <f>IF(TYPE($A164)=1,"",IF('NO USAR2'!H162=0,0,'NO USAR2'!G162/'NO USAR2'!H162))</f>
        <v>12.5</v>
      </c>
      <c r="J164" s="59">
        <f>IF(TYPE($A164)=1,"",('NO USAR2'!$J162-J$1)/J$2*K164/$K$1)</f>
        <v>0.7661451278</v>
      </c>
      <c r="K164" s="60">
        <f>IF(TYPE($A164)=1,"",IF('NO USAR2'!J162=0,0,'NO USAR2'!I162/'NO USAR2'!J162))</f>
        <v>3.5</v>
      </c>
      <c r="L164" s="58">
        <f>IF(TYPE($A164)=1,"",-('NO USAR2'!$Q162-L$1)/L$2)</f>
        <v>-0.4184996149</v>
      </c>
      <c r="N164" s="63">
        <v>144.0</v>
      </c>
      <c r="O164" s="68" t="str">
        <f>IF('NO USAR2'!B148="",ROW('NO USAR2'!B148),'NO USAR2'!B148)</f>
        <v>Markelle Fultz</v>
      </c>
      <c r="P164" s="68">
        <f>'NO USAR2'!E145</f>
        <v>70</v>
      </c>
      <c r="Q164" s="68" t="str">
        <f>IF('NO USAR2'!C148="",ROW('NO USAR2'!N163),'NO USAR2'!C148)</f>
        <v>PG</v>
      </c>
      <c r="R164" s="65">
        <f>VLOOKUP($O164,'NO USAR1'!$A$4:$L$399,2,False)+VLOOKUP($O164,'NO USAR1'!$A$4:$L$399,3,False)+VLOOKUP($O164,'NO USAR1'!$A$4:$L$399,4,False)+VLOOKUP($O164,'NO USAR1'!$A$4:$L$399,5,False)+VLOOKUP($O164,'NO USAR1'!$A$4:$L$399,6,False)+VLOOKUP($O164,'NO USAR1'!$A$4:$L$399,7,False)+VLOOKUP($O164,'NO USAR1'!$A$4:$L$399,8,False)+VLOOKUP($O164,'NO USAR1'!$A$4:$L$399,10,False)+VLOOKUP($O164,'NO USAR1'!$A$4:$L$399,12,False)*0</f>
        <v>-3.340061977</v>
      </c>
      <c r="S164" s="65">
        <f>VLOOKUP($O164,'NO USAR1'!$A$4:$L$399,2,False)*$U$19+VLOOKUP($O164,'NO USAR1'!$A$4:$L$399,3,False)*$V$19+VLOOKUP($O164,'NO USAR1'!$A$4:$L$399,4,False)*$W$19+VLOOKUP($O164,'NO USAR1'!$A$4:$L$399,5,False)*$X$19+VLOOKUP($O164,'NO USAR1'!$A$4:$L$399,6,False)*$Y$19+VLOOKUP($O164,'NO USAR1'!$A$4:$L$399,7,False)*$Z$19+VLOOKUP($O164,'NO USAR1'!$A$4:$L$399,8,False)*$AA$19+VLOOKUP($O164,'NO USAR1'!$A$4:$L$399,10,False)*$AB$19+VLOOKUP($O164,'NO USAR1'!$A$4:$L$399,12,False)*$AC$19+IF(Projections!$K$3,-AN164, IF(Projections!$J$3,-AM164,0))</f>
        <v>-2.326445725</v>
      </c>
      <c r="T164" s="65">
        <f t="shared" si="1"/>
        <v>1.013616252</v>
      </c>
      <c r="U164" s="65">
        <f>VLOOKUP($O164,'NO USAR2'!$B$2:$R$397,11,False)</f>
        <v>14</v>
      </c>
      <c r="V164" s="69">
        <f>VLOOKUP($O164,'NO USAR2'!$B$2:$R$397,10,False)</f>
        <v>0.3</v>
      </c>
      <c r="W164" s="65">
        <f>VLOOKUP($O164,'NO USAR2'!$B$2:$R$397,12,False)</f>
        <v>3.5</v>
      </c>
      <c r="X164" s="65">
        <f>VLOOKUP($O164,'NO USAR2'!$B$2:$R$397,13,False)</f>
        <v>5</v>
      </c>
      <c r="Y164" s="65">
        <f>VLOOKUP($O164,'NO USAR2'!$B$2:$R$397,14,False)</f>
        <v>1</v>
      </c>
      <c r="Z164" s="70">
        <f>VLOOKUP($O164,'NO USAR2'!$B$2:$R$397,15,False)</f>
        <v>0.3</v>
      </c>
      <c r="AA164" s="65">
        <f>100*VLOOKUP($O164,'NO USAR2'!$B$2:$R$397,7,False)</f>
        <v>46.09375</v>
      </c>
      <c r="AB164" s="65">
        <f>100*VLOOKUP($O164,'NO USAR2'!$B$2:$R$397,9,False)</f>
        <v>81.81818182</v>
      </c>
      <c r="AC164" s="65">
        <f>VLOOKUP($O164,'NO USAR2'!$B$2:$Q$397,16,False)</f>
        <v>2.5</v>
      </c>
      <c r="AD164" s="65">
        <f>VLOOKUP($O164,'NO USAR1'!$A$4:$L$399,2,False)*$U$19</f>
        <v>-0.7863445263</v>
      </c>
      <c r="AE164" s="65">
        <f>VLOOKUP($O164,'NO USAR1'!$A$4:$L$399,3,False)*$V$19</f>
        <v>-1.313364454</v>
      </c>
      <c r="AF164" s="65">
        <f>VLOOKUP($O164,'NO USAR1'!$A$4:$L$399,4,False)*$W$19</f>
        <v>-1.050949185</v>
      </c>
      <c r="AG164" s="65">
        <f>VLOOKUP($O164,'NO USAR1'!$A$4:$L$399,5,False)*$X$19</f>
        <v>0.7407521273</v>
      </c>
      <c r="AH164" s="65">
        <f>VLOOKUP($O164,'NO USAR1'!$A$4:$L$399,6,False)*$Y$19</f>
        <v>-0.01646173929</v>
      </c>
      <c r="AI164" s="65">
        <f>VLOOKUP($O164,'NO USAR1'!$A$4:$L$399,7,False)*$Z$19</f>
        <v>0</v>
      </c>
      <c r="AJ164" s="65">
        <f>VLOOKUP($O164,'NO USAR1'!$A$4:$L$399,8,False)*$AA$19</f>
        <v>0</v>
      </c>
      <c r="AK164" s="70">
        <f>VLOOKUP($O164,'NO USAR1'!$A$4:$L$399,10,False)*$AB$19</f>
        <v>0.09992205219</v>
      </c>
      <c r="AL164" s="65">
        <f>VLOOKUP($O164,'NO USAR1'!$A$4:$L$399,12,False)*$AC$19</f>
        <v>0</v>
      </c>
      <c r="AM164" s="71">
        <f t="shared" si="2"/>
        <v>-1.313364454</v>
      </c>
      <c r="AN164" s="71">
        <f t="shared" si="3"/>
        <v>-2.364313639</v>
      </c>
    </row>
    <row r="165">
      <c r="A165" t="str">
        <f>IF('NO USAR2'!B163="",ROW('NO USAR2'!B163),'NO USAR2'!B163)</f>
        <v>Jonathan Isaac</v>
      </c>
      <c r="B165" s="58">
        <f>IF(TYPE($A165)=1,"",('NO USAR2'!$L163-B$1)/B$2)</f>
        <v>-1.536112118</v>
      </c>
      <c r="C165" s="58">
        <f>IF(TYPE($A165)=1,"",('NO USAR2'!$K163-C$1)/C$2)</f>
        <v>-1.013377785</v>
      </c>
      <c r="D165" s="58">
        <f>IF(TYPE($A165)=1,"",('NO USAR2'!$M163-D$1)/D$2)</f>
        <v>-0.5610907016</v>
      </c>
      <c r="E165" s="58">
        <f>IF(TYPE($A165)=1,"",('NO USAR2'!$N163-E$1)/E$2)</f>
        <v>-1.233616573</v>
      </c>
      <c r="F165" s="58">
        <f>IF(TYPE($A165)=1,"",('NO USAR2'!$O163-F$1)/F$2)</f>
        <v>-0.3402092786</v>
      </c>
      <c r="G165" s="58">
        <f>IF(TYPE($A165)=1,"",('NO USAR2'!$P163-G$1)/G$2)</f>
        <v>1.035487484</v>
      </c>
      <c r="H165" s="58">
        <f>IF(TYPE($A165)=1,"",('NO USAR2'!$H163-H$1)/H$2*I165/$I$1)</f>
        <v>-0.2563357434</v>
      </c>
      <c r="I165" s="58">
        <f>IF(TYPE($A165)=1,"",IF('NO USAR2'!H163=0,0,'NO USAR2'!G163/'NO USAR2'!H163))</f>
        <v>7</v>
      </c>
      <c r="J165" s="59">
        <f>IF(TYPE($A165)=1,"",('NO USAR2'!$J163-J$1)/J$2*K165/$K$1)</f>
        <v>-0.1443825605</v>
      </c>
      <c r="K165" s="60">
        <f>IF(TYPE($A165)=1,"",IF('NO USAR2'!J163=0,0,'NO USAR2'!I163/'NO USAR2'!J163))</f>
        <v>1.7</v>
      </c>
      <c r="L165" s="58">
        <f>IF(TYPE($A165)=1,"",-('NO USAR2'!$Q163-L$1)/L$2)</f>
        <v>1.126615777</v>
      </c>
      <c r="N165" s="63">
        <v>145.0</v>
      </c>
      <c r="O165" s="68" t="str">
        <f>IF('NO USAR2'!B176="",ROW('NO USAR2'!B176),'NO USAR2'!B176)</f>
        <v>Aleksej Pokusevski</v>
      </c>
      <c r="P165" s="68">
        <f>'NO USAR2'!E146</f>
        <v>69</v>
      </c>
      <c r="Q165" s="68" t="str">
        <f>IF('NO USAR2'!C176="",ROW('NO USAR2'!N191),'NO USAR2'!C176)</f>
        <v>PF</v>
      </c>
      <c r="R165" s="65">
        <f>VLOOKUP($O165,'NO USAR1'!$A$4:$L$399,2,False)+VLOOKUP($O165,'NO USAR1'!$A$4:$L$399,3,False)+VLOOKUP($O165,'NO USAR1'!$A$4:$L$399,4,False)+VLOOKUP($O165,'NO USAR1'!$A$4:$L$399,5,False)+VLOOKUP($O165,'NO USAR1'!$A$4:$L$399,6,False)+VLOOKUP($O165,'NO USAR1'!$A$4:$L$399,7,False)+VLOOKUP($O165,'NO USAR1'!$A$4:$L$399,8,False)+VLOOKUP($O165,'NO USAR1'!$A$4:$L$399,10,False)+VLOOKUP($O165,'NO USAR1'!$A$4:$L$399,12,False)*0</f>
        <v>-3.360186058</v>
      </c>
      <c r="S165" s="65">
        <f>VLOOKUP($O165,'NO USAR1'!$A$4:$L$399,2,False)*$U$19+VLOOKUP($O165,'NO USAR1'!$A$4:$L$399,3,False)*$V$19+VLOOKUP($O165,'NO USAR1'!$A$4:$L$399,4,False)*$W$19+VLOOKUP($O165,'NO USAR1'!$A$4:$L$399,5,False)*$X$19+VLOOKUP($O165,'NO USAR1'!$A$4:$L$399,6,False)*$Y$19+VLOOKUP($O165,'NO USAR1'!$A$4:$L$399,7,False)*$Z$19+VLOOKUP($O165,'NO USAR1'!$A$4:$L$399,8,False)*$AA$19+VLOOKUP($O165,'NO USAR1'!$A$4:$L$399,10,False)*$AB$19+VLOOKUP($O165,'NO USAR1'!$A$4:$L$399,12,False)*$AC$19+IF(Projections!$K$3,-AN165, IF(Projections!$J$3,-AM165,0))</f>
        <v>-3.718507041</v>
      </c>
      <c r="T165" s="65">
        <f t="shared" si="1"/>
        <v>-0.3583209833</v>
      </c>
      <c r="U165" s="65">
        <f>VLOOKUP($O165,'NO USAR2'!$B$2:$R$397,11,False)</f>
        <v>9.7</v>
      </c>
      <c r="V165" s="69">
        <f>VLOOKUP($O165,'NO USAR2'!$B$2:$R$397,10,False)</f>
        <v>1.1</v>
      </c>
      <c r="W165" s="65">
        <f>VLOOKUP($O165,'NO USAR2'!$B$2:$R$397,12,False)</f>
        <v>6.5</v>
      </c>
      <c r="X165" s="65">
        <f>VLOOKUP($O165,'NO USAR2'!$B$2:$R$397,13,False)</f>
        <v>2.6</v>
      </c>
      <c r="Y165" s="65">
        <f>VLOOKUP($O165,'NO USAR2'!$B$2:$R$397,14,False)</f>
        <v>0.8</v>
      </c>
      <c r="Z165" s="70">
        <f>VLOOKUP($O165,'NO USAR2'!$B$2:$R$397,15,False)</f>
        <v>0.8</v>
      </c>
      <c r="AA165" s="65">
        <f>100*VLOOKUP($O165,'NO USAR2'!$B$2:$R$397,7,False)</f>
        <v>41.4893617</v>
      </c>
      <c r="AB165" s="65">
        <f>100*VLOOKUP($O165,'NO USAR2'!$B$2:$R$397,9,False)</f>
        <v>80</v>
      </c>
      <c r="AC165" s="65">
        <f>VLOOKUP($O165,'NO USAR2'!$B$2:$Q$397,16,False)</f>
        <v>1.9</v>
      </c>
      <c r="AD165" s="65">
        <f>VLOOKUP($O165,'NO USAR1'!$A$4:$L$399,2,False)*$U$19</f>
        <v>-1.931369385</v>
      </c>
      <c r="AE165" s="65">
        <f>VLOOKUP($O165,'NO USAR1'!$A$4:$L$399,3,False)*$V$19</f>
        <v>-0.5134000036</v>
      </c>
      <c r="AF165" s="65">
        <f>VLOOKUP($O165,'NO USAR1'!$A$4:$L$399,4,False)*$W$19</f>
        <v>0.1736970238</v>
      </c>
      <c r="AG165" s="65">
        <f>VLOOKUP($O165,'NO USAR1'!$A$4:$L$399,5,False)*$X$19</f>
        <v>-0.6289115786</v>
      </c>
      <c r="AH165" s="65">
        <f>VLOOKUP($O165,'NO USAR1'!$A$4:$L$399,6,False)*$Y$19</f>
        <v>-0.8340614572</v>
      </c>
      <c r="AI165" s="65">
        <f>VLOOKUP($O165,'NO USAR1'!$A$4:$L$399,7,False)*$Z$19</f>
        <v>0</v>
      </c>
      <c r="AJ165" s="65">
        <f>VLOOKUP($O165,'NO USAR1'!$A$4:$L$399,8,False)*$AA$19</f>
        <v>0</v>
      </c>
      <c r="AK165" s="70">
        <f>VLOOKUP($O165,'NO USAR1'!$A$4:$L$399,10,False)*$AB$19</f>
        <v>0.01553835961</v>
      </c>
      <c r="AL165" s="65">
        <f>VLOOKUP($O165,'NO USAR1'!$A$4:$L$399,12,False)*$AC$19</f>
        <v>0</v>
      </c>
      <c r="AM165" s="71">
        <f t="shared" si="2"/>
        <v>-1.931369385</v>
      </c>
      <c r="AN165" s="71">
        <f t="shared" si="3"/>
        <v>-2.765430843</v>
      </c>
    </row>
    <row r="166">
      <c r="A166" t="str">
        <f>IF('NO USAR2'!B164="",ROW('NO USAR2'!B164),'NO USAR2'!B164)</f>
        <v>Jae Crowder</v>
      </c>
      <c r="B166" s="58">
        <f>IF(TYPE($A166)=1,"",('NO USAR2'!$L164-B$1)/B$2)</f>
        <v>-1.447350501</v>
      </c>
      <c r="C166" s="58">
        <f>IF(TYPE($A166)=1,"",('NO USAR2'!$K164-C$1)/C$2)</f>
        <v>0.1865688902</v>
      </c>
      <c r="D166" s="58">
        <f>IF(TYPE($A166)=1,"",('NO USAR2'!$M164-D$1)/D$2)</f>
        <v>-0.5202691613</v>
      </c>
      <c r="E166" s="58">
        <f>IF(TYPE($A166)=1,"",('NO USAR2'!$N164-E$1)/E$2)</f>
        <v>-0.8683729178</v>
      </c>
      <c r="F166" s="58">
        <f>IF(TYPE($A166)=1,"",('NO USAR2'!$O164-F$1)/F$2)</f>
        <v>0.96795027</v>
      </c>
      <c r="G166" s="58">
        <f>IF(TYPE($A166)=1,"",('NO USAR2'!$P164-G$1)/G$2)</f>
        <v>-0.6124445335</v>
      </c>
      <c r="H166" s="58">
        <f>IF(TYPE($A166)=1,"",('NO USAR2'!$H164-H$1)/H$2*I166/$I$1)</f>
        <v>-0.772020587</v>
      </c>
      <c r="I166" s="58">
        <f>IF(TYPE($A166)=1,"",IF('NO USAR2'!H164=0,0,'NO USAR2'!G164/'NO USAR2'!H164))</f>
        <v>7.5</v>
      </c>
      <c r="J166" s="59">
        <f>IF(TYPE($A166)=1,"",('NO USAR2'!$J164-J$1)/J$2*K166/$K$1)</f>
        <v>-0.09107558713</v>
      </c>
      <c r="K166" s="60">
        <f>IF(TYPE($A166)=1,"",IF('NO USAR2'!J164=0,0,'NO USAR2'!I164/'NO USAR2'!J164))</f>
        <v>1.3</v>
      </c>
      <c r="L166" s="58">
        <f>IF(TYPE($A166)=1,"",-('NO USAR2'!$Q164-L$1)/L$2)</f>
        <v>1.457711933</v>
      </c>
      <c r="N166" s="2">
        <v>146.0</v>
      </c>
      <c r="O166" s="68" t="str">
        <f>IF('NO USAR2'!B162="",ROW('NO USAR2'!B162),'NO USAR2'!B162)</f>
        <v>Cole Anthony</v>
      </c>
      <c r="P166" s="68">
        <f>'NO USAR2'!E147</f>
        <v>68</v>
      </c>
      <c r="Q166" s="68" t="str">
        <f>IF('NO USAR2'!C162="",ROW('NO USAR2'!N177),'NO USAR2'!C162)</f>
        <v>PG</v>
      </c>
      <c r="R166" s="65">
        <f>VLOOKUP($O166,'NO USAR1'!$A$4:$L$399,2,False)+VLOOKUP($O166,'NO USAR1'!$A$4:$L$399,3,False)+VLOOKUP($O166,'NO USAR1'!$A$4:$L$399,4,False)+VLOOKUP($O166,'NO USAR1'!$A$4:$L$399,5,False)+VLOOKUP($O166,'NO USAR1'!$A$4:$L$399,6,False)+VLOOKUP($O166,'NO USAR1'!$A$4:$L$399,7,False)+VLOOKUP($O166,'NO USAR1'!$A$4:$L$399,8,False)+VLOOKUP($O166,'NO USAR1'!$A$4:$L$399,10,False)+VLOOKUP($O166,'NO USAR1'!$A$4:$L$399,12,False)*0</f>
        <v>-3.362649682</v>
      </c>
      <c r="S166" s="65">
        <f>VLOOKUP($O166,'NO USAR1'!$A$4:$L$399,2,False)*$U$19+VLOOKUP($O166,'NO USAR1'!$A$4:$L$399,3,False)*$V$19+VLOOKUP($O166,'NO USAR1'!$A$4:$L$399,4,False)*$W$19+VLOOKUP($O166,'NO USAR1'!$A$4:$L$399,5,False)*$X$19+VLOOKUP($O166,'NO USAR1'!$A$4:$L$399,6,False)*$Y$19+VLOOKUP($O166,'NO USAR1'!$A$4:$L$399,7,False)*$Z$19+VLOOKUP($O166,'NO USAR1'!$A$4:$L$399,8,False)*$AA$19+VLOOKUP($O166,'NO USAR1'!$A$4:$L$399,10,False)*$AB$19+VLOOKUP($O166,'NO USAR1'!$A$4:$L$399,12,False)*$AC$19+IF(Projections!$K$3,-AN166, IF(Projections!$J$3,-AM166,0))</f>
        <v>-2.128011232</v>
      </c>
      <c r="T166" s="65">
        <f t="shared" si="1"/>
        <v>1.23463845</v>
      </c>
      <c r="U166" s="65">
        <f>VLOOKUP($O166,'NO USAR2'!$B$2:$R$397,11,False)</f>
        <v>14.8</v>
      </c>
      <c r="V166" s="69">
        <f>VLOOKUP($O166,'NO USAR2'!$B$2:$R$397,10,False)</f>
        <v>1.8</v>
      </c>
      <c r="W166" s="65">
        <f>VLOOKUP($O166,'NO USAR2'!$B$2:$R$397,12,False)</f>
        <v>4.5</v>
      </c>
      <c r="X166" s="65">
        <f>VLOOKUP($O166,'NO USAR2'!$B$2:$R$397,13,False)</f>
        <v>4</v>
      </c>
      <c r="Y166" s="65">
        <f>VLOOKUP($O166,'NO USAR2'!$B$2:$R$397,14,False)</f>
        <v>0.6</v>
      </c>
      <c r="Z166" s="70">
        <f>VLOOKUP($O166,'NO USAR2'!$B$2:$R$397,15,False)</f>
        <v>0.3</v>
      </c>
      <c r="AA166" s="65">
        <f>100*VLOOKUP($O166,'NO USAR2'!$B$2:$R$397,7,False)</f>
        <v>40</v>
      </c>
      <c r="AB166" s="65">
        <f>100*VLOOKUP($O166,'NO USAR2'!$B$2:$R$397,9,False)</f>
        <v>85.71428571</v>
      </c>
      <c r="AC166" s="65">
        <f>VLOOKUP($O166,'NO USAR2'!$B$2:$Q$397,16,False)</f>
        <v>2.4</v>
      </c>
      <c r="AD166" s="65">
        <f>VLOOKUP($O166,'NO USAR1'!$A$4:$L$399,2,False)*$U$19</f>
        <v>-0.5733166455</v>
      </c>
      <c r="AE166" s="65">
        <f>VLOOKUP($O166,'NO USAR1'!$A$4:$L$399,3,False)*$V$19</f>
        <v>0.1865688902</v>
      </c>
      <c r="AF166" s="65">
        <f>VLOOKUP($O166,'NO USAR1'!$A$4:$L$399,4,False)*$W$19</f>
        <v>-0.6427337822</v>
      </c>
      <c r="AG166" s="65">
        <f>VLOOKUP($O166,'NO USAR1'!$A$4:$L$399,5,False)*$X$19</f>
        <v>0.1700589165</v>
      </c>
      <c r="AH166" s="65">
        <f>VLOOKUP($O166,'NO USAR1'!$A$4:$L$399,6,False)*$Y$19</f>
        <v>-1.651661175</v>
      </c>
      <c r="AI166" s="65">
        <f>VLOOKUP($O166,'NO USAR1'!$A$4:$L$399,7,False)*$Z$19</f>
        <v>0</v>
      </c>
      <c r="AJ166" s="65">
        <f>VLOOKUP($O166,'NO USAR1'!$A$4:$L$399,8,False)*$AA$19</f>
        <v>0</v>
      </c>
      <c r="AK166" s="70">
        <f>VLOOKUP($O166,'NO USAR1'!$A$4:$L$399,10,False)*$AB$19</f>
        <v>0.3830725639</v>
      </c>
      <c r="AL166" s="65">
        <f>VLOOKUP($O166,'NO USAR1'!$A$4:$L$399,12,False)*$AC$19</f>
        <v>0</v>
      </c>
      <c r="AM166" s="71">
        <f t="shared" si="2"/>
        <v>-1.651661175</v>
      </c>
      <c r="AN166" s="71">
        <f t="shared" si="3"/>
        <v>-2.294394957</v>
      </c>
    </row>
    <row r="167">
      <c r="A167" t="str">
        <f>IF('NO USAR2'!B165="",ROW('NO USAR2'!B165),'NO USAR2'!B165)</f>
        <v>Grayson Allen</v>
      </c>
      <c r="B167" s="58">
        <f>IF(TYPE($A167)=1,"",('NO USAR2'!$L165-B$1)/B$2)</f>
        <v>-0.9680377691</v>
      </c>
      <c r="C167" s="58">
        <f>IF(TYPE($A167)=1,"",('NO USAR2'!$K165-C$1)/C$2)</f>
        <v>0.886537784</v>
      </c>
      <c r="D167" s="58">
        <f>IF(TYPE($A167)=1,"",('NO USAR2'!$M165-D$1)/D$2)</f>
        <v>-1.050949185</v>
      </c>
      <c r="E167" s="58">
        <f>IF(TYPE($A167)=1,"",('NO USAR2'!$N165-E$1)/E$2)</f>
        <v>-1.005339288</v>
      </c>
      <c r="F167" s="58">
        <f>IF(TYPE($A167)=1,"",('NO USAR2'!$O165-F$1)/F$2)</f>
        <v>-0.9942890529</v>
      </c>
      <c r="G167" s="58">
        <f>IF(TYPE($A167)=1,"",('NO USAR2'!$P165-G$1)/G$2)</f>
        <v>-0.8184360358</v>
      </c>
      <c r="H167" s="58">
        <f>IF(TYPE($A167)=1,"",('NO USAR2'!$H165-H$1)/H$2*I167/$I$1)</f>
        <v>-0.4622078999</v>
      </c>
      <c r="I167" s="58">
        <f>IF(TYPE($A167)=1,"",IF('NO USAR2'!H165=0,0,'NO USAR2'!G165/'NO USAR2'!H165))</f>
        <v>9</v>
      </c>
      <c r="J167" s="59">
        <f>IF(TYPE($A167)=1,"",('NO USAR2'!$J165-J$1)/J$2*K167/$K$1)</f>
        <v>0.4974556904</v>
      </c>
      <c r="K167" s="60">
        <f>IF(TYPE($A167)=1,"",IF('NO USAR2'!J165=0,0,'NO USAR2'!I165/'NO USAR2'!J165))</f>
        <v>1.2</v>
      </c>
      <c r="L167" s="58">
        <f>IF(TYPE($A167)=1,"",-('NO USAR2'!$Q165-L$1)/L$2)</f>
        <v>1.457711933</v>
      </c>
      <c r="N167" s="63">
        <v>147.0</v>
      </c>
      <c r="O167" s="68" t="str">
        <f>IF('NO USAR2'!B126="",ROW('NO USAR2'!B126),'NO USAR2'!B126)</f>
        <v>Mitchell Robinson</v>
      </c>
      <c r="P167" s="68">
        <f>'NO USAR2'!E148</f>
        <v>68</v>
      </c>
      <c r="Q167" s="68" t="str">
        <f>IF('NO USAR2'!C126="",ROW('NO USAR2'!N141),'NO USAR2'!C126)</f>
        <v>C</v>
      </c>
      <c r="R167" s="65">
        <f>VLOOKUP($O167,'NO USAR1'!$A$4:$L$399,2,False)+VLOOKUP($O167,'NO USAR1'!$A$4:$L$399,3,False)+VLOOKUP($O167,'NO USAR1'!$A$4:$L$399,4,False)+VLOOKUP($O167,'NO USAR1'!$A$4:$L$399,5,False)+VLOOKUP($O167,'NO USAR1'!$A$4:$L$399,6,False)+VLOOKUP($O167,'NO USAR1'!$A$4:$L$399,7,False)+VLOOKUP($O167,'NO USAR1'!$A$4:$L$399,8,False)+VLOOKUP($O167,'NO USAR1'!$A$4:$L$399,10,False)+VLOOKUP($O167,'NO USAR1'!$A$4:$L$399,12,False)*0</f>
        <v>-3.374087391</v>
      </c>
      <c r="S167" s="65">
        <f>VLOOKUP($O167,'NO USAR1'!$A$4:$L$399,2,False)*$U$19+VLOOKUP($O167,'NO USAR1'!$A$4:$L$399,3,False)*$V$19+VLOOKUP($O167,'NO USAR1'!$A$4:$L$399,4,False)*$W$19+VLOOKUP($O167,'NO USAR1'!$A$4:$L$399,5,False)*$X$19+VLOOKUP($O167,'NO USAR1'!$A$4:$L$399,6,False)*$Y$19+VLOOKUP($O167,'NO USAR1'!$A$4:$L$399,7,False)*$Z$19+VLOOKUP($O167,'NO USAR1'!$A$4:$L$399,8,False)*$AA$19+VLOOKUP($O167,'NO USAR1'!$A$4:$L$399,10,False)*$AB$19+VLOOKUP($O167,'NO USAR1'!$A$4:$L$399,12,False)*$AC$19+IF(Projections!$K$3,-AN167, IF(Projections!$J$3,-AM167,0))</f>
        <v>-6.797277544</v>
      </c>
      <c r="T167" s="65">
        <f t="shared" si="1"/>
        <v>-3.423190153</v>
      </c>
      <c r="U167" s="65">
        <f>VLOOKUP($O167,'NO USAR2'!$B$2:$R$397,11,False)</f>
        <v>8.4</v>
      </c>
      <c r="V167" s="69">
        <f>VLOOKUP($O167,'NO USAR2'!$B$2:$R$397,10,False)</f>
        <v>0</v>
      </c>
      <c r="W167" s="65">
        <f>VLOOKUP($O167,'NO USAR2'!$B$2:$R$397,12,False)</f>
        <v>8.6</v>
      </c>
      <c r="X167" s="65">
        <f>VLOOKUP($O167,'NO USAR2'!$B$2:$R$397,13,False)</f>
        <v>0.5</v>
      </c>
      <c r="Y167" s="65">
        <f>VLOOKUP($O167,'NO USAR2'!$B$2:$R$397,14,False)</f>
        <v>0.8</v>
      </c>
      <c r="Z167" s="70">
        <f>VLOOKUP($O167,'NO USAR2'!$B$2:$R$397,15,False)</f>
        <v>1.7</v>
      </c>
      <c r="AA167" s="65">
        <f>100*VLOOKUP($O167,'NO USAR2'!$B$2:$R$397,7,False)</f>
        <v>72</v>
      </c>
      <c r="AB167" s="65">
        <f>100*VLOOKUP($O167,'NO USAR2'!$B$2:$R$397,9,False)</f>
        <v>48</v>
      </c>
      <c r="AC167" s="65">
        <f>VLOOKUP($O167,'NO USAR2'!$B$2:$Q$397,16,False)</f>
        <v>0.8</v>
      </c>
      <c r="AD167" s="65">
        <f>VLOOKUP($O167,'NO USAR1'!$A$4:$L$399,2,False)*$U$19</f>
        <v>-2.277539692</v>
      </c>
      <c r="AE167" s="65">
        <f>VLOOKUP($O167,'NO USAR1'!$A$4:$L$399,3,False)*$V$19</f>
        <v>-1.613351122</v>
      </c>
      <c r="AF167" s="65">
        <f>VLOOKUP($O167,'NO USAR1'!$A$4:$L$399,4,False)*$W$19</f>
        <v>1.03094937</v>
      </c>
      <c r="AG167" s="65">
        <f>VLOOKUP($O167,'NO USAR1'!$A$4:$L$399,5,False)*$X$19</f>
        <v>-1.827367321</v>
      </c>
      <c r="AH167" s="65">
        <f>VLOOKUP($O167,'NO USAR1'!$A$4:$L$399,6,False)*$Y$19</f>
        <v>-0.8340614572</v>
      </c>
      <c r="AI167" s="65">
        <f>VLOOKUP($O167,'NO USAR1'!$A$4:$L$399,7,False)*$Z$19</f>
        <v>0</v>
      </c>
      <c r="AJ167" s="65">
        <f>VLOOKUP($O167,'NO USAR1'!$A$4:$L$399,8,False)*$AA$19</f>
        <v>0</v>
      </c>
      <c r="AK167" s="70">
        <f>VLOOKUP($O167,'NO USAR1'!$A$4:$L$399,10,False)*$AB$19</f>
        <v>-1.275907322</v>
      </c>
      <c r="AL167" s="65">
        <f>VLOOKUP($O167,'NO USAR1'!$A$4:$L$399,12,False)*$AC$19</f>
        <v>0</v>
      </c>
      <c r="AM167" s="71">
        <f t="shared" si="2"/>
        <v>-2.277539692</v>
      </c>
      <c r="AN167" s="71">
        <f t="shared" si="3"/>
        <v>-4.104907013</v>
      </c>
    </row>
    <row r="168">
      <c r="A168" t="str">
        <f>IF('NO USAR2'!B166="",ROW('NO USAR2'!B166),'NO USAR2'!B166)</f>
        <v>Damian Jones</v>
      </c>
      <c r="B168" s="58">
        <f>IF(TYPE($A168)=1,"",('NO USAR2'!$L166-B$1)/B$2)</f>
        <v>-1.394093531</v>
      </c>
      <c r="C168" s="58">
        <f>IF(TYPE($A168)=1,"",('NO USAR2'!$K166-C$1)/C$2)</f>
        <v>-1.41336001</v>
      </c>
      <c r="D168" s="58">
        <f>IF(TYPE($A168)=1,"",('NO USAR2'!$M166-D$1)/D$2)</f>
        <v>-0.479447621</v>
      </c>
      <c r="E168" s="58">
        <f>IF(TYPE($A168)=1,"",('NO USAR2'!$N166-E$1)/E$2)</f>
        <v>-1.096650202</v>
      </c>
      <c r="F168" s="58">
        <f>IF(TYPE($A168)=1,"",('NO USAR2'!$O166-F$1)/F$2)</f>
        <v>-1.32132894</v>
      </c>
      <c r="G168" s="58">
        <f>IF(TYPE($A168)=1,"",('NO USAR2'!$P166-G$1)/G$2)</f>
        <v>0.4175129777</v>
      </c>
      <c r="H168" s="58">
        <f>IF(TYPE($A168)=1,"",('NO USAR2'!$H166-H$1)/H$2*I168/$I$1)</f>
        <v>0.9992714722</v>
      </c>
      <c r="I168" s="58">
        <f>IF(TYPE($A168)=1,"",IF('NO USAR2'!H166=0,0,'NO USAR2'!G166/'NO USAR2'!H166))</f>
        <v>5.4</v>
      </c>
      <c r="J168" s="59">
        <f>IF(TYPE($A168)=1,"",('NO USAR2'!$J166-J$1)/J$2*K168/$K$1)</f>
        <v>-0.5108394795</v>
      </c>
      <c r="K168" s="60">
        <f>IF(TYPE($A168)=1,"",IF('NO USAR2'!J166=0,0,'NO USAR2'!I166/'NO USAR2'!J166))</f>
        <v>2.6</v>
      </c>
      <c r="L168" s="58">
        <f>IF(TYPE($A168)=1,"",-('NO USAR2'!$Q166-L$1)/L$2)</f>
        <v>0.905885007</v>
      </c>
      <c r="N168" s="63">
        <v>148.0</v>
      </c>
      <c r="O168" s="68" t="str">
        <f>IF('NO USAR2'!B155="",ROW('NO USAR2'!B155),'NO USAR2'!B155)</f>
        <v>Luguentz Dort</v>
      </c>
      <c r="P168" s="68">
        <f>'NO USAR2'!E149</f>
        <v>69</v>
      </c>
      <c r="Q168" s="68" t="str">
        <f>IF('NO USAR2'!C155="",ROW('NO USAR2'!N170),'NO USAR2'!C155)</f>
        <v>SG/SF</v>
      </c>
      <c r="R168" s="65">
        <f>VLOOKUP($O168,'NO USAR1'!$A$4:$L$399,2,False)+VLOOKUP($O168,'NO USAR1'!$A$4:$L$399,3,False)+VLOOKUP($O168,'NO USAR1'!$A$4:$L$399,4,False)+VLOOKUP($O168,'NO USAR1'!$A$4:$L$399,5,False)+VLOOKUP($O168,'NO USAR1'!$A$4:$L$399,6,False)+VLOOKUP($O168,'NO USAR1'!$A$4:$L$399,7,False)+VLOOKUP($O168,'NO USAR1'!$A$4:$L$399,8,False)+VLOOKUP($O168,'NO USAR1'!$A$4:$L$399,10,False)+VLOOKUP($O168,'NO USAR1'!$A$4:$L$399,12,False)*0</f>
        <v>-3.502646197</v>
      </c>
      <c r="S168" s="65">
        <f>VLOOKUP($O168,'NO USAR1'!$A$4:$L$399,2,False)*$U$19+VLOOKUP($O168,'NO USAR1'!$A$4:$L$399,3,False)*$V$19+VLOOKUP($O168,'NO USAR1'!$A$4:$L$399,4,False)*$W$19+VLOOKUP($O168,'NO USAR1'!$A$4:$L$399,5,False)*$X$19+VLOOKUP($O168,'NO USAR1'!$A$4:$L$399,6,False)*$Y$19+VLOOKUP($O168,'NO USAR1'!$A$4:$L$399,7,False)*$Z$19+VLOOKUP($O168,'NO USAR1'!$A$4:$L$399,8,False)*$AA$19+VLOOKUP($O168,'NO USAR1'!$A$4:$L$399,10,False)*$AB$19+VLOOKUP($O168,'NO USAR1'!$A$4:$L$399,12,False)*$AC$19+IF(Projections!$K$3,-AN168, IF(Projections!$J$3,-AM168,0))</f>
        <v>-2.349594957</v>
      </c>
      <c r="T168" s="65">
        <f t="shared" si="1"/>
        <v>1.15305124</v>
      </c>
      <c r="U168" s="65">
        <f>VLOOKUP($O168,'NO USAR2'!$B$2:$R$397,11,False)</f>
        <v>16.1</v>
      </c>
      <c r="V168" s="69">
        <f>VLOOKUP($O168,'NO USAR2'!$B$2:$R$397,10,False)</f>
        <v>2.2</v>
      </c>
      <c r="W168" s="65">
        <f>VLOOKUP($O168,'NO USAR2'!$B$2:$R$397,12,False)</f>
        <v>3.8</v>
      </c>
      <c r="X168" s="65">
        <f>VLOOKUP($O168,'NO USAR2'!$B$2:$R$397,13,False)</f>
        <v>1.6</v>
      </c>
      <c r="Y168" s="65">
        <f>VLOOKUP($O168,'NO USAR2'!$B$2:$R$397,14,False)</f>
        <v>0.8</v>
      </c>
      <c r="Z168" s="70">
        <f>VLOOKUP($O168,'NO USAR2'!$B$2:$R$397,15,False)</f>
        <v>0.4</v>
      </c>
      <c r="AA168" s="65">
        <f>100*VLOOKUP($O168,'NO USAR2'!$B$2:$R$397,7,False)</f>
        <v>40.60150376</v>
      </c>
      <c r="AB168" s="65">
        <f>100*VLOOKUP($O168,'NO USAR2'!$B$2:$R$397,9,False)</f>
        <v>83.33333333</v>
      </c>
      <c r="AC168" s="65">
        <f>VLOOKUP($O168,'NO USAR2'!$B$2:$Q$397,16,False)</f>
        <v>1.6</v>
      </c>
      <c r="AD168" s="65">
        <f>VLOOKUP($O168,'NO USAR1'!$A$4:$L$399,2,False)*$U$19</f>
        <v>-0.2271463393</v>
      </c>
      <c r="AE168" s="65">
        <f>VLOOKUP($O168,'NO USAR1'!$A$4:$L$399,3,False)*$V$19</f>
        <v>0.5865511152</v>
      </c>
      <c r="AF168" s="65">
        <f>VLOOKUP($O168,'NO USAR1'!$A$4:$L$399,4,False)*$W$19</f>
        <v>-0.9284845644</v>
      </c>
      <c r="AG168" s="65">
        <f>VLOOKUP($O168,'NO USAR1'!$A$4:$L$399,5,False)*$X$19</f>
        <v>-1.199604789</v>
      </c>
      <c r="AH168" s="65">
        <f>VLOOKUP($O168,'NO USAR1'!$A$4:$L$399,6,False)*$Y$19</f>
        <v>-0.8340614572</v>
      </c>
      <c r="AI168" s="65">
        <f>VLOOKUP($O168,'NO USAR1'!$A$4:$L$399,7,False)*$Z$19</f>
        <v>0</v>
      </c>
      <c r="AJ168" s="65">
        <f>VLOOKUP($O168,'NO USAR1'!$A$4:$L$399,8,False)*$AA$19</f>
        <v>0</v>
      </c>
      <c r="AK168" s="70">
        <f>VLOOKUP($O168,'NO USAR1'!$A$4:$L$399,10,False)*$AB$19</f>
        <v>0.2531510777</v>
      </c>
      <c r="AL168" s="65">
        <f>VLOOKUP($O168,'NO USAR1'!$A$4:$L$399,12,False)*$AC$19</f>
        <v>0</v>
      </c>
      <c r="AM168" s="71">
        <f t="shared" si="2"/>
        <v>-1.199604789</v>
      </c>
      <c r="AN168" s="71">
        <f t="shared" si="3"/>
        <v>-2.128089354</v>
      </c>
    </row>
    <row r="169">
      <c r="A169" t="str">
        <f>IF('NO USAR2'!B167="",ROW('NO USAR2'!B167),'NO USAR2'!B167)</f>
        <v>Andre Drummond</v>
      </c>
      <c r="B169" s="58">
        <f>IF(TYPE($A169)=1,"",('NO USAR2'!$L167-B$1)/B$2)</f>
        <v>-1.678130705</v>
      </c>
      <c r="C169" s="58">
        <f>IF(TYPE($A169)=1,"",('NO USAR2'!$K167-C$1)/C$2)</f>
        <v>-1.613351122</v>
      </c>
      <c r="D169" s="58">
        <f>IF(TYPE($A169)=1,"",('NO USAR2'!$M167-D$1)/D$2)</f>
        <v>1.071770911</v>
      </c>
      <c r="E169" s="58">
        <f>IF(TYPE($A169)=1,"",('NO USAR2'!$N167-E$1)/E$2)</f>
        <v>-0.9140283747</v>
      </c>
      <c r="F169" s="58">
        <f>IF(TYPE($A169)=1,"",('NO USAR2'!$O167-F$1)/F$2)</f>
        <v>-0.01316939143</v>
      </c>
      <c r="G169" s="58">
        <f>IF(TYPE($A169)=1,"",('NO USAR2'!$P167-G$1)/G$2)</f>
        <v>0.2115214755</v>
      </c>
      <c r="H169" s="58">
        <f>IF(TYPE($A169)=1,"",('NO USAR2'!$H167-H$1)/H$2*I169/$I$1)</f>
        <v>0.5943935806</v>
      </c>
      <c r="I169" s="58">
        <f>IF(TYPE($A169)=1,"",IF('NO USAR2'!H167=0,0,'NO USAR2'!G167/'NO USAR2'!H167))</f>
        <v>5.5</v>
      </c>
      <c r="J169" s="59">
        <f>IF(TYPE($A169)=1,"",('NO USAR2'!$J167-J$1)/J$2*K169/$K$1)</f>
        <v>-1.581288088</v>
      </c>
      <c r="K169" s="60">
        <f>IF(TYPE($A169)=1,"",IF('NO USAR2'!J167=0,0,'NO USAR2'!I167/'NO USAR2'!J167))</f>
        <v>2</v>
      </c>
      <c r="L169" s="58">
        <f>IF(TYPE($A169)=1,"",-('NO USAR2'!$Q167-L$1)/L$2)</f>
        <v>0.5747888516</v>
      </c>
      <c r="N169" s="2">
        <v>149.0</v>
      </c>
      <c r="O169" s="68" t="str">
        <f>IF('NO USAR2'!B145="",ROW('NO USAR2'!B145),'NO USAR2'!B145)</f>
        <v>Derrick White</v>
      </c>
      <c r="P169" s="68">
        <f>'NO USAR2'!E150</f>
        <v>78</v>
      </c>
      <c r="Q169" s="68" t="str">
        <f>IF('NO USAR2'!C145="",ROW('NO USAR2'!N160),'NO USAR2'!C145)</f>
        <v>PG/SG</v>
      </c>
      <c r="R169" s="65">
        <f>VLOOKUP($O169,'NO USAR1'!$A$4:$L$399,2,False)+VLOOKUP($O169,'NO USAR1'!$A$4:$L$399,3,False)+VLOOKUP($O169,'NO USAR1'!$A$4:$L$399,4,False)+VLOOKUP($O169,'NO USAR1'!$A$4:$L$399,5,False)+VLOOKUP($O169,'NO USAR1'!$A$4:$L$399,6,False)+VLOOKUP($O169,'NO USAR1'!$A$4:$L$399,7,False)+VLOOKUP($O169,'NO USAR1'!$A$4:$L$399,8,False)+VLOOKUP($O169,'NO USAR1'!$A$4:$L$399,10,False)+VLOOKUP($O169,'NO USAR1'!$A$4:$L$399,12,False)*0</f>
        <v>-3.524903513</v>
      </c>
      <c r="S169" s="65">
        <f>VLOOKUP($O169,'NO USAR1'!$A$4:$L$399,2,False)*$U$19+VLOOKUP($O169,'NO USAR1'!$A$4:$L$399,3,False)*$V$19+VLOOKUP($O169,'NO USAR1'!$A$4:$L$399,4,False)*$W$19+VLOOKUP($O169,'NO USAR1'!$A$4:$L$399,5,False)*$X$19+VLOOKUP($O169,'NO USAR1'!$A$4:$L$399,6,False)*$Y$19+VLOOKUP($O169,'NO USAR1'!$A$4:$L$399,7,False)*$Z$19+VLOOKUP($O169,'NO USAR1'!$A$4:$L$399,8,False)*$AA$19+VLOOKUP($O169,'NO USAR1'!$A$4:$L$399,10,False)*$AB$19+VLOOKUP($O169,'NO USAR1'!$A$4:$L$399,12,False)*$AC$19+IF(Projections!$K$3,-AN169, IF(Projections!$J$3,-AM169,0))</f>
        <v>-3.74452481</v>
      </c>
      <c r="T169" s="65">
        <f t="shared" si="1"/>
        <v>-0.2196212971</v>
      </c>
      <c r="U169" s="65">
        <f>VLOOKUP($O169,'NO USAR2'!$B$2:$R$397,11,False)</f>
        <v>11.6</v>
      </c>
      <c r="V169" s="69">
        <f>VLOOKUP($O169,'NO USAR2'!$B$2:$R$397,10,False)</f>
        <v>1.3</v>
      </c>
      <c r="W169" s="65">
        <f>VLOOKUP($O169,'NO USAR2'!$B$2:$R$397,12,False)</f>
        <v>3.1</v>
      </c>
      <c r="X169" s="65">
        <f>VLOOKUP($O169,'NO USAR2'!$B$2:$R$397,13,False)</f>
        <v>3.3</v>
      </c>
      <c r="Y169" s="65">
        <f>VLOOKUP($O169,'NO USAR2'!$B$2:$R$397,14,False)</f>
        <v>0.8</v>
      </c>
      <c r="Z169" s="70">
        <f>VLOOKUP($O169,'NO USAR2'!$B$2:$R$397,15,False)</f>
        <v>0.7</v>
      </c>
      <c r="AA169" s="65">
        <f>100*VLOOKUP($O169,'NO USAR2'!$B$2:$R$397,7,False)</f>
        <v>42.10526316</v>
      </c>
      <c r="AB169" s="65">
        <f>100*VLOOKUP($O169,'NO USAR2'!$B$2:$R$397,9,False)</f>
        <v>85.18518519</v>
      </c>
      <c r="AC169" s="65">
        <f>VLOOKUP($O169,'NO USAR2'!$B$2:$Q$397,16,False)</f>
        <v>1.4</v>
      </c>
      <c r="AD169" s="65">
        <f>VLOOKUP($O169,'NO USAR1'!$A$4:$L$399,2,False)*$U$19</f>
        <v>-1.425428169</v>
      </c>
      <c r="AE169" s="65">
        <f>VLOOKUP($O169,'NO USAR1'!$A$4:$L$399,3,False)*$V$19</f>
        <v>-0.3134088911</v>
      </c>
      <c r="AF169" s="65">
        <f>VLOOKUP($O169,'NO USAR1'!$A$4:$L$399,4,False)*$W$19</f>
        <v>-1.214235346</v>
      </c>
      <c r="AG169" s="65">
        <f>VLOOKUP($O169,'NO USAR1'!$A$4:$L$399,5,False)*$X$19</f>
        <v>-0.2294263311</v>
      </c>
      <c r="AH169" s="65">
        <f>VLOOKUP($O169,'NO USAR1'!$A$4:$L$399,6,False)*$Y$19</f>
        <v>-0.8340614572</v>
      </c>
      <c r="AI169" s="65">
        <f>VLOOKUP($O169,'NO USAR1'!$A$4:$L$399,7,False)*$Z$19</f>
        <v>0</v>
      </c>
      <c r="AJ169" s="65">
        <f>VLOOKUP($O169,'NO USAR1'!$A$4:$L$399,8,False)*$AA$19</f>
        <v>0</v>
      </c>
      <c r="AK169" s="70">
        <f>VLOOKUP($O169,'NO USAR1'!$A$4:$L$399,10,False)*$AB$19</f>
        <v>0.2720353846</v>
      </c>
      <c r="AL169" s="65">
        <f>VLOOKUP($O169,'NO USAR1'!$A$4:$L$399,12,False)*$AC$19</f>
        <v>0</v>
      </c>
      <c r="AM169" s="71">
        <f t="shared" si="2"/>
        <v>-1.425428169</v>
      </c>
      <c r="AN169" s="71">
        <f t="shared" si="3"/>
        <v>-2.639663515</v>
      </c>
    </row>
    <row r="170">
      <c r="A170" t="str">
        <f>IF('NO USAR2'!B168="",ROW('NO USAR2'!B168),'NO USAR2'!B168)</f>
        <v>Paul Reed</v>
      </c>
      <c r="B170" s="58">
        <f>IF(TYPE($A170)=1,"",('NO USAR2'!$L168-B$1)/B$2)</f>
        <v>-2.01542485</v>
      </c>
      <c r="C170" s="58">
        <f>IF(TYPE($A170)=1,"",('NO USAR2'!$K168-C$1)/C$2)</f>
        <v>-1.41336001</v>
      </c>
      <c r="D170" s="58">
        <f>IF(TYPE($A170)=1,"",('NO USAR2'!$M168-D$1)/D$2)</f>
        <v>-0.6427337822</v>
      </c>
      <c r="E170" s="58">
        <f>IF(TYPE($A170)=1,"",('NO USAR2'!$N168-E$1)/E$2)</f>
        <v>-1.370582943</v>
      </c>
      <c r="F170" s="58">
        <f>IF(TYPE($A170)=1,"",('NO USAR2'!$O168-F$1)/F$2)</f>
        <v>1.949069931</v>
      </c>
      <c r="G170" s="58">
        <f>IF(TYPE($A170)=1,"",('NO USAR2'!$P168-G$1)/G$2)</f>
        <v>0.005529973215</v>
      </c>
      <c r="H170" s="58">
        <f>IF(TYPE($A170)=1,"",('NO USAR2'!$H168-H$1)/H$2*I170/$I$1)</f>
        <v>0.3491670556</v>
      </c>
      <c r="I170" s="58">
        <f>IF(TYPE($A170)=1,"",IF('NO USAR2'!H168=0,0,'NO USAR2'!G168/'NO USAR2'!H168))</f>
        <v>4.5</v>
      </c>
      <c r="J170" s="59">
        <f>IF(TYPE($A170)=1,"",('NO USAR2'!$J168-J$1)/J$2*K170/$K$1)</f>
        <v>-0.504147585</v>
      </c>
      <c r="K170" s="60">
        <f>IF(TYPE($A170)=1,"",IF('NO USAR2'!J168=0,0,'NO USAR2'!I168/'NO USAR2'!J168))</f>
        <v>0.7</v>
      </c>
      <c r="L170" s="58">
        <f>IF(TYPE($A170)=1,"",-('NO USAR2'!$Q168-L$1)/L$2)</f>
        <v>1.678442703</v>
      </c>
      <c r="N170" s="63">
        <v>150.0</v>
      </c>
      <c r="O170" s="68" t="str">
        <f>IF('NO USAR2'!B179="",ROW('NO USAR2'!B179),'NO USAR2'!B179)</f>
        <v>RJ Barrett</v>
      </c>
      <c r="P170" s="68">
        <f>'NO USAR2'!E151</f>
        <v>77</v>
      </c>
      <c r="Q170" s="68" t="str">
        <f>IF('NO USAR2'!C179="",ROW('NO USAR2'!N194),'NO USAR2'!C179)</f>
        <v>SF</v>
      </c>
      <c r="R170" s="65">
        <f>VLOOKUP($O170,'NO USAR1'!$A$4:$L$399,2,False)+VLOOKUP($O170,'NO USAR1'!$A$4:$L$399,3,False)+VLOOKUP($O170,'NO USAR1'!$A$4:$L$399,4,False)+VLOOKUP($O170,'NO USAR1'!$A$4:$L$399,5,False)+VLOOKUP($O170,'NO USAR1'!$A$4:$L$399,6,False)+VLOOKUP($O170,'NO USAR1'!$A$4:$L$399,7,False)+VLOOKUP($O170,'NO USAR1'!$A$4:$L$399,8,False)+VLOOKUP($O170,'NO USAR1'!$A$4:$L$399,10,False)+VLOOKUP($O170,'NO USAR1'!$A$4:$L$399,12,False)*0</f>
        <v>-3.542385578</v>
      </c>
      <c r="S170" s="65">
        <f>VLOOKUP($O170,'NO USAR1'!$A$4:$L$399,2,False)*$U$19+VLOOKUP($O170,'NO USAR1'!$A$4:$L$399,3,False)*$V$19+VLOOKUP($O170,'NO USAR1'!$A$4:$L$399,4,False)*$W$19+VLOOKUP($O170,'NO USAR1'!$A$4:$L$399,5,False)*$X$19+VLOOKUP($O170,'NO USAR1'!$A$4:$L$399,6,False)*$Y$19+VLOOKUP($O170,'NO USAR1'!$A$4:$L$399,7,False)*$Z$19+VLOOKUP($O170,'NO USAR1'!$A$4:$L$399,8,False)*$AA$19+VLOOKUP($O170,'NO USAR1'!$A$4:$L$399,10,False)*$AB$19+VLOOKUP($O170,'NO USAR1'!$A$4:$L$399,12,False)*$AC$19+IF(Projections!$K$3,-AN170, IF(Projections!$J$3,-AM170,0))</f>
        <v>-1.061575488</v>
      </c>
      <c r="T170" s="65">
        <f t="shared" si="1"/>
        <v>2.48081009</v>
      </c>
      <c r="U170" s="65">
        <f>VLOOKUP($O170,'NO USAR2'!$B$2:$R$397,11,False)</f>
        <v>20</v>
      </c>
      <c r="V170" s="69">
        <f>VLOOKUP($O170,'NO USAR2'!$B$2:$R$397,10,False)</f>
        <v>2.1</v>
      </c>
      <c r="W170" s="65">
        <f>VLOOKUP($O170,'NO USAR2'!$B$2:$R$397,12,False)</f>
        <v>5.9</v>
      </c>
      <c r="X170" s="65">
        <f>VLOOKUP($O170,'NO USAR2'!$B$2:$R$397,13,False)</f>
        <v>3.1</v>
      </c>
      <c r="Y170" s="65">
        <f>VLOOKUP($O170,'NO USAR2'!$B$2:$R$397,14,False)</f>
        <v>0.7</v>
      </c>
      <c r="Z170" s="70">
        <f>VLOOKUP($O170,'NO USAR2'!$B$2:$R$397,15,False)</f>
        <v>0.3</v>
      </c>
      <c r="AA170" s="65">
        <f>100*VLOOKUP($O170,'NO USAR2'!$B$2:$R$397,7,False)</f>
        <v>43.47826087</v>
      </c>
      <c r="AB170" s="65">
        <f>100*VLOOKUP($O170,'NO USAR2'!$B$2:$R$397,9,False)</f>
        <v>71.42857143</v>
      </c>
      <c r="AC170" s="65">
        <f>VLOOKUP($O170,'NO USAR2'!$B$2:$Q$397,16,False)</f>
        <v>2.2</v>
      </c>
      <c r="AD170" s="65">
        <f>VLOOKUP($O170,'NO USAR1'!$A$4:$L$399,2,False)*$U$19</f>
        <v>0.8113645794</v>
      </c>
      <c r="AE170" s="65">
        <f>VLOOKUP($O170,'NO USAR1'!$A$4:$L$399,3,False)*$V$19</f>
        <v>0.486555559</v>
      </c>
      <c r="AF170" s="65">
        <f>VLOOKUP($O170,'NO USAR1'!$A$4:$L$399,4,False)*$W$19</f>
        <v>-0.07123221798</v>
      </c>
      <c r="AG170" s="65">
        <f>VLOOKUP($O170,'NO USAR1'!$A$4:$L$399,5,False)*$X$19</f>
        <v>-0.3435649732</v>
      </c>
      <c r="AH170" s="65">
        <f>VLOOKUP($O170,'NO USAR1'!$A$4:$L$399,6,False)*$Y$19</f>
        <v>-1.242861316</v>
      </c>
      <c r="AI170" s="65">
        <f>VLOOKUP($O170,'NO USAR1'!$A$4:$L$399,7,False)*$Z$19</f>
        <v>0</v>
      </c>
      <c r="AJ170" s="65">
        <f>VLOOKUP($O170,'NO USAR1'!$A$4:$L$399,8,False)*$AA$19</f>
        <v>0</v>
      </c>
      <c r="AK170" s="70">
        <f>VLOOKUP($O170,'NO USAR1'!$A$4:$L$399,10,False)*$AB$19</f>
        <v>-0.7018371188</v>
      </c>
      <c r="AL170" s="65">
        <f>VLOOKUP($O170,'NO USAR1'!$A$4:$L$399,12,False)*$AC$19</f>
        <v>0</v>
      </c>
      <c r="AM170" s="71">
        <f t="shared" si="2"/>
        <v>-1.242861316</v>
      </c>
      <c r="AN170" s="71">
        <f t="shared" si="3"/>
        <v>-1.944698435</v>
      </c>
    </row>
    <row r="171">
      <c r="A171" t="str">
        <f>IF('NO USAR2'!B169="",ROW('NO USAR2'!B169),'NO USAR2'!B169)</f>
        <v>Will Barton</v>
      </c>
      <c r="B171" s="58">
        <f>IF(TYPE($A171)=1,"",('NO USAR2'!$L169-B$1)/B$2)</f>
        <v>-0.7905145352</v>
      </c>
      <c r="C171" s="58">
        <f>IF(TYPE($A171)=1,"",('NO USAR2'!$K169-C$1)/C$2)</f>
        <v>0.2865644464</v>
      </c>
      <c r="D171" s="58">
        <f>IF(TYPE($A171)=1,"",('NO USAR2'!$M169-D$1)/D$2)</f>
        <v>-0.8060199435</v>
      </c>
      <c r="E171" s="58">
        <f>IF(TYPE($A171)=1,"",('NO USAR2'!$N169-E$1)/E$2)</f>
        <v>-0.137885608</v>
      </c>
      <c r="F171" s="58">
        <f>IF(TYPE($A171)=1,"",('NO USAR2'!$O169-F$1)/F$2)</f>
        <v>-0.9942890529</v>
      </c>
      <c r="G171" s="58">
        <f>IF(TYPE($A171)=1,"",('NO USAR2'!$P169-G$1)/G$2)</f>
        <v>-0.8184360358</v>
      </c>
      <c r="H171" s="58">
        <f>IF(TYPE($A171)=1,"",('NO USAR2'!$H169-H$1)/H$2*I171/$I$1)</f>
        <v>-0.670703681</v>
      </c>
      <c r="I171" s="58">
        <f>IF(TYPE($A171)=1,"",IF('NO USAR2'!H169=0,0,'NO USAR2'!G169/'NO USAR2'!H169))</f>
        <v>10.8</v>
      </c>
      <c r="J171" s="59">
        <f>IF(TYPE($A171)=1,"",('NO USAR2'!$J169-J$1)/J$2*K171/$K$1)</f>
        <v>0.04661507882</v>
      </c>
      <c r="K171" s="60">
        <f>IF(TYPE($A171)=1,"",IF('NO USAR2'!J169=0,0,'NO USAR2'!I169/'NO USAR2'!J169))</f>
        <v>1.5</v>
      </c>
      <c r="L171" s="58">
        <f>IF(TYPE($A171)=1,"",-('NO USAR2'!$Q169-L$1)/L$2)</f>
        <v>0.4644234664</v>
      </c>
      <c r="N171" s="63">
        <v>151.0</v>
      </c>
      <c r="O171" s="68" t="str">
        <f>IF('NO USAR2'!B144="",ROW('NO USAR2'!B144),'NO USAR2'!B144)</f>
        <v>Jaden McDaniels</v>
      </c>
      <c r="P171" s="68">
        <f>'NO USAR2'!E152</f>
        <v>76</v>
      </c>
      <c r="Q171" s="68" t="str">
        <f>IF('NO USAR2'!C144="",ROW('NO USAR2'!N159),'NO USAR2'!C144)</f>
        <v>SF</v>
      </c>
      <c r="R171" s="65">
        <f>VLOOKUP($O171,'NO USAR1'!$A$4:$L$399,2,False)+VLOOKUP($O171,'NO USAR1'!$A$4:$L$399,3,False)+VLOOKUP($O171,'NO USAR1'!$A$4:$L$399,4,False)+VLOOKUP($O171,'NO USAR1'!$A$4:$L$399,5,False)+VLOOKUP($O171,'NO USAR1'!$A$4:$L$399,6,False)+VLOOKUP($O171,'NO USAR1'!$A$4:$L$399,7,False)+VLOOKUP($O171,'NO USAR1'!$A$4:$L$399,8,False)+VLOOKUP($O171,'NO USAR1'!$A$4:$L$399,10,False)+VLOOKUP($O171,'NO USAR1'!$A$4:$L$399,12,False)*0</f>
        <v>-3.592132135</v>
      </c>
      <c r="S171" s="65">
        <f>VLOOKUP($O171,'NO USAR1'!$A$4:$L$399,2,False)*$U$19+VLOOKUP($O171,'NO USAR1'!$A$4:$L$399,3,False)*$V$19+VLOOKUP($O171,'NO USAR1'!$A$4:$L$399,4,False)*$W$19+VLOOKUP($O171,'NO USAR1'!$A$4:$L$399,5,False)*$X$19+VLOOKUP($O171,'NO USAR1'!$A$4:$L$399,6,False)*$Y$19+VLOOKUP($O171,'NO USAR1'!$A$4:$L$399,7,False)*$Z$19+VLOOKUP($O171,'NO USAR1'!$A$4:$L$399,8,False)*$AA$19+VLOOKUP($O171,'NO USAR1'!$A$4:$L$399,10,False)*$AB$19+VLOOKUP($O171,'NO USAR1'!$A$4:$L$399,12,False)*$AC$19+IF(Projections!$K$3,-AN171, IF(Projections!$J$3,-AM171,0))</f>
        <v>-4.838611852</v>
      </c>
      <c r="T171" s="65">
        <f t="shared" si="1"/>
        <v>-1.246479717</v>
      </c>
      <c r="U171" s="65">
        <f>VLOOKUP($O171,'NO USAR2'!$B$2:$R$397,11,False)</f>
        <v>10.8</v>
      </c>
      <c r="V171" s="69">
        <f>VLOOKUP($O171,'NO USAR2'!$B$2:$R$397,10,False)</f>
        <v>1.3</v>
      </c>
      <c r="W171" s="65">
        <f>VLOOKUP($O171,'NO USAR2'!$B$2:$R$397,12,False)</f>
        <v>4.6</v>
      </c>
      <c r="X171" s="65">
        <f>VLOOKUP($O171,'NO USAR2'!$B$2:$R$397,13,False)</f>
        <v>1.3</v>
      </c>
      <c r="Y171" s="65">
        <f>VLOOKUP($O171,'NO USAR2'!$B$2:$R$397,14,False)</f>
        <v>0.8</v>
      </c>
      <c r="Z171" s="70">
        <f>VLOOKUP($O171,'NO USAR2'!$B$2:$R$397,15,False)</f>
        <v>1</v>
      </c>
      <c r="AA171" s="65">
        <f>100*VLOOKUP($O171,'NO USAR2'!$B$2:$R$397,7,False)</f>
        <v>46.23655914</v>
      </c>
      <c r="AB171" s="65">
        <f>100*VLOOKUP($O171,'NO USAR2'!$B$2:$R$397,9,False)</f>
        <v>75</v>
      </c>
      <c r="AC171" s="65">
        <f>VLOOKUP($O171,'NO USAR2'!$B$2:$Q$397,16,False)</f>
        <v>1.3</v>
      </c>
      <c r="AD171" s="65">
        <f>VLOOKUP($O171,'NO USAR1'!$A$4:$L$399,2,False)*$U$19</f>
        <v>-1.638456049</v>
      </c>
      <c r="AE171" s="65">
        <f>VLOOKUP($O171,'NO USAR1'!$A$4:$L$399,3,False)*$V$19</f>
        <v>-0.3134088911</v>
      </c>
      <c r="AF171" s="65">
        <f>VLOOKUP($O171,'NO USAR1'!$A$4:$L$399,4,False)*$W$19</f>
        <v>-0.6019122419</v>
      </c>
      <c r="AG171" s="65">
        <f>VLOOKUP($O171,'NO USAR1'!$A$4:$L$399,5,False)*$X$19</f>
        <v>-1.370812753</v>
      </c>
      <c r="AH171" s="65">
        <f>VLOOKUP($O171,'NO USAR1'!$A$4:$L$399,6,False)*$Y$19</f>
        <v>-0.8340614572</v>
      </c>
      <c r="AI171" s="65">
        <f>VLOOKUP($O171,'NO USAR1'!$A$4:$L$399,7,False)*$Z$19</f>
        <v>0</v>
      </c>
      <c r="AJ171" s="65">
        <f>VLOOKUP($O171,'NO USAR1'!$A$4:$L$399,8,False)*$AA$19</f>
        <v>0</v>
      </c>
      <c r="AK171" s="70">
        <f>VLOOKUP($O171,'NO USAR1'!$A$4:$L$399,10,False)*$AB$19</f>
        <v>-0.07996046005</v>
      </c>
      <c r="AL171" s="65">
        <f>VLOOKUP($O171,'NO USAR1'!$A$4:$L$399,12,False)*$AC$19</f>
        <v>0</v>
      </c>
      <c r="AM171" s="71">
        <f t="shared" si="2"/>
        <v>-1.638456049</v>
      </c>
      <c r="AN171" s="71">
        <f t="shared" si="3"/>
        <v>-3.009268802</v>
      </c>
    </row>
    <row r="172">
      <c r="A172" t="str">
        <f>IF('NO USAR2'!B170="",ROW('NO USAR2'!B170),'NO USAR2'!B170)</f>
        <v>Thomas Bryant</v>
      </c>
      <c r="B172" s="58">
        <f>IF(TYPE($A172)=1,"",('NO USAR2'!$L170-B$1)/B$2)</f>
        <v>-1.163313326</v>
      </c>
      <c r="C172" s="58">
        <f>IF(TYPE($A172)=1,"",('NO USAR2'!$K170-C$1)/C$2)</f>
        <v>-1.213368897</v>
      </c>
      <c r="D172" s="58">
        <f>IF(TYPE($A172)=1,"",('NO USAR2'!$M170-D$1)/D$2)</f>
        <v>-0.1120537583</v>
      </c>
      <c r="E172" s="58">
        <f>IF(TYPE($A172)=1,"",('NO USAR2'!$N170-E$1)/E$2)</f>
        <v>-1.096650202</v>
      </c>
      <c r="F172" s="58">
        <f>IF(TYPE($A172)=1,"",('NO USAR2'!$O170-F$1)/F$2)</f>
        <v>-2.302448601</v>
      </c>
      <c r="G172" s="58">
        <f>IF(TYPE($A172)=1,"",('NO USAR2'!$P170-G$1)/G$2)</f>
        <v>0.8294959822</v>
      </c>
      <c r="H172" s="58">
        <f>IF(TYPE($A172)=1,"",('NO USAR2'!$H170-H$1)/H$2*I172/$I$1)</f>
        <v>0.3937686732</v>
      </c>
      <c r="I172" s="58">
        <f>IF(TYPE($A172)=1,"",IF('NO USAR2'!H170=0,0,'NO USAR2'!G170/'NO USAR2'!H170))</f>
        <v>7.9</v>
      </c>
      <c r="J172" s="59">
        <f>IF(TYPE($A172)=1,"",('NO USAR2'!$J170-J$1)/J$2*K172/$K$1)</f>
        <v>-0.4575325061</v>
      </c>
      <c r="K172" s="60">
        <f>IF(TYPE($A172)=1,"",IF('NO USAR2'!J170=0,0,'NO USAR2'!I170/'NO USAR2'!J170))</f>
        <v>2.2</v>
      </c>
      <c r="L172" s="58">
        <f>IF(TYPE($A172)=1,"",-('NO USAR2'!$Q170-L$1)/L$2)</f>
        <v>1.126615777</v>
      </c>
      <c r="N172" s="2">
        <v>152.0</v>
      </c>
      <c r="O172" s="68" t="str">
        <f>IF('NO USAR2'!B168="",ROW('NO USAR2'!B168),'NO USAR2'!B168)</f>
        <v>Paul Reed</v>
      </c>
      <c r="P172" s="68">
        <f>'NO USAR2'!E153</f>
        <v>69</v>
      </c>
      <c r="Q172" s="68" t="str">
        <f>IF('NO USAR2'!C168="",ROW('NO USAR2'!N183),'NO USAR2'!C168)</f>
        <v>PF</v>
      </c>
      <c r="R172" s="65">
        <f>VLOOKUP($O172,'NO USAR1'!$A$4:$L$399,2,False)+VLOOKUP($O172,'NO USAR1'!$A$4:$L$399,3,False)+VLOOKUP($O172,'NO USAR1'!$A$4:$L$399,4,False)+VLOOKUP($O172,'NO USAR1'!$A$4:$L$399,5,False)+VLOOKUP($O172,'NO USAR1'!$A$4:$L$399,6,False)+VLOOKUP($O172,'NO USAR1'!$A$4:$L$399,7,False)+VLOOKUP($O172,'NO USAR1'!$A$4:$L$399,8,False)+VLOOKUP($O172,'NO USAR1'!$A$4:$L$399,10,False)+VLOOKUP($O172,'NO USAR1'!$A$4:$L$399,12,False)*0</f>
        <v>-3.64248221</v>
      </c>
      <c r="S172" s="65">
        <f>VLOOKUP($O172,'NO USAR1'!$A$4:$L$399,2,False)*$U$19+VLOOKUP($O172,'NO USAR1'!$A$4:$L$399,3,False)*$V$19+VLOOKUP($O172,'NO USAR1'!$A$4:$L$399,4,False)*$W$19+VLOOKUP($O172,'NO USAR1'!$A$4:$L$399,5,False)*$X$19+VLOOKUP($O172,'NO USAR1'!$A$4:$L$399,6,False)*$Y$19+VLOOKUP($O172,'NO USAR1'!$A$4:$L$399,7,False)*$Z$19+VLOOKUP($O172,'NO USAR1'!$A$4:$L$399,8,False)*$AA$19+VLOOKUP($O172,'NO USAR1'!$A$4:$L$399,10,False)*$AB$19+VLOOKUP($O172,'NO USAR1'!$A$4:$L$399,12,False)*$AC$19+IF(Projections!$K$3,-AN172, IF(Projections!$J$3,-AM172,0))</f>
        <v>-4.608196124</v>
      </c>
      <c r="T172" s="65">
        <f t="shared" si="1"/>
        <v>-0.965713914</v>
      </c>
      <c r="U172" s="65">
        <f>VLOOKUP($O172,'NO USAR2'!$B$2:$R$397,11,False)</f>
        <v>5.6</v>
      </c>
      <c r="V172" s="69">
        <f>VLOOKUP($O172,'NO USAR2'!$B$2:$R$397,10,False)</f>
        <v>0.2</v>
      </c>
      <c r="W172" s="65">
        <f>VLOOKUP($O172,'NO USAR2'!$B$2:$R$397,12,False)</f>
        <v>4.5</v>
      </c>
      <c r="X172" s="65">
        <f>VLOOKUP($O172,'NO USAR2'!$B$2:$R$397,13,False)</f>
        <v>0.7</v>
      </c>
      <c r="Y172" s="65">
        <f>VLOOKUP($O172,'NO USAR2'!$B$2:$R$397,14,False)</f>
        <v>1.6</v>
      </c>
      <c r="Z172" s="70">
        <f>VLOOKUP($O172,'NO USAR2'!$B$2:$R$397,15,False)</f>
        <v>0.7</v>
      </c>
      <c r="AA172" s="65">
        <f>100*VLOOKUP($O172,'NO USAR2'!$B$2:$R$397,7,False)</f>
        <v>55.55555556</v>
      </c>
      <c r="AB172" s="65">
        <f>100*VLOOKUP($O172,'NO USAR2'!$B$2:$R$397,9,False)</f>
        <v>57.14285714</v>
      </c>
      <c r="AC172" s="65">
        <f>VLOOKUP($O172,'NO USAR2'!$B$2:$Q$397,16,False)</f>
        <v>0.5</v>
      </c>
      <c r="AD172" s="65">
        <f>VLOOKUP($O172,'NO USAR1'!$A$4:$L$399,2,False)*$U$19</f>
        <v>-3.023137274</v>
      </c>
      <c r="AE172" s="65">
        <f>VLOOKUP($O172,'NO USAR1'!$A$4:$L$399,3,False)*$V$19</f>
        <v>-1.41336001</v>
      </c>
      <c r="AF172" s="65">
        <f>VLOOKUP($O172,'NO USAR1'!$A$4:$L$399,4,False)*$W$19</f>
        <v>-0.6427337822</v>
      </c>
      <c r="AG172" s="65">
        <f>VLOOKUP($O172,'NO USAR1'!$A$4:$L$399,5,False)*$X$19</f>
        <v>-1.713228679</v>
      </c>
      <c r="AH172" s="65">
        <f>VLOOKUP($O172,'NO USAR1'!$A$4:$L$399,6,False)*$Y$19</f>
        <v>2.436337414</v>
      </c>
      <c r="AI172" s="65">
        <f>VLOOKUP($O172,'NO USAR1'!$A$4:$L$399,7,False)*$Z$19</f>
        <v>0</v>
      </c>
      <c r="AJ172" s="65">
        <f>VLOOKUP($O172,'NO USAR1'!$A$4:$L$399,8,False)*$AA$19</f>
        <v>0</v>
      </c>
      <c r="AK172" s="70">
        <f>VLOOKUP($O172,'NO USAR1'!$A$4:$L$399,10,False)*$AB$19</f>
        <v>-0.2520737925</v>
      </c>
      <c r="AL172" s="65">
        <f>VLOOKUP($O172,'NO USAR1'!$A$4:$L$399,12,False)*$AC$19</f>
        <v>0</v>
      </c>
      <c r="AM172" s="71">
        <f t="shared" si="2"/>
        <v>-3.023137274</v>
      </c>
      <c r="AN172" s="71">
        <f t="shared" si="3"/>
        <v>-4.736365953</v>
      </c>
    </row>
    <row r="173">
      <c r="A173" t="str">
        <f>IF('NO USAR2'!B171="",ROW('NO USAR2'!B171),'NO USAR2'!B171)</f>
        <v>Immanuel Quickley</v>
      </c>
      <c r="B173" s="58">
        <f>IF(TYPE($A173)=1,"",('NO USAR2'!$L171-B$1)/B$2)</f>
        <v>-0.8260191819</v>
      </c>
      <c r="C173" s="58">
        <f>IF(TYPE($A173)=1,"",('NO USAR2'!$K171-C$1)/C$2)</f>
        <v>0.2865644464</v>
      </c>
      <c r="D173" s="58">
        <f>IF(TYPE($A173)=1,"",('NO USAR2'!$M171-D$1)/D$2)</f>
        <v>-1.132592266</v>
      </c>
      <c r="E173" s="58">
        <f>IF(TYPE($A173)=1,"",('NO USAR2'!$N171-E$1)/E$2)</f>
        <v>-0.04657469425</v>
      </c>
      <c r="F173" s="58">
        <f>IF(TYPE($A173)=1,"",('NO USAR2'!$O171-F$1)/F$2)</f>
        <v>-0.9942890529</v>
      </c>
      <c r="G173" s="58">
        <f>IF(TYPE($A173)=1,"",('NO USAR2'!$P171-G$1)/G$2)</f>
        <v>-1.436410543</v>
      </c>
      <c r="H173" s="58">
        <f>IF(TYPE($A173)=1,"",('NO USAR2'!$H171-H$1)/H$2*I173/$I$1)</f>
        <v>-0.8024996295</v>
      </c>
      <c r="I173" s="58">
        <f>IF(TYPE($A173)=1,"",IF('NO USAR2'!H171=0,0,'NO USAR2'!G171/'NO USAR2'!H171))</f>
        <v>9.6</v>
      </c>
      <c r="J173" s="59">
        <f>IF(TYPE($A173)=1,"",('NO USAR2'!$J171-J$1)/J$2*K173/$K$1)</f>
        <v>0.8727590745</v>
      </c>
      <c r="K173" s="60">
        <f>IF(TYPE($A173)=1,"",IF('NO USAR2'!J171=0,0,'NO USAR2'!I171/'NO USAR2'!J171))</f>
        <v>2.7</v>
      </c>
      <c r="L173" s="58">
        <f>IF(TYPE($A173)=1,"",-('NO USAR2'!$Q171-L$1)/L$2)</f>
        <v>0.7955196219</v>
      </c>
      <c r="N173" s="63">
        <v>153.0</v>
      </c>
      <c r="O173" s="68" t="str">
        <f>IF('NO USAR2'!B143="",ROW('NO USAR2'!B143),'NO USAR2'!B143)</f>
        <v>Nassir Little</v>
      </c>
      <c r="P173" s="68">
        <f>'NO USAR2'!E154</f>
        <v>72</v>
      </c>
      <c r="Q173" s="68" t="str">
        <f>IF('NO USAR2'!C143="",ROW('NO USAR2'!N158),'NO USAR2'!C143)</f>
        <v>SF/PF</v>
      </c>
      <c r="R173" s="65">
        <f>VLOOKUP($O173,'NO USAR1'!$A$4:$L$399,2,False)+VLOOKUP($O173,'NO USAR1'!$A$4:$L$399,3,False)+VLOOKUP($O173,'NO USAR1'!$A$4:$L$399,4,False)+VLOOKUP($O173,'NO USAR1'!$A$4:$L$399,5,False)+VLOOKUP($O173,'NO USAR1'!$A$4:$L$399,6,False)+VLOOKUP($O173,'NO USAR1'!$A$4:$L$399,7,False)+VLOOKUP($O173,'NO USAR1'!$A$4:$L$399,8,False)+VLOOKUP($O173,'NO USAR1'!$A$4:$L$399,10,False)+VLOOKUP($O173,'NO USAR1'!$A$4:$L$399,12,False)*0</f>
        <v>-3.668835462</v>
      </c>
      <c r="S173" s="65">
        <f>VLOOKUP($O173,'NO USAR1'!$A$4:$L$399,2,False)*$U$19+VLOOKUP($O173,'NO USAR1'!$A$4:$L$399,3,False)*$V$19+VLOOKUP($O173,'NO USAR1'!$A$4:$L$399,4,False)*$W$19+VLOOKUP($O173,'NO USAR1'!$A$4:$L$399,5,False)*$X$19+VLOOKUP($O173,'NO USAR1'!$A$4:$L$399,6,False)*$Y$19+VLOOKUP($O173,'NO USAR1'!$A$4:$L$399,7,False)*$Z$19+VLOOKUP($O173,'NO USAR1'!$A$4:$L$399,8,False)*$AA$19+VLOOKUP($O173,'NO USAR1'!$A$4:$L$399,10,False)*$AB$19+VLOOKUP($O173,'NO USAR1'!$A$4:$L$399,12,False)*$AC$19+IF(Projections!$K$3,-AN173, IF(Projections!$J$3,-AM173,0))</f>
        <v>-5.159437806</v>
      </c>
      <c r="T173" s="65">
        <f t="shared" si="1"/>
        <v>-1.490602344</v>
      </c>
      <c r="U173" s="65">
        <f>VLOOKUP($O173,'NO USAR2'!$B$2:$R$397,11,False)</f>
        <v>10.4</v>
      </c>
      <c r="V173" s="69">
        <f>VLOOKUP($O173,'NO USAR2'!$B$2:$R$397,10,False)</f>
        <v>1.3</v>
      </c>
      <c r="W173" s="65">
        <f>VLOOKUP($O173,'NO USAR2'!$B$2:$R$397,12,False)</f>
        <v>5.9</v>
      </c>
      <c r="X173" s="65">
        <f>VLOOKUP($O173,'NO USAR2'!$B$2:$R$397,13,False)</f>
        <v>1.4</v>
      </c>
      <c r="Y173" s="65">
        <f>VLOOKUP($O173,'NO USAR2'!$B$2:$R$397,14,False)</f>
        <v>0.6</v>
      </c>
      <c r="Z173" s="70">
        <f>VLOOKUP($O173,'NO USAR2'!$B$2:$R$397,15,False)</f>
        <v>1</v>
      </c>
      <c r="AA173" s="65">
        <f>100*VLOOKUP($O173,'NO USAR2'!$B$2:$R$397,7,False)</f>
        <v>46.25</v>
      </c>
      <c r="AB173" s="65">
        <f>100*VLOOKUP($O173,'NO USAR2'!$B$2:$R$397,9,False)</f>
        <v>77.27272727</v>
      </c>
      <c r="AC173" s="65">
        <f>VLOOKUP($O173,'NO USAR2'!$B$2:$Q$397,16,False)</f>
        <v>1.1</v>
      </c>
      <c r="AD173" s="65">
        <f>VLOOKUP($O173,'NO USAR1'!$A$4:$L$399,2,False)*$U$19</f>
        <v>-1.74496999</v>
      </c>
      <c r="AE173" s="65">
        <f>VLOOKUP($O173,'NO USAR1'!$A$4:$L$399,3,False)*$V$19</f>
        <v>-0.3134088911</v>
      </c>
      <c r="AF173" s="65">
        <f>VLOOKUP($O173,'NO USAR1'!$A$4:$L$399,4,False)*$W$19</f>
        <v>-0.07123221798</v>
      </c>
      <c r="AG173" s="65">
        <f>VLOOKUP($O173,'NO USAR1'!$A$4:$L$399,5,False)*$X$19</f>
        <v>-1.313743432</v>
      </c>
      <c r="AH173" s="65">
        <f>VLOOKUP($O173,'NO USAR1'!$A$4:$L$399,6,False)*$Y$19</f>
        <v>-1.651661175</v>
      </c>
      <c r="AI173" s="65">
        <f>VLOOKUP($O173,'NO USAR1'!$A$4:$L$399,7,False)*$Z$19</f>
        <v>0</v>
      </c>
      <c r="AJ173" s="65">
        <f>VLOOKUP($O173,'NO USAR1'!$A$4:$L$399,8,False)*$AA$19</f>
        <v>0</v>
      </c>
      <c r="AK173" s="70">
        <f>VLOOKUP($O173,'NO USAR1'!$A$4:$L$399,10,False)*$AB$19</f>
        <v>-0.06442210044</v>
      </c>
      <c r="AL173" s="65">
        <f>VLOOKUP($O173,'NO USAR1'!$A$4:$L$399,12,False)*$AC$19</f>
        <v>0</v>
      </c>
      <c r="AM173" s="71">
        <f t="shared" si="2"/>
        <v>-1.74496999</v>
      </c>
      <c r="AN173" s="71">
        <f t="shared" si="3"/>
        <v>-3.396631165</v>
      </c>
    </row>
    <row r="174">
      <c r="A174" t="str">
        <f>IF('NO USAR2'!B172="",ROW('NO USAR2'!B172),'NO USAR2'!B172)</f>
        <v>Victor Oladipo</v>
      </c>
      <c r="B174" s="58">
        <f>IF(TYPE($A174)=1,"",('NO USAR2'!$L172-B$1)/B$2)</f>
        <v>-0.3289541268</v>
      </c>
      <c r="C174" s="58">
        <f>IF(TYPE($A174)=1,"",('NO USAR2'!$K172-C$1)/C$2)</f>
        <v>0.6865466715</v>
      </c>
      <c r="D174" s="58">
        <f>IF(TYPE($A174)=1,"",('NO USAR2'!$M172-D$1)/D$2)</f>
        <v>-1.050949185</v>
      </c>
      <c r="E174" s="58">
        <f>IF(TYPE($A174)=1,"",('NO USAR2'!$N172-E$1)/E$2)</f>
        <v>0.1360471332</v>
      </c>
      <c r="F174" s="58">
        <f>IF(TYPE($A174)=1,"",('NO USAR2'!$O172-F$1)/F$2)</f>
        <v>-0.9942890529</v>
      </c>
      <c r="G174" s="58">
        <f>IF(TYPE($A174)=1,"",('NO USAR2'!$P172-G$1)/G$2)</f>
        <v>-1.23041904</v>
      </c>
      <c r="H174" s="58">
        <f>IF(TYPE($A174)=1,"",('NO USAR2'!$H172-H$1)/H$2*I174/$I$1)</f>
        <v>-0.5982466453</v>
      </c>
      <c r="I174" s="58">
        <f>IF(TYPE($A174)=1,"",IF('NO USAR2'!H172=0,0,'NO USAR2'!G172/'NO USAR2'!H172))</f>
        <v>11.9</v>
      </c>
      <c r="J174" s="59">
        <f>IF(TYPE($A174)=1,"",('NO USAR2'!$J172-J$1)/J$2*K174/$K$1)</f>
        <v>-0.3043034806</v>
      </c>
      <c r="K174" s="60">
        <f>IF(TYPE($A174)=1,"",IF('NO USAR2'!J172=0,0,'NO USAR2'!I172/'NO USAR2'!J172))</f>
        <v>2.9</v>
      </c>
      <c r="L174" s="58">
        <f>IF(TYPE($A174)=1,"",-('NO USAR2'!$Q172-L$1)/L$2)</f>
        <v>-0.4184996149</v>
      </c>
      <c r="N174" s="63">
        <v>154.0</v>
      </c>
      <c r="O174" s="68" t="str">
        <f>IF('NO USAR2'!B172="",ROW('NO USAR2'!B172),'NO USAR2'!B172)</f>
        <v>Victor Oladipo</v>
      </c>
      <c r="P174" s="68">
        <f>'NO USAR2'!E155</f>
        <v>60</v>
      </c>
      <c r="Q174" s="68" t="str">
        <f>IF('NO USAR2'!C172="",ROW('NO USAR2'!N187),'NO USAR2'!C172)</f>
        <v>SG</v>
      </c>
      <c r="R174" s="65">
        <f>VLOOKUP($O174,'NO USAR1'!$A$4:$L$399,2,False)+VLOOKUP($O174,'NO USAR1'!$A$4:$L$399,3,False)+VLOOKUP($O174,'NO USAR1'!$A$4:$L$399,4,False)+VLOOKUP($O174,'NO USAR1'!$A$4:$L$399,5,False)+VLOOKUP($O174,'NO USAR1'!$A$4:$L$399,6,False)+VLOOKUP($O174,'NO USAR1'!$A$4:$L$399,7,False)+VLOOKUP($O174,'NO USAR1'!$A$4:$L$399,8,False)+VLOOKUP($O174,'NO USAR1'!$A$4:$L$399,10,False)+VLOOKUP($O174,'NO USAR1'!$A$4:$L$399,12,False)*0</f>
        <v>-3.684567727</v>
      </c>
      <c r="S174" s="65">
        <f>VLOOKUP($O174,'NO USAR1'!$A$4:$L$399,2,False)*$U$19+VLOOKUP($O174,'NO USAR1'!$A$4:$L$399,3,False)*$V$19+VLOOKUP($O174,'NO USAR1'!$A$4:$L$399,4,False)*$W$19+VLOOKUP($O174,'NO USAR1'!$A$4:$L$399,5,False)*$X$19+VLOOKUP($O174,'NO USAR1'!$A$4:$L$399,6,False)*$Y$19+VLOOKUP($O174,'NO USAR1'!$A$4:$L$399,7,False)*$Z$19+VLOOKUP($O174,'NO USAR1'!$A$4:$L$399,8,False)*$AA$19+VLOOKUP($O174,'NO USAR1'!$A$4:$L$399,10,False)*$AB$19+VLOOKUP($O174,'NO USAR1'!$A$4:$L$399,12,False)*$AC$19+IF(Projections!$K$3,-AN174, IF(Projections!$J$3,-AM174,0))</f>
        <v>-2.082787844</v>
      </c>
      <c r="T174" s="65">
        <f t="shared" si="1"/>
        <v>1.601779883</v>
      </c>
      <c r="U174" s="65">
        <f>VLOOKUP($O174,'NO USAR2'!$B$2:$R$397,11,False)</f>
        <v>15.1</v>
      </c>
      <c r="V174" s="69">
        <f>VLOOKUP($O174,'NO USAR2'!$B$2:$R$397,10,False)</f>
        <v>2.3</v>
      </c>
      <c r="W174" s="65">
        <f>VLOOKUP($O174,'NO USAR2'!$B$2:$R$397,12,False)</f>
        <v>3.5</v>
      </c>
      <c r="X174" s="65">
        <f>VLOOKUP($O174,'NO USAR2'!$B$2:$R$397,13,False)</f>
        <v>4</v>
      </c>
      <c r="Y174" s="65">
        <f>VLOOKUP($O174,'NO USAR2'!$B$2:$R$397,14,False)</f>
        <v>0.7</v>
      </c>
      <c r="Z174" s="70">
        <f>VLOOKUP($O174,'NO USAR2'!$B$2:$R$397,15,False)</f>
        <v>0.1</v>
      </c>
      <c r="AA174" s="65">
        <f>100*VLOOKUP($O174,'NO USAR2'!$B$2:$R$397,7,False)</f>
        <v>44.53781513</v>
      </c>
      <c r="AB174" s="65">
        <f>100*VLOOKUP($O174,'NO USAR2'!$B$2:$R$397,9,False)</f>
        <v>75.86206897</v>
      </c>
      <c r="AC174" s="65">
        <f>VLOOKUP($O174,'NO USAR2'!$B$2:$Q$397,16,False)</f>
        <v>2.4</v>
      </c>
      <c r="AD174" s="65">
        <f>VLOOKUP($O174,'NO USAR1'!$A$4:$L$399,2,False)*$U$19</f>
        <v>-0.4934311903</v>
      </c>
      <c r="AE174" s="65">
        <f>VLOOKUP($O174,'NO USAR1'!$A$4:$L$399,3,False)*$V$19</f>
        <v>0.6865466715</v>
      </c>
      <c r="AF174" s="65">
        <f>VLOOKUP($O174,'NO USAR1'!$A$4:$L$399,4,False)*$W$19</f>
        <v>-1.050949185</v>
      </c>
      <c r="AG174" s="65">
        <f>VLOOKUP($O174,'NO USAR1'!$A$4:$L$399,5,False)*$X$19</f>
        <v>0.1700589165</v>
      </c>
      <c r="AH174" s="65">
        <f>VLOOKUP($O174,'NO USAR1'!$A$4:$L$399,6,False)*$Y$19</f>
        <v>-1.242861316</v>
      </c>
      <c r="AI174" s="65">
        <f>VLOOKUP($O174,'NO USAR1'!$A$4:$L$399,7,False)*$Z$19</f>
        <v>0</v>
      </c>
      <c r="AJ174" s="65">
        <f>VLOOKUP($O174,'NO USAR1'!$A$4:$L$399,8,False)*$AA$19</f>
        <v>0</v>
      </c>
      <c r="AK174" s="70">
        <f>VLOOKUP($O174,'NO USAR1'!$A$4:$L$399,10,False)*$AB$19</f>
        <v>-0.1521517403</v>
      </c>
      <c r="AL174" s="65">
        <f>VLOOKUP($O174,'NO USAR1'!$A$4:$L$399,12,False)*$AC$19</f>
        <v>0</v>
      </c>
      <c r="AM174" s="71">
        <f t="shared" si="2"/>
        <v>-1.242861316</v>
      </c>
      <c r="AN174" s="71">
        <f t="shared" si="3"/>
        <v>-2.293810501</v>
      </c>
    </row>
    <row r="175">
      <c r="A175" t="str">
        <f>IF('NO USAR2'!B173="",ROW('NO USAR2'!B173),'NO USAR2'!B173)</f>
        <v>Isaiah Jackson</v>
      </c>
      <c r="B175" s="58">
        <f>IF(TYPE($A175)=1,"",('NO USAR2'!$L173-B$1)/B$2)</f>
        <v>-1.163313326</v>
      </c>
      <c r="C175" s="58">
        <f>IF(TYPE($A175)=1,"",('NO USAR2'!$K173-C$1)/C$2)</f>
        <v>-1.41336001</v>
      </c>
      <c r="D175" s="58">
        <f>IF(TYPE($A175)=1,"",('NO USAR2'!$M173-D$1)/D$2)</f>
        <v>0.2145185641</v>
      </c>
      <c r="E175" s="58">
        <f>IF(TYPE($A175)=1,"",('NO USAR2'!$N173-E$1)/E$2)</f>
        <v>-1.461893857</v>
      </c>
      <c r="F175" s="58">
        <f>IF(TYPE($A175)=1,"",('NO USAR2'!$O173-F$1)/F$2)</f>
        <v>-0.9942890529</v>
      </c>
      <c r="G175" s="58">
        <f>IF(TYPE($A175)=1,"",('NO USAR2'!$P173-G$1)/G$2)</f>
        <v>1.447470489</v>
      </c>
      <c r="H175" s="58">
        <f>IF(TYPE($A175)=1,"",('NO USAR2'!$H173-H$1)/H$2*I175/$I$1)</f>
        <v>0.7340604029</v>
      </c>
      <c r="I175" s="58">
        <f>IF(TYPE($A175)=1,"",IF('NO USAR2'!H173=0,0,'NO USAR2'!G173/'NO USAR2'!H173))</f>
        <v>7.3</v>
      </c>
      <c r="J175" s="59">
        <f>IF(TYPE($A175)=1,"",('NO USAR2'!$J173-J$1)/J$2*K175/$K$1)</f>
        <v>-1.619056702</v>
      </c>
      <c r="K175" s="60">
        <f>IF(TYPE($A175)=1,"",IF('NO USAR2'!J173=0,0,'NO USAR2'!I173/'NO USAR2'!J173))</f>
        <v>2.9</v>
      </c>
      <c r="L175" s="58">
        <f>IF(TYPE($A175)=1,"",-('NO USAR2'!$Q173-L$1)/L$2)</f>
        <v>0.2436926961</v>
      </c>
      <c r="N175" s="2">
        <v>155.0</v>
      </c>
      <c r="O175" s="68" t="str">
        <f>IF('NO USAR2'!B161="",ROW('NO USAR2'!B161),'NO USAR2'!B161)</f>
        <v>Darius Bazley</v>
      </c>
      <c r="P175" s="68">
        <f>'NO USAR2'!E156</f>
        <v>70</v>
      </c>
      <c r="Q175" s="68" t="str">
        <f>IF('NO USAR2'!C161="",ROW('NO USAR2'!N176),'NO USAR2'!C161)</f>
        <v>SF/PF</v>
      </c>
      <c r="R175" s="65">
        <f>VLOOKUP($O175,'NO USAR1'!$A$4:$L$399,2,False)+VLOOKUP($O175,'NO USAR1'!$A$4:$L$399,3,False)+VLOOKUP($O175,'NO USAR1'!$A$4:$L$399,4,False)+VLOOKUP($O175,'NO USAR1'!$A$4:$L$399,5,False)+VLOOKUP($O175,'NO USAR1'!$A$4:$L$399,6,False)+VLOOKUP($O175,'NO USAR1'!$A$4:$L$399,7,False)+VLOOKUP($O175,'NO USAR1'!$A$4:$L$399,8,False)+VLOOKUP($O175,'NO USAR1'!$A$4:$L$399,10,False)+VLOOKUP($O175,'NO USAR1'!$A$4:$L$399,12,False)*0</f>
        <v>-3.690717168</v>
      </c>
      <c r="S175" s="65">
        <f>VLOOKUP($O175,'NO USAR1'!$A$4:$L$399,2,False)*$U$19+VLOOKUP($O175,'NO USAR1'!$A$4:$L$399,3,False)*$V$19+VLOOKUP($O175,'NO USAR1'!$A$4:$L$399,4,False)*$W$19+VLOOKUP($O175,'NO USAR1'!$A$4:$L$399,5,False)*$X$19+VLOOKUP($O175,'NO USAR1'!$A$4:$L$399,6,False)*$Y$19+VLOOKUP($O175,'NO USAR1'!$A$4:$L$399,7,False)*$Z$19+VLOOKUP($O175,'NO USAR1'!$A$4:$L$399,8,False)*$AA$19+VLOOKUP($O175,'NO USAR1'!$A$4:$L$399,10,False)*$AB$19+VLOOKUP($O175,'NO USAR1'!$A$4:$L$399,12,False)*$AC$19+IF(Projections!$K$3,-AN175, IF(Projections!$J$3,-AM175,0))</f>
        <v>-4.243719494</v>
      </c>
      <c r="T175" s="65">
        <f t="shared" si="1"/>
        <v>-0.5530023262</v>
      </c>
      <c r="U175" s="65">
        <f>VLOOKUP($O175,'NO USAR2'!$B$2:$R$397,11,False)</f>
        <v>11.2</v>
      </c>
      <c r="V175" s="69">
        <f>VLOOKUP($O175,'NO USAR2'!$B$2:$R$397,10,False)</f>
        <v>1.2</v>
      </c>
      <c r="W175" s="65">
        <f>VLOOKUP($O175,'NO USAR2'!$B$2:$R$397,12,False)</f>
        <v>6.5</v>
      </c>
      <c r="X175" s="65">
        <f>VLOOKUP($O175,'NO USAR2'!$B$2:$R$397,13,False)</f>
        <v>1.4</v>
      </c>
      <c r="Y175" s="65">
        <f>VLOOKUP($O175,'NO USAR2'!$B$2:$R$397,14,False)</f>
        <v>0.8</v>
      </c>
      <c r="Z175" s="70">
        <f>VLOOKUP($O175,'NO USAR2'!$B$2:$R$397,15,False)</f>
        <v>1</v>
      </c>
      <c r="AA175" s="65">
        <f>100*VLOOKUP($O175,'NO USAR2'!$B$2:$R$397,7,False)</f>
        <v>42.70833333</v>
      </c>
      <c r="AB175" s="65">
        <f>100*VLOOKUP($O175,'NO USAR2'!$B$2:$R$397,9,False)</f>
        <v>70.83333333</v>
      </c>
      <c r="AC175" s="65">
        <f>VLOOKUP($O175,'NO USAR2'!$B$2:$Q$397,16,False)</f>
        <v>1.3</v>
      </c>
      <c r="AD175" s="65">
        <f>VLOOKUP($O175,'NO USAR1'!$A$4:$L$399,2,False)*$U$19</f>
        <v>-1.531942109</v>
      </c>
      <c r="AE175" s="65">
        <f>VLOOKUP($O175,'NO USAR1'!$A$4:$L$399,3,False)*$V$19</f>
        <v>-0.4134044473</v>
      </c>
      <c r="AF175" s="65">
        <f>VLOOKUP($O175,'NO USAR1'!$A$4:$L$399,4,False)*$W$19</f>
        <v>0.1736970238</v>
      </c>
      <c r="AG175" s="65">
        <f>VLOOKUP($O175,'NO USAR1'!$A$4:$L$399,5,False)*$X$19</f>
        <v>-1.313743432</v>
      </c>
      <c r="AH175" s="65">
        <f>VLOOKUP($O175,'NO USAR1'!$A$4:$L$399,6,False)*$Y$19</f>
        <v>-0.8340614572</v>
      </c>
      <c r="AI175" s="65">
        <f>VLOOKUP($O175,'NO USAR1'!$A$4:$L$399,7,False)*$Z$19</f>
        <v>0</v>
      </c>
      <c r="AJ175" s="65">
        <f>VLOOKUP($O175,'NO USAR1'!$A$4:$L$399,8,False)*$AA$19</f>
        <v>0</v>
      </c>
      <c r="AK175" s="70">
        <f>VLOOKUP($O175,'NO USAR1'!$A$4:$L$399,10,False)*$AB$19</f>
        <v>-0.3242650727</v>
      </c>
      <c r="AL175" s="65">
        <f>VLOOKUP($O175,'NO USAR1'!$A$4:$L$399,12,False)*$AC$19</f>
        <v>0</v>
      </c>
      <c r="AM175" s="71">
        <f t="shared" si="2"/>
        <v>-1.531942109</v>
      </c>
      <c r="AN175" s="71">
        <f t="shared" si="3"/>
        <v>-2.845685541</v>
      </c>
    </row>
    <row r="176">
      <c r="A176" t="str">
        <f>IF('NO USAR2'!B174="",ROW('NO USAR2'!B174),'NO USAR2'!B174)</f>
        <v>Grant Williams</v>
      </c>
      <c r="B176" s="58">
        <f>IF(TYPE($A176)=1,"",('NO USAR2'!$L174-B$1)/B$2)</f>
        <v>-1.500607471</v>
      </c>
      <c r="C176" s="58">
        <f>IF(TYPE($A176)=1,"",('NO USAR2'!$K174-C$1)/C$2)</f>
        <v>-0.1134177786</v>
      </c>
      <c r="D176" s="58">
        <f>IF(TYPE($A176)=1,"",('NO USAR2'!$M174-D$1)/D$2)</f>
        <v>-0.9284845644</v>
      </c>
      <c r="E176" s="58">
        <f>IF(TYPE($A176)=1,"",('NO USAR2'!$N174-E$1)/E$2)</f>
        <v>-1.187961116</v>
      </c>
      <c r="F176" s="58">
        <f>IF(TYPE($A176)=1,"",('NO USAR2'!$O174-F$1)/F$2)</f>
        <v>-1.648368827</v>
      </c>
      <c r="G176" s="58">
        <f>IF(TYPE($A176)=1,"",('NO USAR2'!$P174-G$1)/G$2)</f>
        <v>0.2115214755</v>
      </c>
      <c r="H176" s="58">
        <f>IF(TYPE($A176)=1,"",('NO USAR2'!$H174-H$1)/H$2*I176/$I$1)</f>
        <v>-0.0940607523</v>
      </c>
      <c r="I176" s="58">
        <f>IF(TYPE($A176)=1,"",IF('NO USAR2'!H174=0,0,'NO USAR2'!G174/'NO USAR2'!H174))</f>
        <v>6.1</v>
      </c>
      <c r="J176" s="59">
        <f>IF(TYPE($A176)=1,"",('NO USAR2'!$J174-J$1)/J$2*K176/$K$1)</f>
        <v>0.5663010234</v>
      </c>
      <c r="K176" s="60">
        <f>IF(TYPE($A176)=1,"",IF('NO USAR2'!J174=0,0,'NO USAR2'!I174/'NO USAR2'!J174))</f>
        <v>1.3</v>
      </c>
      <c r="L176" s="58">
        <f>IF(TYPE($A176)=1,"",-('NO USAR2'!$Q174-L$1)/L$2)</f>
        <v>1.236981163</v>
      </c>
      <c r="N176" s="63">
        <v>156.0</v>
      </c>
      <c r="O176" s="68" t="str">
        <f>IF('NO USAR2'!B147="",ROW('NO USAR2'!B147),'NO USAR2'!B147)</f>
        <v>Caleb Martin</v>
      </c>
      <c r="P176" s="68">
        <f>'NO USAR2'!E157</f>
        <v>64</v>
      </c>
      <c r="Q176" s="68" t="str">
        <f>IF('NO USAR2'!C147="",ROW('NO USAR2'!N162),'NO USAR2'!C147)</f>
        <v>SG/SF</v>
      </c>
      <c r="R176" s="65">
        <f>VLOOKUP($O176,'NO USAR1'!$A$4:$L$399,2,False)+VLOOKUP($O176,'NO USAR1'!$A$4:$L$399,3,False)+VLOOKUP($O176,'NO USAR1'!$A$4:$L$399,4,False)+VLOOKUP($O176,'NO USAR1'!$A$4:$L$399,5,False)+VLOOKUP($O176,'NO USAR1'!$A$4:$L$399,6,False)+VLOOKUP($O176,'NO USAR1'!$A$4:$L$399,7,False)+VLOOKUP($O176,'NO USAR1'!$A$4:$L$399,8,False)+VLOOKUP($O176,'NO USAR1'!$A$4:$L$399,10,False)+VLOOKUP($O176,'NO USAR1'!$A$4:$L$399,12,False)*0</f>
        <v>-3.695122117</v>
      </c>
      <c r="S176" s="65">
        <f>VLOOKUP($O176,'NO USAR1'!$A$4:$L$399,2,False)*$U$19+VLOOKUP($O176,'NO USAR1'!$A$4:$L$399,3,False)*$V$19+VLOOKUP($O176,'NO USAR1'!$A$4:$L$399,4,False)*$W$19+VLOOKUP($O176,'NO USAR1'!$A$4:$L$399,5,False)*$X$19+VLOOKUP($O176,'NO USAR1'!$A$4:$L$399,6,False)*$Y$19+VLOOKUP($O176,'NO USAR1'!$A$4:$L$399,7,False)*$Z$19+VLOOKUP($O176,'NO USAR1'!$A$4:$L$399,8,False)*$AA$19+VLOOKUP($O176,'NO USAR1'!$A$4:$L$399,10,False)*$AB$19+VLOOKUP($O176,'NO USAR1'!$A$4:$L$399,12,False)*$AC$19+IF(Projections!$K$3,-AN176, IF(Projections!$J$3,-AM176,0))</f>
        <v>-4.137822015</v>
      </c>
      <c r="T176" s="65">
        <f t="shared" si="1"/>
        <v>-0.4426998984</v>
      </c>
      <c r="U176" s="65">
        <f>VLOOKUP($O176,'NO USAR2'!$B$2:$R$397,11,False)</f>
        <v>10</v>
      </c>
      <c r="V176" s="69">
        <f>VLOOKUP($O176,'NO USAR2'!$B$2:$R$397,10,False)</f>
        <v>1.2</v>
      </c>
      <c r="W176" s="65">
        <f>VLOOKUP($O176,'NO USAR2'!$B$2:$R$397,12,False)</f>
        <v>4.2</v>
      </c>
      <c r="X176" s="65">
        <f>VLOOKUP($O176,'NO USAR2'!$B$2:$R$397,13,False)</f>
        <v>1.2</v>
      </c>
      <c r="Y176" s="65">
        <f>VLOOKUP($O176,'NO USAR2'!$B$2:$R$397,14,False)</f>
        <v>1.1</v>
      </c>
      <c r="Z176" s="70">
        <f>VLOOKUP($O176,'NO USAR2'!$B$2:$R$397,15,False)</f>
        <v>0.5</v>
      </c>
      <c r="AA176" s="65">
        <f>100*VLOOKUP($O176,'NO USAR2'!$B$2:$R$397,7,False)</f>
        <v>50</v>
      </c>
      <c r="AB176" s="65">
        <f>100*VLOOKUP($O176,'NO USAR2'!$B$2:$R$397,9,False)</f>
        <v>76.47058824</v>
      </c>
      <c r="AC176" s="65">
        <f>VLOOKUP($O176,'NO USAR2'!$B$2:$Q$397,16,False)</f>
        <v>1</v>
      </c>
      <c r="AD176" s="65">
        <f>VLOOKUP($O176,'NO USAR1'!$A$4:$L$399,2,False)*$U$19</f>
        <v>-1.85148393</v>
      </c>
      <c r="AE176" s="65">
        <f>VLOOKUP($O176,'NO USAR1'!$A$4:$L$399,3,False)*$V$19</f>
        <v>-0.4134044473</v>
      </c>
      <c r="AF176" s="65">
        <f>VLOOKUP($O176,'NO USAR1'!$A$4:$L$399,4,False)*$W$19</f>
        <v>-0.7651984031</v>
      </c>
      <c r="AG176" s="65">
        <f>VLOOKUP($O176,'NO USAR1'!$A$4:$L$399,5,False)*$X$19</f>
        <v>-1.427882074</v>
      </c>
      <c r="AH176" s="65">
        <f>VLOOKUP($O176,'NO USAR1'!$A$4:$L$399,6,False)*$Y$19</f>
        <v>0.3923381197</v>
      </c>
      <c r="AI176" s="65">
        <f>VLOOKUP($O176,'NO USAR1'!$A$4:$L$399,7,False)*$Z$19</f>
        <v>0</v>
      </c>
      <c r="AJ176" s="65">
        <f>VLOOKUP($O176,'NO USAR1'!$A$4:$L$399,8,False)*$AA$19</f>
        <v>0</v>
      </c>
      <c r="AK176" s="70">
        <f>VLOOKUP($O176,'NO USAR1'!$A$4:$L$399,10,False)*$AB$19</f>
        <v>-0.07219128025</v>
      </c>
      <c r="AL176" s="65">
        <f>VLOOKUP($O176,'NO USAR1'!$A$4:$L$399,12,False)*$AC$19</f>
        <v>0</v>
      </c>
      <c r="AM176" s="71">
        <f t="shared" si="2"/>
        <v>-1.85148393</v>
      </c>
      <c r="AN176" s="71">
        <f t="shared" si="3"/>
        <v>-3.279366004</v>
      </c>
    </row>
    <row r="177">
      <c r="A177" t="str">
        <f>IF('NO USAR2'!B175="",ROW('NO USAR2'!B175),'NO USAR2'!B175)</f>
        <v>Steven Adams</v>
      </c>
      <c r="B177" s="58">
        <f>IF(TYPE($A177)=1,"",('NO USAR2'!$L175-B$1)/B$2)</f>
        <v>-1.731387675</v>
      </c>
      <c r="C177" s="58">
        <f>IF(TYPE($A177)=1,"",('NO USAR2'!$K175-C$1)/C$2)</f>
        <v>-1.613351122</v>
      </c>
      <c r="D177" s="58">
        <f>IF(TYPE($A177)=1,"",('NO USAR2'!$M175-D$1)/D$2)</f>
        <v>1.561629394</v>
      </c>
      <c r="E177" s="58">
        <f>IF(TYPE($A177)=1,"",('NO USAR2'!$N175-E$1)/E$2)</f>
        <v>-0.2291965217</v>
      </c>
      <c r="F177" s="58">
        <f>IF(TYPE($A177)=1,"",('NO USAR2'!$O175-F$1)/F$2)</f>
        <v>-0.3402092786</v>
      </c>
      <c r="G177" s="58">
        <f>IF(TYPE($A177)=1,"",('NO USAR2'!$P175-G$1)/G$2)</f>
        <v>0.2115214755</v>
      </c>
      <c r="H177" s="58">
        <f>IF(TYPE($A177)=1,"",('NO USAR2'!$H175-H$1)/H$2*I177/$I$1)</f>
        <v>0.4163768421</v>
      </c>
      <c r="I177" s="58">
        <f>IF(TYPE($A177)=1,"",IF('NO USAR2'!H175=0,0,'NO USAR2'!G175/'NO USAR2'!H175))</f>
        <v>5.2</v>
      </c>
      <c r="J177" s="59">
        <f>IF(TYPE($A177)=1,"",('NO USAR2'!$J175-J$1)/J$2*K177/$K$1)</f>
        <v>-2.414123978</v>
      </c>
      <c r="K177" s="60">
        <f>IF(TYPE($A177)=1,"",IF('NO USAR2'!J175=0,0,'NO USAR2'!I175/'NO USAR2'!J175))</f>
        <v>2.7</v>
      </c>
      <c r="L177" s="58">
        <f>IF(TYPE($A177)=1,"",-('NO USAR2'!$Q175-L$1)/L$2)</f>
        <v>0.5747888516</v>
      </c>
      <c r="N177" s="63">
        <v>157.0</v>
      </c>
      <c r="O177" s="68" t="str">
        <f>IF('NO USAR2'!B139="",ROW('NO USAR2'!B139),'NO USAR2'!B139)</f>
        <v>Mo Bamba</v>
      </c>
      <c r="P177" s="68">
        <f>'NO USAR2'!E158</f>
        <v>72</v>
      </c>
      <c r="Q177" s="68" t="str">
        <f>IF('NO USAR2'!C139="",ROW('NO USAR2'!N154),'NO USAR2'!C139)</f>
        <v>C</v>
      </c>
      <c r="R177" s="65">
        <f>VLOOKUP($O177,'NO USAR1'!$A$4:$L$399,2,False)+VLOOKUP($O177,'NO USAR1'!$A$4:$L$399,3,False)+VLOOKUP($O177,'NO USAR1'!$A$4:$L$399,4,False)+VLOOKUP($O177,'NO USAR1'!$A$4:$L$399,5,False)+VLOOKUP($O177,'NO USAR1'!$A$4:$L$399,6,False)+VLOOKUP($O177,'NO USAR1'!$A$4:$L$399,7,False)+VLOOKUP($O177,'NO USAR1'!$A$4:$L$399,8,False)+VLOOKUP($O177,'NO USAR1'!$A$4:$L$399,10,False)+VLOOKUP($O177,'NO USAR1'!$A$4:$L$399,12,False)*0</f>
        <v>-3.698253356</v>
      </c>
      <c r="S177" s="65">
        <f>VLOOKUP($O177,'NO USAR1'!$A$4:$L$399,2,False)*$U$19+VLOOKUP($O177,'NO USAR1'!$A$4:$L$399,3,False)*$V$19+VLOOKUP($O177,'NO USAR1'!$A$4:$L$399,4,False)*$W$19+VLOOKUP($O177,'NO USAR1'!$A$4:$L$399,5,False)*$X$19+VLOOKUP($O177,'NO USAR1'!$A$4:$L$399,6,False)*$Y$19+VLOOKUP($O177,'NO USAR1'!$A$4:$L$399,7,False)*$Z$19+VLOOKUP($O177,'NO USAR1'!$A$4:$L$399,8,False)*$AA$19+VLOOKUP($O177,'NO USAR1'!$A$4:$L$399,10,False)*$AB$19+VLOOKUP($O177,'NO USAR1'!$A$4:$L$399,12,False)*$AC$19+IF(Projections!$K$3,-AN177, IF(Projections!$J$3,-AM177,0))</f>
        <v>-6.364234574</v>
      </c>
      <c r="T177" s="65">
        <f t="shared" si="1"/>
        <v>-2.665981218</v>
      </c>
      <c r="U177" s="65">
        <f>VLOOKUP($O177,'NO USAR2'!$B$2:$R$397,11,False)</f>
        <v>8.6</v>
      </c>
      <c r="V177" s="69">
        <f>VLOOKUP($O177,'NO USAR2'!$B$2:$R$397,10,False)</f>
        <v>1.2</v>
      </c>
      <c r="W177" s="65">
        <f>VLOOKUP($O177,'NO USAR2'!$B$2:$R$397,12,False)</f>
        <v>6.5</v>
      </c>
      <c r="X177" s="65">
        <f>VLOOKUP($O177,'NO USAR2'!$B$2:$R$397,13,False)</f>
        <v>1</v>
      </c>
      <c r="Y177" s="65">
        <f>VLOOKUP($O177,'NO USAR2'!$B$2:$R$397,14,False)</f>
        <v>0.4</v>
      </c>
      <c r="Z177" s="70">
        <f>VLOOKUP($O177,'NO USAR2'!$B$2:$R$397,15,False)</f>
        <v>1.2</v>
      </c>
      <c r="AA177" s="65">
        <f>100*VLOOKUP($O177,'NO USAR2'!$B$2:$R$397,7,False)</f>
        <v>48.57142857</v>
      </c>
      <c r="AB177" s="65">
        <f>100*VLOOKUP($O177,'NO USAR2'!$B$2:$R$397,9,False)</f>
        <v>87.5</v>
      </c>
      <c r="AC177" s="65">
        <f>VLOOKUP($O177,'NO USAR2'!$B$2:$Q$397,16,False)</f>
        <v>0.9</v>
      </c>
      <c r="AD177" s="65">
        <f>VLOOKUP($O177,'NO USAR1'!$A$4:$L$399,2,False)*$U$19</f>
        <v>-2.224282721</v>
      </c>
      <c r="AE177" s="65">
        <f>VLOOKUP($O177,'NO USAR1'!$A$4:$L$399,3,False)*$V$19</f>
        <v>-0.4134044473</v>
      </c>
      <c r="AF177" s="65">
        <f>VLOOKUP($O177,'NO USAR1'!$A$4:$L$399,4,False)*$W$19</f>
        <v>0.1736970238</v>
      </c>
      <c r="AG177" s="65">
        <f>VLOOKUP($O177,'NO USAR1'!$A$4:$L$399,5,False)*$X$19</f>
        <v>-1.542020716</v>
      </c>
      <c r="AH177" s="65">
        <f>VLOOKUP($O177,'NO USAR1'!$A$4:$L$399,6,False)*$Y$19</f>
        <v>-2.469260893</v>
      </c>
      <c r="AI177" s="65">
        <f>VLOOKUP($O177,'NO USAR1'!$A$4:$L$399,7,False)*$Z$19</f>
        <v>0</v>
      </c>
      <c r="AJ177" s="65">
        <f>VLOOKUP($O177,'NO USAR1'!$A$4:$L$399,8,False)*$AA$19</f>
        <v>0</v>
      </c>
      <c r="AK177" s="70">
        <f>VLOOKUP($O177,'NO USAR1'!$A$4:$L$399,10,False)*$AB$19</f>
        <v>0.1110371793</v>
      </c>
      <c r="AL177" s="65">
        <f>VLOOKUP($O177,'NO USAR1'!$A$4:$L$399,12,False)*$AC$19</f>
        <v>0</v>
      </c>
      <c r="AM177" s="71">
        <f t="shared" si="2"/>
        <v>-2.469260893</v>
      </c>
      <c r="AN177" s="71">
        <f t="shared" si="3"/>
        <v>-4.693543614</v>
      </c>
    </row>
    <row r="178">
      <c r="A178" t="str">
        <f>IF('NO USAR2'!B176="",ROW('NO USAR2'!B176),'NO USAR2'!B176)</f>
        <v>Aleksej Pokusevski</v>
      </c>
      <c r="B178" s="58">
        <f>IF(TYPE($A178)=1,"",('NO USAR2'!$L176-B$1)/B$2)</f>
        <v>-1.28757959</v>
      </c>
      <c r="C178" s="58">
        <f>IF(TYPE($A178)=1,"",('NO USAR2'!$K176-C$1)/C$2)</f>
        <v>-0.5134000036</v>
      </c>
      <c r="D178" s="58">
        <f>IF(TYPE($A178)=1,"",('NO USAR2'!$M176-D$1)/D$2)</f>
        <v>0.1736970238</v>
      </c>
      <c r="E178" s="58">
        <f>IF(TYPE($A178)=1,"",('NO USAR2'!$N176-E$1)/E$2)</f>
        <v>-0.5031292629</v>
      </c>
      <c r="F178" s="58">
        <f>IF(TYPE($A178)=1,"",('NO USAR2'!$O176-F$1)/F$2)</f>
        <v>-0.6672491657</v>
      </c>
      <c r="G178" s="58">
        <f>IF(TYPE($A178)=1,"",('NO USAR2'!$P176-G$1)/G$2)</f>
        <v>0.2115214755</v>
      </c>
      <c r="H178" s="58">
        <f>IF(TYPE($A178)=1,"",('NO USAR2'!$H176-H$1)/H$2*I178/$I$1)</f>
        <v>-0.8051232541</v>
      </c>
      <c r="I178" s="58">
        <f>IF(TYPE($A178)=1,"",IF('NO USAR2'!H176=0,0,'NO USAR2'!G176/'NO USAR2'!H176))</f>
        <v>9.4</v>
      </c>
      <c r="J178" s="59">
        <f>IF(TYPE($A178)=1,"",('NO USAR2'!$J176-J$1)/J$2*K178/$K$1)</f>
        <v>0.03107671921</v>
      </c>
      <c r="K178" s="60">
        <f>IF(TYPE($A178)=1,"",IF('NO USAR2'!J176=0,0,'NO USAR2'!I176/'NO USAR2'!J176))</f>
        <v>1</v>
      </c>
      <c r="L178" s="58">
        <f>IF(TYPE($A178)=1,"",-('NO USAR2'!$Q176-L$1)/L$2)</f>
        <v>0.1333273109</v>
      </c>
      <c r="N178" s="2">
        <v>158.0</v>
      </c>
      <c r="O178" s="68" t="str">
        <f>IF('NO USAR2'!B149="",ROW('NO USAR2'!B149),'NO USAR2'!B149)</f>
        <v>Bojan Bogdanovic</v>
      </c>
      <c r="P178" s="68">
        <f>'NO USAR2'!E159</f>
        <v>72</v>
      </c>
      <c r="Q178" s="68" t="str">
        <f>IF('NO USAR2'!C149="",ROW('NO USAR2'!N164),'NO USAR2'!C149)</f>
        <v>PF</v>
      </c>
      <c r="R178" s="65">
        <f>VLOOKUP($O178,'NO USAR1'!$A$4:$L$399,2,False)+VLOOKUP($O178,'NO USAR1'!$A$4:$L$399,3,False)+VLOOKUP($O178,'NO USAR1'!$A$4:$L$399,4,False)+VLOOKUP($O178,'NO USAR1'!$A$4:$L$399,5,False)+VLOOKUP($O178,'NO USAR1'!$A$4:$L$399,6,False)+VLOOKUP($O178,'NO USAR1'!$A$4:$L$399,7,False)+VLOOKUP($O178,'NO USAR1'!$A$4:$L$399,8,False)+VLOOKUP($O178,'NO USAR1'!$A$4:$L$399,10,False)+VLOOKUP($O178,'NO USAR1'!$A$4:$L$399,12,False)*0</f>
        <v>-3.711060298</v>
      </c>
      <c r="S178" s="65">
        <f>VLOOKUP($O178,'NO USAR1'!$A$4:$L$399,2,False)*$U$19+VLOOKUP($O178,'NO USAR1'!$A$4:$L$399,3,False)*$V$19+VLOOKUP($O178,'NO USAR1'!$A$4:$L$399,4,False)*$W$19+VLOOKUP($O178,'NO USAR1'!$A$4:$L$399,5,False)*$X$19+VLOOKUP($O178,'NO USAR1'!$A$4:$L$399,6,False)*$Y$19+VLOOKUP($O178,'NO USAR1'!$A$4:$L$399,7,False)*$Z$19+VLOOKUP($O178,'NO USAR1'!$A$4:$L$399,8,False)*$AA$19+VLOOKUP($O178,'NO USAR1'!$A$4:$L$399,10,False)*$AB$19+VLOOKUP($O178,'NO USAR1'!$A$4:$L$399,12,False)*$AC$19+IF(Projections!$K$3,-AN178, IF(Projections!$J$3,-AM178,0))</f>
        <v>-2.737107296</v>
      </c>
      <c r="T178" s="65">
        <f t="shared" si="1"/>
        <v>0.9739530022</v>
      </c>
      <c r="U178" s="65">
        <f>VLOOKUP($O178,'NO USAR2'!$B$2:$R$397,11,False)</f>
        <v>17.2</v>
      </c>
      <c r="V178" s="69">
        <f>VLOOKUP($O178,'NO USAR2'!$B$2:$R$397,10,False)</f>
        <v>2.5</v>
      </c>
      <c r="W178" s="65">
        <f>VLOOKUP($O178,'NO USAR2'!$B$2:$R$397,12,False)</f>
        <v>4</v>
      </c>
      <c r="X178" s="65">
        <f>VLOOKUP($O178,'NO USAR2'!$B$2:$R$397,13,False)</f>
        <v>1.6</v>
      </c>
      <c r="Y178" s="65">
        <f>VLOOKUP($O178,'NO USAR2'!$B$2:$R$397,14,False)</f>
        <v>0.5</v>
      </c>
      <c r="Z178" s="70">
        <f>VLOOKUP($O178,'NO USAR2'!$B$2:$R$397,15,False)</f>
        <v>0</v>
      </c>
      <c r="AA178" s="65">
        <f>100*VLOOKUP($O178,'NO USAR2'!$B$2:$R$397,7,False)</f>
        <v>44.96124031</v>
      </c>
      <c r="AB178" s="65">
        <f>100*VLOOKUP($O178,'NO USAR2'!$B$2:$R$397,9,False)</f>
        <v>86.11111111</v>
      </c>
      <c r="AC178" s="65">
        <f>VLOOKUP($O178,'NO USAR2'!$B$2:$Q$397,16,False)</f>
        <v>1.6</v>
      </c>
      <c r="AD178" s="65">
        <f>VLOOKUP($O178,'NO USAR1'!$A$4:$L$399,2,False)*$U$19</f>
        <v>0.06576699675</v>
      </c>
      <c r="AE178" s="65">
        <f>VLOOKUP($O178,'NO USAR1'!$A$4:$L$399,3,False)*$V$19</f>
        <v>0.886537784</v>
      </c>
      <c r="AF178" s="65">
        <f>VLOOKUP($O178,'NO USAR1'!$A$4:$L$399,4,False)*$W$19</f>
        <v>-0.8468414838</v>
      </c>
      <c r="AG178" s="65">
        <f>VLOOKUP($O178,'NO USAR1'!$A$4:$L$399,5,False)*$X$19</f>
        <v>-1.199604789</v>
      </c>
      <c r="AH178" s="65">
        <f>VLOOKUP($O178,'NO USAR1'!$A$4:$L$399,6,False)*$Y$19</f>
        <v>-2.060461034</v>
      </c>
      <c r="AI178" s="65">
        <f>VLOOKUP($O178,'NO USAR1'!$A$4:$L$399,7,False)*$Z$19</f>
        <v>0</v>
      </c>
      <c r="AJ178" s="65">
        <f>VLOOKUP($O178,'NO USAR1'!$A$4:$L$399,8,False)*$AA$19</f>
        <v>0</v>
      </c>
      <c r="AK178" s="70">
        <f>VLOOKUP($O178,'NO USAR1'!$A$4:$L$399,10,False)*$AB$19</f>
        <v>0.4174952304</v>
      </c>
      <c r="AL178" s="65">
        <f>VLOOKUP($O178,'NO USAR1'!$A$4:$L$399,12,False)*$AC$19</f>
        <v>0</v>
      </c>
      <c r="AM178" s="71">
        <f t="shared" si="2"/>
        <v>-2.060461034</v>
      </c>
      <c r="AN178" s="71">
        <f t="shared" si="3"/>
        <v>-3.260065823</v>
      </c>
    </row>
    <row r="179">
      <c r="A179" t="str">
        <f>IF('NO USAR2'!B177="",ROW('NO USAR2'!B177),'NO USAR2'!B177)</f>
        <v>Kevin Love</v>
      </c>
      <c r="B179" s="58">
        <f>IF(TYPE($A179)=1,"",('NO USAR2'!$L177-B$1)/B$2)</f>
        <v>-0.8437715053</v>
      </c>
      <c r="C179" s="58">
        <f>IF(TYPE($A179)=1,"",('NO USAR2'!$K177-C$1)/C$2)</f>
        <v>0.6865466715</v>
      </c>
      <c r="D179" s="58">
        <f>IF(TYPE($A179)=1,"",('NO USAR2'!$M177-D$1)/D$2)</f>
        <v>0.2145185641</v>
      </c>
      <c r="E179" s="58">
        <f>IF(TYPE($A179)=1,"",('NO USAR2'!$N177-E$1)/E$2)</f>
        <v>-0.7770620041</v>
      </c>
      <c r="F179" s="58">
        <f>IF(TYPE($A179)=1,"",('NO USAR2'!$O177-F$1)/F$2)</f>
        <v>-1.975408714</v>
      </c>
      <c r="G179" s="58">
        <f>IF(TYPE($A179)=1,"",('NO USAR2'!$P177-G$1)/G$2)</f>
        <v>-1.024427538</v>
      </c>
      <c r="H179" s="58">
        <f>IF(TYPE($A179)=1,"",('NO USAR2'!$H177-H$1)/H$2*I179/$I$1)</f>
        <v>-0.6323537647</v>
      </c>
      <c r="I179" s="58">
        <f>IF(TYPE($A179)=1,"",IF('NO USAR2'!H177=0,0,'NO USAR2'!G177/'NO USAR2'!H177))</f>
        <v>9.3</v>
      </c>
      <c r="J179" s="59">
        <f>IF(TYPE($A179)=1,"",('NO USAR2'!$J177-J$1)/J$2*K179/$K$1)</f>
        <v>0.3375347703</v>
      </c>
      <c r="K179" s="60">
        <f>IF(TYPE($A179)=1,"",IF('NO USAR2'!J177=0,0,'NO USAR2'!I177/'NO USAR2'!J177))</f>
        <v>2.4</v>
      </c>
      <c r="L179" s="58">
        <f>IF(TYPE($A179)=1,"",-('NO USAR2'!$Q177-L$1)/L$2)</f>
        <v>0.905885007</v>
      </c>
      <c r="N179" s="63">
        <v>159.0</v>
      </c>
      <c r="O179" s="68" t="str">
        <f>IF('NO USAR2'!B158="",ROW('NO USAR2'!B158),'NO USAR2'!B158)</f>
        <v>Kevin Huerter</v>
      </c>
      <c r="P179" s="68">
        <f>'NO USAR2'!E160</f>
        <v>72</v>
      </c>
      <c r="Q179" s="68" t="str">
        <f>IF('NO USAR2'!C158="",ROW('NO USAR2'!N173),'NO USAR2'!C158)</f>
        <v>SG</v>
      </c>
      <c r="R179" s="65">
        <f>VLOOKUP($O179,'NO USAR1'!$A$4:$L$399,2,False)+VLOOKUP($O179,'NO USAR1'!$A$4:$L$399,3,False)+VLOOKUP($O179,'NO USAR1'!$A$4:$L$399,4,False)+VLOOKUP($O179,'NO USAR1'!$A$4:$L$399,5,False)+VLOOKUP($O179,'NO USAR1'!$A$4:$L$399,6,False)+VLOOKUP($O179,'NO USAR1'!$A$4:$L$399,7,False)+VLOOKUP($O179,'NO USAR1'!$A$4:$L$399,8,False)+VLOOKUP($O179,'NO USAR1'!$A$4:$L$399,10,False)+VLOOKUP($O179,'NO USAR1'!$A$4:$L$399,12,False)*0</f>
        <v>-3.741940282</v>
      </c>
      <c r="S179" s="65">
        <f>VLOOKUP($O179,'NO USAR1'!$A$4:$L$399,2,False)*$U$19+VLOOKUP($O179,'NO USAR1'!$A$4:$L$399,3,False)*$V$19+VLOOKUP($O179,'NO USAR1'!$A$4:$L$399,4,False)*$W$19+VLOOKUP($O179,'NO USAR1'!$A$4:$L$399,5,False)*$X$19+VLOOKUP($O179,'NO USAR1'!$A$4:$L$399,6,False)*$Y$19+VLOOKUP($O179,'NO USAR1'!$A$4:$L$399,7,False)*$Z$19+VLOOKUP($O179,'NO USAR1'!$A$4:$L$399,8,False)*$AA$19+VLOOKUP($O179,'NO USAR1'!$A$4:$L$399,10,False)*$AB$19+VLOOKUP($O179,'NO USAR1'!$A$4:$L$399,12,False)*$AC$19+IF(Projections!$K$3,-AN179, IF(Projections!$J$3,-AM179,0))</f>
        <v>-3.562222899</v>
      </c>
      <c r="T179" s="65">
        <f t="shared" si="1"/>
        <v>0.1797173825</v>
      </c>
      <c r="U179" s="65">
        <f>VLOOKUP($O179,'NO USAR2'!$B$2:$R$397,11,False)</f>
        <v>12</v>
      </c>
      <c r="V179" s="69">
        <f>VLOOKUP($O179,'NO USAR2'!$B$2:$R$397,10,False)</f>
        <v>2.2</v>
      </c>
      <c r="W179" s="65">
        <f>VLOOKUP($O179,'NO USAR2'!$B$2:$R$397,12,False)</f>
        <v>3.4</v>
      </c>
      <c r="X179" s="65">
        <f>VLOOKUP($O179,'NO USAR2'!$B$2:$R$397,13,False)</f>
        <v>2.7</v>
      </c>
      <c r="Y179" s="65">
        <f>VLOOKUP($O179,'NO USAR2'!$B$2:$R$397,14,False)</f>
        <v>0.7</v>
      </c>
      <c r="Z179" s="70">
        <f>VLOOKUP($O179,'NO USAR2'!$B$2:$R$397,15,False)</f>
        <v>0.4</v>
      </c>
      <c r="AA179" s="65">
        <f>100*VLOOKUP($O179,'NO USAR2'!$B$2:$R$397,7,False)</f>
        <v>45.09803922</v>
      </c>
      <c r="AB179" s="65">
        <f>100*VLOOKUP($O179,'NO USAR2'!$B$2:$R$397,9,False)</f>
        <v>85.71428571</v>
      </c>
      <c r="AC179" s="65">
        <f>VLOOKUP($O179,'NO USAR2'!$B$2:$Q$397,16,False)</f>
        <v>1.2</v>
      </c>
      <c r="AD179" s="65">
        <f>VLOOKUP($O179,'NO USAR1'!$A$4:$L$399,2,False)*$U$19</f>
        <v>-1.318914228</v>
      </c>
      <c r="AE179" s="65">
        <f>VLOOKUP($O179,'NO USAR1'!$A$4:$L$399,3,False)*$V$19</f>
        <v>0.5865511152</v>
      </c>
      <c r="AF179" s="65">
        <f>VLOOKUP($O179,'NO USAR1'!$A$4:$L$399,4,False)*$W$19</f>
        <v>-1.091770726</v>
      </c>
      <c r="AG179" s="65">
        <f>VLOOKUP($O179,'NO USAR1'!$A$4:$L$399,5,False)*$X$19</f>
        <v>-0.5718422575</v>
      </c>
      <c r="AH179" s="65">
        <f>VLOOKUP($O179,'NO USAR1'!$A$4:$L$399,6,False)*$Y$19</f>
        <v>-1.242861316</v>
      </c>
      <c r="AI179" s="65">
        <f>VLOOKUP($O179,'NO USAR1'!$A$4:$L$399,7,False)*$Z$19</f>
        <v>0</v>
      </c>
      <c r="AJ179" s="65">
        <f>VLOOKUP($O179,'NO USAR1'!$A$4:$L$399,8,False)*$AA$19</f>
        <v>0</v>
      </c>
      <c r="AK179" s="70">
        <f>VLOOKUP($O179,'NO USAR1'!$A$4:$L$399,10,False)*$AB$19</f>
        <v>0.07661451278</v>
      </c>
      <c r="AL179" s="65">
        <f>VLOOKUP($O179,'NO USAR1'!$A$4:$L$399,12,False)*$AC$19</f>
        <v>0</v>
      </c>
      <c r="AM179" s="71">
        <f t="shared" si="2"/>
        <v>-1.318914228</v>
      </c>
      <c r="AN179" s="71">
        <f t="shared" si="3"/>
        <v>-2.561775544</v>
      </c>
    </row>
    <row r="180">
      <c r="A180" t="str">
        <f>IF('NO USAR2'!B178="",ROW('NO USAR2'!B178),'NO USAR2'!B178)</f>
        <v>Tim Hardaway Jr.</v>
      </c>
      <c r="B180" s="58">
        <f>IF(TYPE($A180)=1,"",('NO USAR2'!$L178-B$1)/B$2)</f>
        <v>-0.3289541268</v>
      </c>
      <c r="C180" s="58">
        <f>IF(TYPE($A180)=1,"",('NO USAR2'!$K178-C$1)/C$2)</f>
        <v>0.7865422277</v>
      </c>
      <c r="D180" s="58">
        <f>IF(TYPE($A180)=1,"",('NO USAR2'!$M178-D$1)/D$2)</f>
        <v>-0.9693061047</v>
      </c>
      <c r="E180" s="58">
        <f>IF(TYPE($A180)=1,"",('NO USAR2'!$N178-E$1)/E$2)</f>
        <v>-0.6857510903</v>
      </c>
      <c r="F180" s="58">
        <f>IF(TYPE($A180)=1,"",('NO USAR2'!$O178-F$1)/F$2)</f>
        <v>-0.3402092786</v>
      </c>
      <c r="G180" s="58">
        <f>IF(TYPE($A180)=1,"",('NO USAR2'!$P178-G$1)/G$2)</f>
        <v>-1.23041904</v>
      </c>
      <c r="H180" s="58">
        <f>IF(TYPE($A180)=1,"",('NO USAR2'!$H178-H$1)/H$2*I180/$I$1)</f>
        <v>-0.9926300386</v>
      </c>
      <c r="I180" s="58">
        <f>IF(TYPE($A180)=1,"",IF('NO USAR2'!H178=0,0,'NO USAR2'!G178/'NO USAR2'!H178))</f>
        <v>12.8</v>
      </c>
      <c r="J180" s="59">
        <f>IF(TYPE($A180)=1,"",('NO USAR2'!$J178-J$1)/J$2*K180/$K$1)</f>
        <v>-0.2509965072</v>
      </c>
      <c r="K180" s="60">
        <f>IF(TYPE($A180)=1,"",IF('NO USAR2'!J178=0,0,'NO USAR2'!I178/'NO USAR2'!J178))</f>
        <v>2.5</v>
      </c>
      <c r="L180" s="58">
        <f>IF(TYPE($A180)=1,"",-('NO USAR2'!$Q178-L$1)/L$2)</f>
        <v>1.347346548</v>
      </c>
      <c r="N180" s="63">
        <v>160.0</v>
      </c>
      <c r="O180" s="68" t="str">
        <f>IF('NO USAR2'!B125="",ROW('NO USAR2'!B125),'NO USAR2'!B125)</f>
        <v>Daniel Gafford</v>
      </c>
      <c r="P180" s="68">
        <f>'NO USAR2'!E161</f>
        <v>69</v>
      </c>
      <c r="Q180" s="68" t="str">
        <f>IF('NO USAR2'!C125="",ROW('NO USAR2'!N140),'NO USAR2'!C125)</f>
        <v>PF/C</v>
      </c>
      <c r="R180" s="65">
        <f>VLOOKUP($O180,'NO USAR1'!$A$4:$L$399,2,False)+VLOOKUP($O180,'NO USAR1'!$A$4:$L$399,3,False)+VLOOKUP($O180,'NO USAR1'!$A$4:$L$399,4,False)+VLOOKUP($O180,'NO USAR1'!$A$4:$L$399,5,False)+VLOOKUP($O180,'NO USAR1'!$A$4:$L$399,6,False)+VLOOKUP($O180,'NO USAR1'!$A$4:$L$399,7,False)+VLOOKUP($O180,'NO USAR1'!$A$4:$L$399,8,False)+VLOOKUP($O180,'NO USAR1'!$A$4:$L$399,10,False)+VLOOKUP($O180,'NO USAR1'!$A$4:$L$399,12,False)*0</f>
        <v>-3.781995402</v>
      </c>
      <c r="S180" s="65">
        <f>VLOOKUP($O180,'NO USAR1'!$A$4:$L$399,2,False)*$U$19+VLOOKUP($O180,'NO USAR1'!$A$4:$L$399,3,False)*$V$19+VLOOKUP($O180,'NO USAR1'!$A$4:$L$399,4,False)*$W$19+VLOOKUP($O180,'NO USAR1'!$A$4:$L$399,5,False)*$X$19+VLOOKUP($O180,'NO USAR1'!$A$4:$L$399,6,False)*$Y$19+VLOOKUP($O180,'NO USAR1'!$A$4:$L$399,7,False)*$Z$19+VLOOKUP($O180,'NO USAR1'!$A$4:$L$399,8,False)*$AA$19+VLOOKUP($O180,'NO USAR1'!$A$4:$L$399,10,False)*$AB$19+VLOOKUP($O180,'NO USAR1'!$A$4:$L$399,12,False)*$AC$19+IF(Projections!$K$3,-AN180, IF(Projections!$J$3,-AM180,0))</f>
        <v>-7.338591847</v>
      </c>
      <c r="T180" s="65">
        <f t="shared" si="1"/>
        <v>-3.556596445</v>
      </c>
      <c r="U180" s="65">
        <f>VLOOKUP($O180,'NO USAR2'!$B$2:$R$397,11,False)</f>
        <v>9.7</v>
      </c>
      <c r="V180" s="69">
        <f>VLOOKUP($O180,'NO USAR2'!$B$2:$R$397,10,False)</f>
        <v>0</v>
      </c>
      <c r="W180" s="65">
        <f>VLOOKUP($O180,'NO USAR2'!$B$2:$R$397,12,False)</f>
        <v>6.4</v>
      </c>
      <c r="X180" s="65">
        <f>VLOOKUP($O180,'NO USAR2'!$B$2:$R$397,13,False)</f>
        <v>1</v>
      </c>
      <c r="Y180" s="65">
        <f>VLOOKUP($O180,'NO USAR2'!$B$2:$R$397,14,False)</f>
        <v>0.5</v>
      </c>
      <c r="Z180" s="70">
        <f>VLOOKUP($O180,'NO USAR2'!$B$2:$R$397,15,False)</f>
        <v>1.4</v>
      </c>
      <c r="AA180" s="65">
        <f>100*VLOOKUP($O180,'NO USAR2'!$B$2:$R$397,7,False)</f>
        <v>63.49206349</v>
      </c>
      <c r="AB180" s="65">
        <f>100*VLOOKUP($O180,'NO USAR2'!$B$2:$R$397,9,False)</f>
        <v>70.83333333</v>
      </c>
      <c r="AC180" s="65">
        <f>VLOOKUP($O180,'NO USAR2'!$B$2:$Q$397,16,False)</f>
        <v>1</v>
      </c>
      <c r="AD180" s="65">
        <f>VLOOKUP($O180,'NO USAR1'!$A$4:$L$399,2,False)*$U$19</f>
        <v>-1.931369385</v>
      </c>
      <c r="AE180" s="65">
        <f>VLOOKUP($O180,'NO USAR1'!$A$4:$L$399,3,False)*$V$19</f>
        <v>-1.613351122</v>
      </c>
      <c r="AF180" s="65">
        <f>VLOOKUP($O180,'NO USAR1'!$A$4:$L$399,4,False)*$W$19</f>
        <v>0.1328754835</v>
      </c>
      <c r="AG180" s="65">
        <f>VLOOKUP($O180,'NO USAR1'!$A$4:$L$399,5,False)*$X$19</f>
        <v>-1.542020716</v>
      </c>
      <c r="AH180" s="65">
        <f>VLOOKUP($O180,'NO USAR1'!$A$4:$L$399,6,False)*$Y$19</f>
        <v>-2.060461034</v>
      </c>
      <c r="AI180" s="65">
        <f>VLOOKUP($O180,'NO USAR1'!$A$4:$L$399,7,False)*$Z$19</f>
        <v>0</v>
      </c>
      <c r="AJ180" s="65">
        <f>VLOOKUP($O180,'NO USAR1'!$A$4:$L$399,8,False)*$AA$19</f>
        <v>0</v>
      </c>
      <c r="AK180" s="70">
        <f>VLOOKUP($O180,'NO USAR1'!$A$4:$L$399,10,False)*$AB$19</f>
        <v>-0.3242650727</v>
      </c>
      <c r="AL180" s="65">
        <f>VLOOKUP($O180,'NO USAR1'!$A$4:$L$399,12,False)*$AC$19</f>
        <v>0</v>
      </c>
      <c r="AM180" s="71">
        <f t="shared" si="2"/>
        <v>-2.060461034</v>
      </c>
      <c r="AN180" s="71">
        <f t="shared" si="3"/>
        <v>-3.991830419</v>
      </c>
    </row>
    <row r="181">
      <c r="A181" t="str">
        <f>IF('NO USAR2'!B179="",ROW('NO USAR2'!B179),'NO USAR2'!B179)</f>
        <v>RJ Barrett</v>
      </c>
      <c r="B181" s="58">
        <f>IF(TYPE($A181)=1,"",('NO USAR2'!$L179-B$1)/B$2)</f>
        <v>0.5409097196</v>
      </c>
      <c r="C181" s="58">
        <f>IF(TYPE($A181)=1,"",('NO USAR2'!$K179-C$1)/C$2)</f>
        <v>0.486555559</v>
      </c>
      <c r="D181" s="58">
        <f>IF(TYPE($A181)=1,"",('NO USAR2'!$M179-D$1)/D$2)</f>
        <v>-0.07123221798</v>
      </c>
      <c r="E181" s="58">
        <f>IF(TYPE($A181)=1,"",('NO USAR2'!$N179-E$1)/E$2)</f>
        <v>-0.2748519786</v>
      </c>
      <c r="F181" s="58">
        <f>IF(TYPE($A181)=1,"",('NO USAR2'!$O179-F$1)/F$2)</f>
        <v>-0.9942890529</v>
      </c>
      <c r="G181" s="58">
        <f>IF(TYPE($A181)=1,"",('NO USAR2'!$P179-G$1)/G$2)</f>
        <v>-0.8184360358</v>
      </c>
      <c r="H181" s="58">
        <f>IF(TYPE($A181)=1,"",('NO USAR2'!$H179-H$1)/H$2*I181/$I$1)</f>
        <v>-1.007367334</v>
      </c>
      <c r="I181" s="58">
        <f>IF(TYPE($A181)=1,"",IF('NO USAR2'!H179=0,0,'NO USAR2'!G179/'NO USAR2'!H179))</f>
        <v>16.1</v>
      </c>
      <c r="J181" s="59">
        <f>IF(TYPE($A181)=1,"",('NO USAR2'!$J179-J$1)/J$2*K181/$K$1)</f>
        <v>-1.403674238</v>
      </c>
      <c r="K181" s="60">
        <f>IF(TYPE($A181)=1,"",IF('NO USAR2'!J179=0,0,'NO USAR2'!I179/'NO USAR2'!J179))</f>
        <v>5.6</v>
      </c>
      <c r="L181" s="58">
        <f>IF(TYPE($A181)=1,"",-('NO USAR2'!$Q179-L$1)/L$2)</f>
        <v>-0.1977688445</v>
      </c>
      <c r="N181" s="2">
        <v>161.0</v>
      </c>
      <c r="O181" s="68" t="str">
        <f>IF('NO USAR2'!B150="",ROW('NO USAR2'!B150),'NO USAR2'!B150)</f>
        <v>Jae'Sean Tate</v>
      </c>
      <c r="P181" s="68">
        <f>'NO USAR2'!E162</f>
        <v>68</v>
      </c>
      <c r="Q181" s="68" t="str">
        <f>IF('NO USAR2'!C150="",ROW('NO USAR2'!N165),'NO USAR2'!C150)</f>
        <v>SF/PF</v>
      </c>
      <c r="R181" s="65">
        <f>VLOOKUP($O181,'NO USAR1'!$A$4:$L$399,2,False)+VLOOKUP($O181,'NO USAR1'!$A$4:$L$399,3,False)+VLOOKUP($O181,'NO USAR1'!$A$4:$L$399,4,False)+VLOOKUP($O181,'NO USAR1'!$A$4:$L$399,5,False)+VLOOKUP($O181,'NO USAR1'!$A$4:$L$399,6,False)+VLOOKUP($O181,'NO USAR1'!$A$4:$L$399,7,False)+VLOOKUP($O181,'NO USAR1'!$A$4:$L$399,8,False)+VLOOKUP($O181,'NO USAR1'!$A$4:$L$399,10,False)+VLOOKUP($O181,'NO USAR1'!$A$4:$L$399,12,False)*0</f>
        <v>-3.804693221</v>
      </c>
      <c r="S181" s="65">
        <f>VLOOKUP($O181,'NO USAR1'!$A$4:$L$399,2,False)*$U$19+VLOOKUP($O181,'NO USAR1'!$A$4:$L$399,3,False)*$V$19+VLOOKUP($O181,'NO USAR1'!$A$4:$L$399,4,False)*$W$19+VLOOKUP($O181,'NO USAR1'!$A$4:$L$399,5,False)*$X$19+VLOOKUP($O181,'NO USAR1'!$A$4:$L$399,6,False)*$Y$19+VLOOKUP($O181,'NO USAR1'!$A$4:$L$399,7,False)*$Z$19+VLOOKUP($O181,'NO USAR1'!$A$4:$L$399,8,False)*$AA$19+VLOOKUP($O181,'NO USAR1'!$A$4:$L$399,10,False)*$AB$19+VLOOKUP($O181,'NO USAR1'!$A$4:$L$399,12,False)*$AC$19+IF(Projections!$K$3,-AN181, IF(Projections!$J$3,-AM181,0))</f>
        <v>-3.677342567</v>
      </c>
      <c r="T181" s="65">
        <f t="shared" si="1"/>
        <v>0.1273506537</v>
      </c>
      <c r="U181" s="65">
        <f>VLOOKUP($O181,'NO USAR2'!$B$2:$R$397,11,False)</f>
        <v>12.1</v>
      </c>
      <c r="V181" s="69">
        <f>VLOOKUP($O181,'NO USAR2'!$B$2:$R$397,10,False)</f>
        <v>0.8</v>
      </c>
      <c r="W181" s="65">
        <f>VLOOKUP($O181,'NO USAR2'!$B$2:$R$397,12,False)</f>
        <v>5.5</v>
      </c>
      <c r="X181" s="65">
        <f>VLOOKUP($O181,'NO USAR2'!$B$2:$R$397,13,False)</f>
        <v>2.9</v>
      </c>
      <c r="Y181" s="65">
        <f>VLOOKUP($O181,'NO USAR2'!$B$2:$R$397,14,False)</f>
        <v>0.9</v>
      </c>
      <c r="Z181" s="70">
        <f>VLOOKUP($O181,'NO USAR2'!$B$2:$R$397,15,False)</f>
        <v>0.5</v>
      </c>
      <c r="AA181" s="65">
        <f>100*VLOOKUP($O181,'NO USAR2'!$B$2:$R$397,7,False)</f>
        <v>50</v>
      </c>
      <c r="AB181" s="65">
        <f>100*VLOOKUP($O181,'NO USAR2'!$B$2:$R$397,9,False)</f>
        <v>68</v>
      </c>
      <c r="AC181" s="65">
        <f>VLOOKUP($O181,'NO USAR2'!$B$2:$Q$397,16,False)</f>
        <v>1.8</v>
      </c>
      <c r="AD181" s="65">
        <f>VLOOKUP($O181,'NO USAR1'!$A$4:$L$399,2,False)*$U$19</f>
        <v>-1.292285743</v>
      </c>
      <c r="AE181" s="65">
        <f>VLOOKUP($O181,'NO USAR1'!$A$4:$L$399,3,False)*$V$19</f>
        <v>-0.8133866724</v>
      </c>
      <c r="AF181" s="65">
        <f>VLOOKUP($O181,'NO USAR1'!$A$4:$L$399,4,False)*$W$19</f>
        <v>-0.2345183792</v>
      </c>
      <c r="AG181" s="65">
        <f>VLOOKUP($O181,'NO USAR1'!$A$4:$L$399,5,False)*$X$19</f>
        <v>-0.4577036154</v>
      </c>
      <c r="AH181" s="65">
        <f>VLOOKUP($O181,'NO USAR1'!$A$4:$L$399,6,False)*$Y$19</f>
        <v>-0.4252615982</v>
      </c>
      <c r="AI181" s="65">
        <f>VLOOKUP($O181,'NO USAR1'!$A$4:$L$399,7,False)*$Z$19</f>
        <v>0</v>
      </c>
      <c r="AJ181" s="65">
        <f>VLOOKUP($O181,'NO USAR1'!$A$4:$L$399,8,False)*$AA$19</f>
        <v>0</v>
      </c>
      <c r="AK181" s="70">
        <f>VLOOKUP($O181,'NO USAR1'!$A$4:$L$399,10,False)*$AB$19</f>
        <v>-0.4541865589</v>
      </c>
      <c r="AL181" s="65">
        <f>VLOOKUP($O181,'NO USAR1'!$A$4:$L$399,12,False)*$AC$19</f>
        <v>0</v>
      </c>
      <c r="AM181" s="71">
        <f t="shared" si="2"/>
        <v>-1.292285743</v>
      </c>
      <c r="AN181" s="71">
        <f t="shared" si="3"/>
        <v>-2.105672415</v>
      </c>
    </row>
    <row r="182">
      <c r="A182" t="str">
        <f>IF('NO USAR2'!B180="",ROW('NO USAR2'!B180),'NO USAR2'!B180)</f>
        <v>Killian Hayes</v>
      </c>
      <c r="B182" s="58">
        <f>IF(TYPE($A182)=1,"",('NO USAR2'!$L180-B$1)/B$2)</f>
        <v>-1.624873735</v>
      </c>
      <c r="C182" s="58">
        <f>IF(TYPE($A182)=1,"",('NO USAR2'!$K180-C$1)/C$2)</f>
        <v>-0.9133822286</v>
      </c>
      <c r="D182" s="58">
        <f>IF(TYPE($A182)=1,"",('NO USAR2'!$M180-D$1)/D$2)</f>
        <v>-1.173413806</v>
      </c>
      <c r="E182" s="58">
        <f>IF(TYPE($A182)=1,"",('NO USAR2'!$N180-E$1)/E$2)</f>
        <v>0.2730135038</v>
      </c>
      <c r="F182" s="58">
        <f>IF(TYPE($A182)=1,"",('NO USAR2'!$O180-F$1)/F$2)</f>
        <v>0.6409103829</v>
      </c>
      <c r="G182" s="58">
        <f>IF(TYPE($A182)=1,"",('NO USAR2'!$P180-G$1)/G$2)</f>
        <v>-0.4064530313</v>
      </c>
      <c r="H182" s="58">
        <f>IF(TYPE($A182)=1,"",('NO USAR2'!$H180-H$1)/H$2*I182/$I$1)</f>
        <v>-0.7126816741</v>
      </c>
      <c r="I182" s="58">
        <f>IF(TYPE($A182)=1,"",IF('NO USAR2'!H180=0,0,'NO USAR2'!G180/'NO USAR2'!H180))</f>
        <v>7.6</v>
      </c>
      <c r="J182" s="59">
        <f>IF(TYPE($A182)=1,"",('NO USAR2'!$J180-J$1)/J$2*K182/$K$1)</f>
        <v>0.09992205219</v>
      </c>
      <c r="K182" s="60">
        <f>IF(TYPE($A182)=1,"",IF('NO USAR2'!J180=0,0,'NO USAR2'!I180/'NO USAR2'!J180))</f>
        <v>1.1</v>
      </c>
      <c r="L182" s="58">
        <f>IF(TYPE($A182)=1,"",-('NO USAR2'!$Q180-L$1)/L$2)</f>
        <v>0.3540580812</v>
      </c>
      <c r="N182" s="63">
        <v>162.0</v>
      </c>
      <c r="O182" s="68" t="str">
        <f>IF('NO USAR2'!B157="",ROW('NO USAR2'!B157),'NO USAR2'!B157)</f>
        <v>Seth Curry</v>
      </c>
      <c r="P182" s="68">
        <f>'NO USAR2'!E163</f>
        <v>38</v>
      </c>
      <c r="Q182" s="68" t="str">
        <f>IF('NO USAR2'!C157="",ROW('NO USAR2'!N172),'NO USAR2'!C157)</f>
        <v>PG/SF</v>
      </c>
      <c r="R182" s="65">
        <f>VLOOKUP($O182,'NO USAR1'!$A$4:$L$399,2,False)+VLOOKUP($O182,'NO USAR1'!$A$4:$L$399,3,False)+VLOOKUP($O182,'NO USAR1'!$A$4:$L$399,4,False)+VLOOKUP($O182,'NO USAR1'!$A$4:$L$399,5,False)+VLOOKUP($O182,'NO USAR1'!$A$4:$L$399,6,False)+VLOOKUP($O182,'NO USAR1'!$A$4:$L$399,7,False)+VLOOKUP($O182,'NO USAR1'!$A$4:$L$399,8,False)+VLOOKUP($O182,'NO USAR1'!$A$4:$L$399,10,False)+VLOOKUP($O182,'NO USAR1'!$A$4:$L$399,12,False)*0</f>
        <v>-3.814033554</v>
      </c>
      <c r="S182" s="65">
        <f>VLOOKUP($O182,'NO USAR1'!$A$4:$L$399,2,False)*$U$19+VLOOKUP($O182,'NO USAR1'!$A$4:$L$399,3,False)*$V$19+VLOOKUP($O182,'NO USAR1'!$A$4:$L$399,4,False)*$W$19+VLOOKUP($O182,'NO USAR1'!$A$4:$L$399,5,False)*$X$19+VLOOKUP($O182,'NO USAR1'!$A$4:$L$399,6,False)*$Y$19+VLOOKUP($O182,'NO USAR1'!$A$4:$L$399,7,False)*$Z$19+VLOOKUP($O182,'NO USAR1'!$A$4:$L$399,8,False)*$AA$19+VLOOKUP($O182,'NO USAR1'!$A$4:$L$399,10,False)*$AB$19+VLOOKUP($O182,'NO USAR1'!$A$4:$L$399,12,False)*$AC$19+IF(Projections!$K$3,-AN182, IF(Projections!$J$3,-AM182,0))</f>
        <v>-3.642248543</v>
      </c>
      <c r="T182" s="65">
        <f t="shared" si="1"/>
        <v>0.1717850111</v>
      </c>
      <c r="U182" s="65">
        <f>VLOOKUP($O182,'NO USAR2'!$B$2:$R$397,11,False)</f>
        <v>12.5</v>
      </c>
      <c r="V182" s="69">
        <f>VLOOKUP($O182,'NO USAR2'!$B$2:$R$397,10,False)</f>
        <v>2.1</v>
      </c>
      <c r="W182" s="65">
        <f>VLOOKUP($O182,'NO USAR2'!$B$2:$R$397,12,False)</f>
        <v>2.6</v>
      </c>
      <c r="X182" s="65">
        <f>VLOOKUP($O182,'NO USAR2'!$B$2:$R$397,13,False)</f>
        <v>3</v>
      </c>
      <c r="Y182" s="65">
        <f>VLOOKUP($O182,'NO USAR2'!$B$2:$R$397,14,False)</f>
        <v>0.7</v>
      </c>
      <c r="Z182" s="70">
        <f>VLOOKUP($O182,'NO USAR2'!$B$2:$R$397,15,False)</f>
        <v>0.2</v>
      </c>
      <c r="AA182" s="65">
        <f>100*VLOOKUP($O182,'NO USAR2'!$B$2:$R$397,7,False)</f>
        <v>48.95833333</v>
      </c>
      <c r="AB182" s="65">
        <f>100*VLOOKUP($O182,'NO USAR2'!$B$2:$R$397,9,False)</f>
        <v>84.61538462</v>
      </c>
      <c r="AC182" s="65">
        <f>VLOOKUP($O182,'NO USAR2'!$B$2:$Q$397,16,False)</f>
        <v>1.4</v>
      </c>
      <c r="AD182" s="65">
        <f>VLOOKUP($O182,'NO USAR1'!$A$4:$L$399,2,False)*$U$19</f>
        <v>-1.185771803</v>
      </c>
      <c r="AE182" s="65">
        <f>VLOOKUP($O182,'NO USAR1'!$A$4:$L$399,3,False)*$V$19</f>
        <v>0.486555559</v>
      </c>
      <c r="AF182" s="65">
        <f>VLOOKUP($O182,'NO USAR1'!$A$4:$L$399,4,False)*$W$19</f>
        <v>-1.418343048</v>
      </c>
      <c r="AG182" s="65">
        <f>VLOOKUP($O182,'NO USAR1'!$A$4:$L$399,5,False)*$X$19</f>
        <v>-0.4006342943</v>
      </c>
      <c r="AH182" s="65">
        <f>VLOOKUP($O182,'NO USAR1'!$A$4:$L$399,6,False)*$Y$19</f>
        <v>-1.242861316</v>
      </c>
      <c r="AI182" s="65">
        <f>VLOOKUP($O182,'NO USAR1'!$A$4:$L$399,7,False)*$Z$19</f>
        <v>0</v>
      </c>
      <c r="AJ182" s="65">
        <f>VLOOKUP($O182,'NO USAR1'!$A$4:$L$399,8,False)*$AA$19</f>
        <v>0</v>
      </c>
      <c r="AK182" s="70">
        <f>VLOOKUP($O182,'NO USAR1'!$A$4:$L$399,10,False)*$AB$19</f>
        <v>0.1188063591</v>
      </c>
      <c r="AL182" s="65">
        <f>VLOOKUP($O182,'NO USAR1'!$A$4:$L$399,12,False)*$AC$19</f>
        <v>0</v>
      </c>
      <c r="AM182" s="71">
        <f t="shared" si="2"/>
        <v>-1.418343048</v>
      </c>
      <c r="AN182" s="71">
        <f t="shared" si="3"/>
        <v>-2.661204364</v>
      </c>
    </row>
    <row r="183">
      <c r="A183" t="str">
        <f>IF('NO USAR2'!B181="",ROW('NO USAR2'!B181),'NO USAR2'!B181)</f>
        <v>Derrick Rose</v>
      </c>
      <c r="B183" s="58">
        <f>IF(TYPE($A183)=1,"",('NO USAR2'!$L181-B$1)/B$2)</f>
        <v>-1.110056356</v>
      </c>
      <c r="C183" s="58">
        <f>IF(TYPE($A183)=1,"",('NO USAR2'!$K181-C$1)/C$2)</f>
        <v>-0.3134088911</v>
      </c>
      <c r="D183" s="58">
        <f>IF(TYPE($A183)=1,"",('NO USAR2'!$M181-D$1)/D$2)</f>
        <v>-1.377521508</v>
      </c>
      <c r="E183" s="58">
        <f>IF(TYPE($A183)=1,"",('NO USAR2'!$N181-E$1)/E$2)</f>
        <v>-0.04657469425</v>
      </c>
      <c r="F183" s="58">
        <f>IF(TYPE($A183)=1,"",('NO USAR2'!$O181-F$1)/F$2)</f>
        <v>-0.9942890529</v>
      </c>
      <c r="G183" s="58">
        <f>IF(TYPE($A183)=1,"",('NO USAR2'!$P181-G$1)/G$2)</f>
        <v>-0.4064530313</v>
      </c>
      <c r="H183" s="58">
        <f>IF(TYPE($A183)=1,"",('NO USAR2'!$H181-H$1)/H$2*I183/$I$1)</f>
        <v>-0.4569606508</v>
      </c>
      <c r="I183" s="58">
        <f>IF(TYPE($A183)=1,"",IF('NO USAR2'!H181=0,0,'NO USAR2'!G181/'NO USAR2'!H181))</f>
        <v>9.4</v>
      </c>
      <c r="J183" s="59">
        <f>IF(TYPE($A183)=1,"",('NO USAR2'!$J181-J$1)/J$2*K183/$K$1)</f>
        <v>0.4974556904</v>
      </c>
      <c r="K183" s="60">
        <f>IF(TYPE($A183)=1,"",IF('NO USAR2'!J181=0,0,'NO USAR2'!I181/'NO USAR2'!J181))</f>
        <v>1.2</v>
      </c>
      <c r="L183" s="58">
        <f>IF(TYPE($A183)=1,"",-('NO USAR2'!$Q181-L$1)/L$2)</f>
        <v>0.7955196219</v>
      </c>
      <c r="N183" s="63">
        <v>163.0</v>
      </c>
      <c r="O183" s="68" t="str">
        <f>IF('NO USAR2'!B180="",ROW('NO USAR2'!B180),'NO USAR2'!B180)</f>
        <v>Killian Hayes</v>
      </c>
      <c r="P183" s="68">
        <f>'NO USAR2'!E164</f>
        <v>67</v>
      </c>
      <c r="Q183" s="68" t="str">
        <f>IF('NO USAR2'!C180="",ROW('NO USAR2'!N195),'NO USAR2'!C180)</f>
        <v>PG</v>
      </c>
      <c r="R183" s="65">
        <f>VLOOKUP($O183,'NO USAR1'!$A$4:$L$399,2,False)+VLOOKUP($O183,'NO USAR1'!$A$4:$L$399,3,False)+VLOOKUP($O183,'NO USAR1'!$A$4:$L$399,4,False)+VLOOKUP($O183,'NO USAR1'!$A$4:$L$399,5,False)+VLOOKUP($O183,'NO USAR1'!$A$4:$L$399,6,False)+VLOOKUP($O183,'NO USAR1'!$A$4:$L$399,7,False)+VLOOKUP($O183,'NO USAR1'!$A$4:$L$399,8,False)+VLOOKUP($O183,'NO USAR1'!$A$4:$L$399,10,False)+VLOOKUP($O183,'NO USAR1'!$A$4:$L$399,12,False)*0</f>
        <v>-3.816958536</v>
      </c>
      <c r="S183" s="65">
        <f>VLOOKUP($O183,'NO USAR1'!$A$4:$L$399,2,False)*$U$19+VLOOKUP($O183,'NO USAR1'!$A$4:$L$399,3,False)*$V$19+VLOOKUP($O183,'NO USAR1'!$A$4:$L$399,4,False)*$W$19+VLOOKUP($O183,'NO USAR1'!$A$4:$L$399,5,False)*$X$19+VLOOKUP($O183,'NO USAR1'!$A$4:$L$399,6,False)*$Y$19+VLOOKUP($O183,'NO USAR1'!$A$4:$L$399,7,False)*$Z$19+VLOOKUP($O183,'NO USAR1'!$A$4:$L$399,8,False)*$AA$19+VLOOKUP($O183,'NO USAR1'!$A$4:$L$399,10,False)*$AB$19+VLOOKUP($O183,'NO USAR1'!$A$4:$L$399,12,False)*$AC$19+IF(Projections!$K$3,-AN183, IF(Projections!$J$3,-AM183,0))</f>
        <v>-3.331740753</v>
      </c>
      <c r="T183" s="65">
        <f t="shared" si="1"/>
        <v>0.4852177836</v>
      </c>
      <c r="U183" s="65">
        <f>VLOOKUP($O183,'NO USAR2'!$B$2:$R$397,11,False)</f>
        <v>7.8</v>
      </c>
      <c r="V183" s="69">
        <f>VLOOKUP($O183,'NO USAR2'!$B$2:$R$397,10,False)</f>
        <v>0.7</v>
      </c>
      <c r="W183" s="65">
        <f>VLOOKUP($O183,'NO USAR2'!$B$2:$R$397,12,False)</f>
        <v>3.2</v>
      </c>
      <c r="X183" s="65">
        <f>VLOOKUP($O183,'NO USAR2'!$B$2:$R$397,13,False)</f>
        <v>4.3</v>
      </c>
      <c r="Y183" s="65">
        <f>VLOOKUP($O183,'NO USAR2'!$B$2:$R$397,14,False)</f>
        <v>1.2</v>
      </c>
      <c r="Z183" s="70">
        <f>VLOOKUP($O183,'NO USAR2'!$B$2:$R$397,15,False)</f>
        <v>0.5</v>
      </c>
      <c r="AA183" s="65">
        <f>100*VLOOKUP($O183,'NO USAR2'!$B$2:$R$397,7,False)</f>
        <v>40.78947368</v>
      </c>
      <c r="AB183" s="65">
        <f>100*VLOOKUP($O183,'NO USAR2'!$B$2:$R$397,9,False)</f>
        <v>81.81818182</v>
      </c>
      <c r="AC183" s="65">
        <f>VLOOKUP($O183,'NO USAR2'!$B$2:$Q$397,16,False)</f>
        <v>1.7</v>
      </c>
      <c r="AD183" s="65">
        <f>VLOOKUP($O183,'NO USAR1'!$A$4:$L$399,2,False)*$U$19</f>
        <v>-2.437310602</v>
      </c>
      <c r="AE183" s="65">
        <f>VLOOKUP($O183,'NO USAR1'!$A$4:$L$399,3,False)*$V$19</f>
        <v>-0.9133822286</v>
      </c>
      <c r="AF183" s="65">
        <f>VLOOKUP($O183,'NO USAR1'!$A$4:$L$399,4,False)*$W$19</f>
        <v>-1.173413806</v>
      </c>
      <c r="AG183" s="65">
        <f>VLOOKUP($O183,'NO USAR1'!$A$4:$L$399,5,False)*$X$19</f>
        <v>0.3412668797</v>
      </c>
      <c r="AH183" s="65">
        <f>VLOOKUP($O183,'NO USAR1'!$A$4:$L$399,6,False)*$Y$19</f>
        <v>0.8011379786</v>
      </c>
      <c r="AI183" s="65">
        <f>VLOOKUP($O183,'NO USAR1'!$A$4:$L$399,7,False)*$Z$19</f>
        <v>0</v>
      </c>
      <c r="AJ183" s="65">
        <f>VLOOKUP($O183,'NO USAR1'!$A$4:$L$399,8,False)*$AA$19</f>
        <v>0</v>
      </c>
      <c r="AK183" s="70">
        <f>VLOOKUP($O183,'NO USAR1'!$A$4:$L$399,10,False)*$AB$19</f>
        <v>0.04996102609</v>
      </c>
      <c r="AL183" s="65">
        <f>VLOOKUP($O183,'NO USAR1'!$A$4:$L$399,12,False)*$AC$19</f>
        <v>0</v>
      </c>
      <c r="AM183" s="71">
        <f t="shared" si="2"/>
        <v>-2.437310602</v>
      </c>
      <c r="AN183" s="71">
        <f t="shared" si="3"/>
        <v>-3.610724408</v>
      </c>
    </row>
    <row r="184">
      <c r="A184" t="str">
        <f>IF('NO USAR2'!B182="",ROW('NO USAR2'!B182),'NO USAR2'!B182)</f>
        <v>Quentin Grimes</v>
      </c>
      <c r="B184" s="58">
        <f>IF(TYPE($A184)=1,"",('NO USAR2'!$L182-B$1)/B$2)</f>
        <v>-0.8970284755</v>
      </c>
      <c r="C184" s="58">
        <f>IF(TYPE($A184)=1,"",('NO USAR2'!$K182-C$1)/C$2)</f>
        <v>0.7865422277</v>
      </c>
      <c r="D184" s="58">
        <f>IF(TYPE($A184)=1,"",('NO USAR2'!$M182-D$1)/D$2)</f>
        <v>-1.214235346</v>
      </c>
      <c r="E184" s="58">
        <f>IF(TYPE($A184)=1,"",('NO USAR2'!$N182-E$1)/E$2)</f>
        <v>-1.005339288</v>
      </c>
      <c r="F184" s="58">
        <f>IF(TYPE($A184)=1,"",('NO USAR2'!$O182-F$1)/F$2)</f>
        <v>-0.01316939143</v>
      </c>
      <c r="G184" s="58">
        <f>IF(TYPE($A184)=1,"",('NO USAR2'!$P182-G$1)/G$2)</f>
        <v>-0.8184360358</v>
      </c>
      <c r="H184" s="58">
        <f>IF(TYPE($A184)=1,"",('NO USAR2'!$H182-H$1)/H$2*I184/$I$1)</f>
        <v>-0.7457843413</v>
      </c>
      <c r="I184" s="58">
        <f>IF(TYPE($A184)=1,"",IF('NO USAR2'!H182=0,0,'NO USAR2'!G182/'NO USAR2'!H182))</f>
        <v>9.5</v>
      </c>
      <c r="J184" s="59">
        <f>IF(TYPE($A184)=1,"",('NO USAR2'!$J182-J$1)/J$2*K184/$K$1)</f>
        <v>-0.3353801998</v>
      </c>
      <c r="K184" s="60">
        <f>IF(TYPE($A184)=1,"",IF('NO USAR2'!J182=0,0,'NO USAR2'!I182/'NO USAR2'!J182))</f>
        <v>1.9</v>
      </c>
      <c r="L184" s="58">
        <f>IF(TYPE($A184)=1,"",-('NO USAR2'!$Q182-L$1)/L$2)</f>
        <v>1.236981163</v>
      </c>
      <c r="N184" s="2">
        <v>164.0</v>
      </c>
      <c r="O184" s="68" t="str">
        <f>IF('NO USAR2'!B153="",ROW('NO USAR2'!B153),'NO USAR2'!B153)</f>
        <v>Pat Connaughton</v>
      </c>
      <c r="P184" s="68">
        <f>'NO USAR2'!E165</f>
        <v>66</v>
      </c>
      <c r="Q184" s="68" t="str">
        <f>IF('NO USAR2'!C153="",ROW('NO USAR2'!N168),'NO USAR2'!C153)</f>
        <v>SG/SF</v>
      </c>
      <c r="R184" s="65">
        <f>VLOOKUP($O184,'NO USAR1'!$A$4:$L$399,2,False)+VLOOKUP($O184,'NO USAR1'!$A$4:$L$399,3,False)+VLOOKUP($O184,'NO USAR1'!$A$4:$L$399,4,False)+VLOOKUP($O184,'NO USAR1'!$A$4:$L$399,5,False)+VLOOKUP($O184,'NO USAR1'!$A$4:$L$399,6,False)+VLOOKUP($O184,'NO USAR1'!$A$4:$L$399,7,False)+VLOOKUP($O184,'NO USAR1'!$A$4:$L$399,8,False)+VLOOKUP($O184,'NO USAR1'!$A$4:$L$399,10,False)+VLOOKUP($O184,'NO USAR1'!$A$4:$L$399,12,False)*0</f>
        <v>-3.881549486</v>
      </c>
      <c r="S184" s="65">
        <f>VLOOKUP($O184,'NO USAR1'!$A$4:$L$399,2,False)*$U$19+VLOOKUP($O184,'NO USAR1'!$A$4:$L$399,3,False)*$V$19+VLOOKUP($O184,'NO USAR1'!$A$4:$L$399,4,False)*$W$19+VLOOKUP($O184,'NO USAR1'!$A$4:$L$399,5,False)*$X$19+VLOOKUP($O184,'NO USAR1'!$A$4:$L$399,6,False)*$Y$19+VLOOKUP($O184,'NO USAR1'!$A$4:$L$399,7,False)*$Z$19+VLOOKUP($O184,'NO USAR1'!$A$4:$L$399,8,False)*$AA$19+VLOOKUP($O184,'NO USAR1'!$A$4:$L$399,10,False)*$AB$19+VLOOKUP($O184,'NO USAR1'!$A$4:$L$399,12,False)*$AC$19+IF(Projections!$K$3,-AN184, IF(Projections!$J$3,-AM184,0))</f>
        <v>-3.551020253</v>
      </c>
      <c r="T184" s="65">
        <f t="shared" si="1"/>
        <v>0.3305292332</v>
      </c>
      <c r="U184" s="65">
        <f>VLOOKUP($O184,'NO USAR2'!$B$2:$R$397,11,False)</f>
        <v>10.2</v>
      </c>
      <c r="V184" s="69">
        <f>VLOOKUP($O184,'NO USAR2'!$B$2:$R$397,10,False)</f>
        <v>2.4</v>
      </c>
      <c r="W184" s="65">
        <f>VLOOKUP($O184,'NO USAR2'!$B$2:$R$397,12,False)</f>
        <v>4.3</v>
      </c>
      <c r="X184" s="65">
        <f>VLOOKUP($O184,'NO USAR2'!$B$2:$R$397,13,False)</f>
        <v>1.3</v>
      </c>
      <c r="Y184" s="65">
        <f>VLOOKUP($O184,'NO USAR2'!$B$2:$R$397,14,False)</f>
        <v>0.9</v>
      </c>
      <c r="Z184" s="70">
        <f>VLOOKUP($O184,'NO USAR2'!$B$2:$R$397,15,False)</f>
        <v>0.2</v>
      </c>
      <c r="AA184" s="65">
        <f>100*VLOOKUP($O184,'NO USAR2'!$B$2:$R$397,7,False)</f>
        <v>46.15384615</v>
      </c>
      <c r="AB184" s="65">
        <f>100*VLOOKUP($O184,'NO USAR2'!$B$2:$R$397,9,False)</f>
        <v>77.77777778</v>
      </c>
      <c r="AC184" s="65">
        <f>VLOOKUP($O184,'NO USAR2'!$B$2:$Q$397,16,False)</f>
        <v>0.5</v>
      </c>
      <c r="AD184" s="65">
        <f>VLOOKUP($O184,'NO USAR1'!$A$4:$L$399,2,False)*$U$19</f>
        <v>-1.79822696</v>
      </c>
      <c r="AE184" s="65">
        <f>VLOOKUP($O184,'NO USAR1'!$A$4:$L$399,3,False)*$V$19</f>
        <v>0.7865422277</v>
      </c>
      <c r="AF184" s="65">
        <f>VLOOKUP($O184,'NO USAR1'!$A$4:$L$399,4,False)*$W$19</f>
        <v>-0.7243768628</v>
      </c>
      <c r="AG184" s="65">
        <f>VLOOKUP($O184,'NO USAR1'!$A$4:$L$399,5,False)*$X$19</f>
        <v>-1.370812753</v>
      </c>
      <c r="AH184" s="65">
        <f>VLOOKUP($O184,'NO USAR1'!$A$4:$L$399,6,False)*$Y$19</f>
        <v>-0.4252615982</v>
      </c>
      <c r="AI184" s="65">
        <f>VLOOKUP($O184,'NO USAR1'!$A$4:$L$399,7,False)*$Z$19</f>
        <v>0</v>
      </c>
      <c r="AJ184" s="65">
        <f>VLOOKUP($O184,'NO USAR1'!$A$4:$L$399,8,False)*$AA$19</f>
        <v>0</v>
      </c>
      <c r="AK184" s="70">
        <f>VLOOKUP($O184,'NO USAR1'!$A$4:$L$399,10,False)*$AB$19</f>
        <v>-0.01888430688</v>
      </c>
      <c r="AL184" s="65">
        <f>VLOOKUP($O184,'NO USAR1'!$A$4:$L$399,12,False)*$AC$19</f>
        <v>0</v>
      </c>
      <c r="AM184" s="71">
        <f t="shared" si="2"/>
        <v>-1.79822696</v>
      </c>
      <c r="AN184" s="71">
        <f t="shared" si="3"/>
        <v>-3.169039713</v>
      </c>
    </row>
    <row r="185">
      <c r="A185" t="str">
        <f>IF('NO USAR2'!B183="",ROW('NO USAR2'!B183),'NO USAR2'!B183)</f>
        <v>Kyle Anderson</v>
      </c>
      <c r="B185" s="58">
        <f>IF(TYPE($A185)=1,"",('NO USAR2'!$L183-B$1)/B$2)</f>
        <v>-1.678130705</v>
      </c>
      <c r="C185" s="58">
        <f>IF(TYPE($A185)=1,"",('NO USAR2'!$K183-C$1)/C$2)</f>
        <v>-1.113373341</v>
      </c>
      <c r="D185" s="58">
        <f>IF(TYPE($A185)=1,"",('NO USAR2'!$M183-D$1)/D$2)</f>
        <v>-0.3161614598</v>
      </c>
      <c r="E185" s="58">
        <f>IF(TYPE($A185)=1,"",('NO USAR2'!$N183-E$1)/E$2)</f>
        <v>-0.457473806</v>
      </c>
      <c r="F185" s="58">
        <f>IF(TYPE($A185)=1,"",('NO USAR2'!$O183-F$1)/F$2)</f>
        <v>0.3138704957</v>
      </c>
      <c r="G185" s="58">
        <f>IF(TYPE($A185)=1,"",('NO USAR2'!$P183-G$1)/G$2)</f>
        <v>0.005529973215</v>
      </c>
      <c r="H185" s="58">
        <f>IF(TYPE($A185)=1,"",('NO USAR2'!$H183-H$1)/H$2*I185/$I$1)</f>
        <v>-0.3750135691</v>
      </c>
      <c r="I185" s="58">
        <f>IF(TYPE($A185)=1,"",IF('NO USAR2'!H183=0,0,'NO USAR2'!G183/'NO USAR2'!H183))</f>
        <v>6.8</v>
      </c>
      <c r="J185" s="59">
        <f>IF(TYPE($A185)=1,"",('NO USAR2'!$J183-J$1)/J$2*K185/$K$1)</f>
        <v>-0.6107615317</v>
      </c>
      <c r="K185" s="60">
        <f>IF(TYPE($A185)=1,"",IF('NO USAR2'!J183=0,0,'NO USAR2'!I183/'NO USAR2'!J183))</f>
        <v>1.5</v>
      </c>
      <c r="L185" s="58">
        <f>IF(TYPE($A185)=1,"",-('NO USAR2'!$Q183-L$1)/L$2)</f>
        <v>1.126615777</v>
      </c>
      <c r="N185" s="63">
        <v>165.0</v>
      </c>
      <c r="O185" s="68" t="str">
        <f>IF('NO USAR2'!B169="",ROW('NO USAR2'!B169),'NO USAR2'!B169)</f>
        <v>Will Barton</v>
      </c>
      <c r="P185" s="68">
        <f>'NO USAR2'!E166</f>
        <v>60</v>
      </c>
      <c r="Q185" s="68" t="str">
        <f>IF('NO USAR2'!C169="",ROW('NO USAR2'!N184),'NO USAR2'!C169)</f>
        <v>PG/SG</v>
      </c>
      <c r="R185" s="65">
        <f>VLOOKUP($O185,'NO USAR1'!$A$4:$L$399,2,False)+VLOOKUP($O185,'NO USAR1'!$A$4:$L$399,3,False)+VLOOKUP($O185,'NO USAR1'!$A$4:$L$399,4,False)+VLOOKUP($O185,'NO USAR1'!$A$4:$L$399,5,False)+VLOOKUP($O185,'NO USAR1'!$A$4:$L$399,6,False)+VLOOKUP($O185,'NO USAR1'!$A$4:$L$399,7,False)+VLOOKUP($O185,'NO USAR1'!$A$4:$L$399,8,False)+VLOOKUP($O185,'NO USAR1'!$A$4:$L$399,10,False)+VLOOKUP($O185,'NO USAR1'!$A$4:$L$399,12,False)*0</f>
        <v>-3.884669331</v>
      </c>
      <c r="S185" s="65">
        <f>VLOOKUP($O185,'NO USAR1'!$A$4:$L$399,2,False)*$U$19+VLOOKUP($O185,'NO USAR1'!$A$4:$L$399,3,False)*$V$19+VLOOKUP($O185,'NO USAR1'!$A$4:$L$399,4,False)*$W$19+VLOOKUP($O185,'NO USAR1'!$A$4:$L$399,5,False)*$X$19+VLOOKUP($O185,'NO USAR1'!$A$4:$L$399,6,False)*$Y$19+VLOOKUP($O185,'NO USAR1'!$A$4:$L$399,7,False)*$Z$19+VLOOKUP($O185,'NO USAR1'!$A$4:$L$399,8,False)*$AA$19+VLOOKUP($O185,'NO USAR1'!$A$4:$L$399,10,False)*$AB$19+VLOOKUP($O185,'NO USAR1'!$A$4:$L$399,12,False)*$AC$19+IF(Projections!$K$3,-AN185, IF(Projections!$J$3,-AM185,0))</f>
        <v>-3.097138086</v>
      </c>
      <c r="T185" s="65">
        <f t="shared" si="1"/>
        <v>0.7875312446</v>
      </c>
      <c r="U185" s="65">
        <f>VLOOKUP($O185,'NO USAR2'!$B$2:$R$397,11,False)</f>
        <v>12.5</v>
      </c>
      <c r="V185" s="69">
        <f>VLOOKUP($O185,'NO USAR2'!$B$2:$R$397,10,False)</f>
        <v>1.9</v>
      </c>
      <c r="W185" s="65">
        <f>VLOOKUP($O185,'NO USAR2'!$B$2:$R$397,12,False)</f>
        <v>4.1</v>
      </c>
      <c r="X185" s="65">
        <f>VLOOKUP($O185,'NO USAR2'!$B$2:$R$397,13,False)</f>
        <v>3.4</v>
      </c>
      <c r="Y185" s="65">
        <f>VLOOKUP($O185,'NO USAR2'!$B$2:$R$397,14,False)</f>
        <v>0.7</v>
      </c>
      <c r="Z185" s="70">
        <f>VLOOKUP($O185,'NO USAR2'!$B$2:$R$397,15,False)</f>
        <v>0.3</v>
      </c>
      <c r="AA185" s="65">
        <f>100*VLOOKUP($O185,'NO USAR2'!$B$2:$R$397,7,False)</f>
        <v>43.51851852</v>
      </c>
      <c r="AB185" s="65">
        <f>100*VLOOKUP($O185,'NO USAR2'!$B$2:$R$397,9,False)</f>
        <v>80</v>
      </c>
      <c r="AC185" s="65">
        <f>VLOOKUP($O185,'NO USAR2'!$B$2:$Q$397,16,False)</f>
        <v>1.6</v>
      </c>
      <c r="AD185" s="65">
        <f>VLOOKUP($O185,'NO USAR1'!$A$4:$L$399,2,False)*$U$19</f>
        <v>-1.185771803</v>
      </c>
      <c r="AE185" s="65">
        <f>VLOOKUP($O185,'NO USAR1'!$A$4:$L$399,3,False)*$V$19</f>
        <v>0.2865644464</v>
      </c>
      <c r="AF185" s="65">
        <f>VLOOKUP($O185,'NO USAR1'!$A$4:$L$399,4,False)*$W$19</f>
        <v>-0.8060199435</v>
      </c>
      <c r="AG185" s="65">
        <f>VLOOKUP($O185,'NO USAR1'!$A$4:$L$399,5,False)*$X$19</f>
        <v>-0.17235701</v>
      </c>
      <c r="AH185" s="65">
        <f>VLOOKUP($O185,'NO USAR1'!$A$4:$L$399,6,False)*$Y$19</f>
        <v>-1.242861316</v>
      </c>
      <c r="AI185" s="65">
        <f>VLOOKUP($O185,'NO USAR1'!$A$4:$L$399,7,False)*$Z$19</f>
        <v>0</v>
      </c>
      <c r="AJ185" s="65">
        <f>VLOOKUP($O185,'NO USAR1'!$A$4:$L$399,8,False)*$AA$19</f>
        <v>0</v>
      </c>
      <c r="AK185" s="70">
        <f>VLOOKUP($O185,'NO USAR1'!$A$4:$L$399,10,False)*$AB$19</f>
        <v>0.02330753941</v>
      </c>
      <c r="AL185" s="65">
        <f>VLOOKUP($O185,'NO USAR1'!$A$4:$L$399,12,False)*$AC$19</f>
        <v>0</v>
      </c>
      <c r="AM185" s="71">
        <f t="shared" si="2"/>
        <v>-1.242861316</v>
      </c>
      <c r="AN185" s="71">
        <f t="shared" si="3"/>
        <v>-2.428633119</v>
      </c>
    </row>
    <row r="186">
      <c r="A186" t="str">
        <f>IF('NO USAR2'!B184="",ROW('NO USAR2'!B184),'NO USAR2'!B184)</f>
        <v>Delon Wright</v>
      </c>
      <c r="B186" s="58">
        <f>IF(TYPE($A186)=1,"",('NO USAR2'!$L184-B$1)/B$2)</f>
        <v>-1.873406262</v>
      </c>
      <c r="C186" s="58">
        <f>IF(TYPE($A186)=1,"",('NO USAR2'!$K184-C$1)/C$2)</f>
        <v>-0.9133822286</v>
      </c>
      <c r="D186" s="58">
        <f>IF(TYPE($A186)=1,"",('NO USAR2'!$M184-D$1)/D$2)</f>
        <v>-1.173413806</v>
      </c>
      <c r="E186" s="58">
        <f>IF(TYPE($A186)=1,"",('NO USAR2'!$N184-E$1)/E$2)</f>
        <v>-0.457473806</v>
      </c>
      <c r="F186" s="58">
        <f>IF(TYPE($A186)=1,"",('NO USAR2'!$O184-F$1)/F$2)</f>
        <v>0.96795027</v>
      </c>
      <c r="G186" s="58">
        <f>IF(TYPE($A186)=1,"",('NO USAR2'!$P184-G$1)/G$2)</f>
        <v>-1.024427538</v>
      </c>
      <c r="H186" s="58">
        <f>IF(TYPE($A186)=1,"",('NO USAR2'!$H184-H$1)/H$2*I186/$I$1)</f>
        <v>-0.2206094517</v>
      </c>
      <c r="I186" s="58">
        <f>IF(TYPE($A186)=1,"",IF('NO USAR2'!H184=0,0,'NO USAR2'!G184/'NO USAR2'!H184))</f>
        <v>5.3</v>
      </c>
      <c r="J186" s="59">
        <f>IF(TYPE($A186)=1,"",('NO USAR2'!$J184-J$1)/J$2*K186/$K$1)</f>
        <v>0.2909196915</v>
      </c>
      <c r="K186" s="60">
        <f>IF(TYPE($A186)=1,"",IF('NO USAR2'!J184=0,0,'NO USAR2'!I184/'NO USAR2'!J184))</f>
        <v>0.9</v>
      </c>
      <c r="L186" s="58">
        <f>IF(TYPE($A186)=1,"",-('NO USAR2'!$Q184-L$1)/L$2)</f>
        <v>1.457711933</v>
      </c>
      <c r="N186" s="63">
        <v>166.0</v>
      </c>
      <c r="O186" s="68" t="str">
        <f>IF('NO USAR2'!B165="",ROW('NO USAR2'!B165),'NO USAR2'!B165)</f>
        <v>Grayson Allen</v>
      </c>
      <c r="P186" s="68">
        <f>'NO USAR2'!E167</f>
        <v>77</v>
      </c>
      <c r="Q186" s="68" t="str">
        <f>IF('NO USAR2'!C165="",ROW('NO USAR2'!N180),'NO USAR2'!C165)</f>
        <v>SG</v>
      </c>
      <c r="R186" s="65">
        <f>VLOOKUP($O186,'NO USAR1'!$A$4:$L$399,2,False)+VLOOKUP($O186,'NO USAR1'!$A$4:$L$399,3,False)+VLOOKUP($O186,'NO USAR1'!$A$4:$L$399,4,False)+VLOOKUP($O186,'NO USAR1'!$A$4:$L$399,5,False)+VLOOKUP($O186,'NO USAR1'!$A$4:$L$399,6,False)+VLOOKUP($O186,'NO USAR1'!$A$4:$L$399,7,False)+VLOOKUP($O186,'NO USAR1'!$A$4:$L$399,8,False)+VLOOKUP($O186,'NO USAR1'!$A$4:$L$399,10,False)+VLOOKUP($O186,'NO USAR1'!$A$4:$L$399,12,False)*0</f>
        <v>-3.915265757</v>
      </c>
      <c r="S186" s="65">
        <f>VLOOKUP($O186,'NO USAR1'!$A$4:$L$399,2,False)*$U$19+VLOOKUP($O186,'NO USAR1'!$A$4:$L$399,3,False)*$V$19+VLOOKUP($O186,'NO USAR1'!$A$4:$L$399,4,False)*$W$19+VLOOKUP($O186,'NO USAR1'!$A$4:$L$399,5,False)*$X$19+VLOOKUP($O186,'NO USAR1'!$A$4:$L$399,6,False)*$Y$19+VLOOKUP($O186,'NO USAR1'!$A$4:$L$399,7,False)*$Z$19+VLOOKUP($O186,'NO USAR1'!$A$4:$L$399,8,False)*$AA$19+VLOOKUP($O186,'NO USAR1'!$A$4:$L$399,10,False)*$AB$19+VLOOKUP($O186,'NO USAR1'!$A$4:$L$399,12,False)*$AC$19+IF(Projections!$K$3,-AN186, IF(Projections!$J$3,-AM186,0))</f>
        <v>-3.867275636</v>
      </c>
      <c r="T186" s="65">
        <f t="shared" si="1"/>
        <v>0.04799012062</v>
      </c>
      <c r="U186" s="65">
        <f>VLOOKUP($O186,'NO USAR2'!$B$2:$R$397,11,False)</f>
        <v>11.5</v>
      </c>
      <c r="V186" s="69">
        <f>VLOOKUP($O186,'NO USAR2'!$B$2:$R$397,10,False)</f>
        <v>2.5</v>
      </c>
      <c r="W186" s="65">
        <f>VLOOKUP($O186,'NO USAR2'!$B$2:$R$397,12,False)</f>
        <v>3.5</v>
      </c>
      <c r="X186" s="65">
        <f>VLOOKUP($O186,'NO USAR2'!$B$2:$R$397,13,False)</f>
        <v>1.5</v>
      </c>
      <c r="Y186" s="65">
        <f>VLOOKUP($O186,'NO USAR2'!$B$2:$R$397,14,False)</f>
        <v>0.7</v>
      </c>
      <c r="Z186" s="70">
        <f>VLOOKUP($O186,'NO USAR2'!$B$2:$R$397,15,False)</f>
        <v>0.3</v>
      </c>
      <c r="AA186" s="65">
        <f>100*VLOOKUP($O186,'NO USAR2'!$B$2:$R$397,7,False)</f>
        <v>44.44444444</v>
      </c>
      <c r="AB186" s="65">
        <f>100*VLOOKUP($O186,'NO USAR2'!$B$2:$R$397,9,False)</f>
        <v>91.66666667</v>
      </c>
      <c r="AC186" s="65">
        <f>VLOOKUP($O186,'NO USAR2'!$B$2:$Q$397,16,False)</f>
        <v>0.7</v>
      </c>
      <c r="AD186" s="65">
        <f>VLOOKUP($O186,'NO USAR1'!$A$4:$L$399,2,False)*$U$19</f>
        <v>-1.452056654</v>
      </c>
      <c r="AE186" s="65">
        <f>VLOOKUP($O186,'NO USAR1'!$A$4:$L$399,3,False)*$V$19</f>
        <v>0.886537784</v>
      </c>
      <c r="AF186" s="65">
        <f>VLOOKUP($O186,'NO USAR1'!$A$4:$L$399,4,False)*$W$19</f>
        <v>-1.050949185</v>
      </c>
      <c r="AG186" s="65">
        <f>VLOOKUP($O186,'NO USAR1'!$A$4:$L$399,5,False)*$X$19</f>
        <v>-1.25667411</v>
      </c>
      <c r="AH186" s="65">
        <f>VLOOKUP($O186,'NO USAR1'!$A$4:$L$399,6,False)*$Y$19</f>
        <v>-1.242861316</v>
      </c>
      <c r="AI186" s="65">
        <f>VLOOKUP($O186,'NO USAR1'!$A$4:$L$399,7,False)*$Z$19</f>
        <v>0</v>
      </c>
      <c r="AJ186" s="65">
        <f>VLOOKUP($O186,'NO USAR1'!$A$4:$L$399,8,False)*$AA$19</f>
        <v>0</v>
      </c>
      <c r="AK186" s="70">
        <f>VLOOKUP($O186,'NO USAR1'!$A$4:$L$399,10,False)*$AB$19</f>
        <v>0.2487278452</v>
      </c>
      <c r="AL186" s="65">
        <f>VLOOKUP($O186,'NO USAR1'!$A$4:$L$399,12,False)*$AC$19</f>
        <v>0</v>
      </c>
      <c r="AM186" s="71">
        <f t="shared" si="2"/>
        <v>-1.452056654</v>
      </c>
      <c r="AN186" s="71">
        <f t="shared" si="3"/>
        <v>-2.708730764</v>
      </c>
    </row>
    <row r="187">
      <c r="A187" t="str">
        <f>IF('NO USAR2'!B185="",ROW('NO USAR2'!B185),'NO USAR2'!B185)</f>
        <v>Royce O'Neale</v>
      </c>
      <c r="B187" s="58">
        <f>IF(TYPE($A187)=1,"",('NO USAR2'!$L185-B$1)/B$2)</f>
        <v>-1.837901616</v>
      </c>
      <c r="C187" s="58">
        <f>IF(TYPE($A187)=1,"",('NO USAR2'!$K185-C$1)/C$2)</f>
        <v>-0.2134133348</v>
      </c>
      <c r="D187" s="58">
        <f>IF(TYPE($A187)=1,"",('NO USAR2'!$M185-D$1)/D$2)</f>
        <v>-0.7651984031</v>
      </c>
      <c r="E187" s="58">
        <f>IF(TYPE($A187)=1,"",('NO USAR2'!$N185-E$1)/E$2)</f>
        <v>-0.6857510903</v>
      </c>
      <c r="F187" s="58">
        <f>IF(TYPE($A187)=1,"",('NO USAR2'!$O185-F$1)/F$2)</f>
        <v>-0.01316939143</v>
      </c>
      <c r="G187" s="58">
        <f>IF(TYPE($A187)=1,"",('NO USAR2'!$P185-G$1)/G$2)</f>
        <v>-0.6124445335</v>
      </c>
      <c r="H187" s="58">
        <f>IF(TYPE($A187)=1,"",('NO USAR2'!$H185-H$1)/H$2*I187/$I$1)</f>
        <v>-0.2799483645</v>
      </c>
      <c r="I187" s="58">
        <f>IF(TYPE($A187)=1,"",IF('NO USAR2'!H185=0,0,'NO USAR2'!G185/'NO USAR2'!H185))</f>
        <v>5.2</v>
      </c>
      <c r="J187" s="59">
        <f>IF(TYPE($A187)=1,"",('NO USAR2'!$J185-J$1)/J$2*K187/$K$1)</f>
        <v>-0.1754592797</v>
      </c>
      <c r="K187" s="60">
        <f>IF(TYPE($A187)=1,"",IF('NO USAR2'!J185=0,0,'NO USAR2'!I185/'NO USAR2'!J185))</f>
        <v>0.7</v>
      </c>
      <c r="L187" s="58">
        <f>IF(TYPE($A187)=1,"",-('NO USAR2'!$Q185-L$1)/L$2)</f>
        <v>1.236981163</v>
      </c>
      <c r="N187" s="2">
        <v>167.0</v>
      </c>
      <c r="O187" s="68" t="str">
        <f>IF('NO USAR2'!B167="",ROW('NO USAR2'!B167),'NO USAR2'!B167)</f>
        <v>Andre Drummond</v>
      </c>
      <c r="P187" s="68">
        <f>'NO USAR2'!E168</f>
        <v>68</v>
      </c>
      <c r="Q187" s="68" t="str">
        <f>IF('NO USAR2'!C167="",ROW('NO USAR2'!N182),'NO USAR2'!C167)</f>
        <v>C</v>
      </c>
      <c r="R187" s="65">
        <f>VLOOKUP($O187,'NO USAR1'!$A$4:$L$399,2,False)+VLOOKUP($O187,'NO USAR1'!$A$4:$L$399,3,False)+VLOOKUP($O187,'NO USAR1'!$A$4:$L$399,4,False)+VLOOKUP($O187,'NO USAR1'!$A$4:$L$399,5,False)+VLOOKUP($O187,'NO USAR1'!$A$4:$L$399,6,False)+VLOOKUP($O187,'NO USAR1'!$A$4:$L$399,7,False)+VLOOKUP($O187,'NO USAR1'!$A$4:$L$399,8,False)+VLOOKUP($O187,'NO USAR1'!$A$4:$L$399,10,False)+VLOOKUP($O187,'NO USAR1'!$A$4:$L$399,12,False)*0</f>
        <v>-3.922281715</v>
      </c>
      <c r="S187" s="65">
        <f>VLOOKUP($O187,'NO USAR1'!$A$4:$L$399,2,False)*$U$19+VLOOKUP($O187,'NO USAR1'!$A$4:$L$399,3,False)*$V$19+VLOOKUP($O187,'NO USAR1'!$A$4:$L$399,4,False)*$W$19+VLOOKUP($O187,'NO USAR1'!$A$4:$L$399,5,False)*$X$19+VLOOKUP($O187,'NO USAR1'!$A$4:$L$399,6,False)*$Y$19+VLOOKUP($O187,'NO USAR1'!$A$4:$L$399,7,False)*$Z$19+VLOOKUP($O187,'NO USAR1'!$A$4:$L$399,8,False)*$AA$19+VLOOKUP($O187,'NO USAR1'!$A$4:$L$399,10,False)*$AB$19+VLOOKUP($O187,'NO USAR1'!$A$4:$L$399,12,False)*$AC$19+IF(Projections!$K$3,-AN187, IF(Projections!$J$3,-AM187,0))</f>
        <v>-5.008417521</v>
      </c>
      <c r="T187" s="65">
        <f t="shared" si="1"/>
        <v>-1.086135806</v>
      </c>
      <c r="U187" s="65">
        <f>VLOOKUP($O187,'NO USAR2'!$B$2:$R$397,11,False)</f>
        <v>7.5</v>
      </c>
      <c r="V187" s="69">
        <f>VLOOKUP($O187,'NO USAR2'!$B$2:$R$397,10,False)</f>
        <v>0</v>
      </c>
      <c r="W187" s="65">
        <f>VLOOKUP($O187,'NO USAR2'!$B$2:$R$397,12,False)</f>
        <v>8.7</v>
      </c>
      <c r="X187" s="65">
        <f>VLOOKUP($O187,'NO USAR2'!$B$2:$R$397,13,False)</f>
        <v>1.7</v>
      </c>
      <c r="Y187" s="65">
        <f>VLOOKUP($O187,'NO USAR2'!$B$2:$R$397,14,False)</f>
        <v>1</v>
      </c>
      <c r="Z187" s="70">
        <f>VLOOKUP($O187,'NO USAR2'!$B$2:$R$397,15,False)</f>
        <v>0.8</v>
      </c>
      <c r="AA187" s="65">
        <f>100*VLOOKUP($O187,'NO USAR2'!$B$2:$R$397,7,False)</f>
        <v>58.18181818</v>
      </c>
      <c r="AB187" s="65">
        <f>100*VLOOKUP($O187,'NO USAR2'!$B$2:$R$397,9,False)</f>
        <v>55</v>
      </c>
      <c r="AC187" s="65">
        <f>VLOOKUP($O187,'NO USAR2'!$B$2:$Q$397,16,False)</f>
        <v>1.5</v>
      </c>
      <c r="AD187" s="65">
        <f>VLOOKUP($O187,'NO USAR1'!$A$4:$L$399,2,False)*$U$19</f>
        <v>-2.517196057</v>
      </c>
      <c r="AE187" s="65">
        <f>VLOOKUP($O187,'NO USAR1'!$A$4:$L$399,3,False)*$V$19</f>
        <v>-1.613351122</v>
      </c>
      <c r="AF187" s="65">
        <f>VLOOKUP($O187,'NO USAR1'!$A$4:$L$399,4,False)*$W$19</f>
        <v>1.071770911</v>
      </c>
      <c r="AG187" s="65">
        <f>VLOOKUP($O187,'NO USAR1'!$A$4:$L$399,5,False)*$X$19</f>
        <v>-1.142535468</v>
      </c>
      <c r="AH187" s="65">
        <f>VLOOKUP($O187,'NO USAR1'!$A$4:$L$399,6,False)*$Y$19</f>
        <v>-0.01646173929</v>
      </c>
      <c r="AI187" s="65">
        <f>VLOOKUP($O187,'NO USAR1'!$A$4:$L$399,7,False)*$Z$19</f>
        <v>0</v>
      </c>
      <c r="AJ187" s="65">
        <f>VLOOKUP($O187,'NO USAR1'!$A$4:$L$399,8,False)*$AA$19</f>
        <v>0</v>
      </c>
      <c r="AK187" s="70">
        <f>VLOOKUP($O187,'NO USAR1'!$A$4:$L$399,10,False)*$AB$19</f>
        <v>-0.7906440439</v>
      </c>
      <c r="AL187" s="65">
        <f>VLOOKUP($O187,'NO USAR1'!$A$4:$L$399,12,False)*$AC$19</f>
        <v>0</v>
      </c>
      <c r="AM187" s="71">
        <f t="shared" si="2"/>
        <v>-2.517196057</v>
      </c>
      <c r="AN187" s="71">
        <f t="shared" si="3"/>
        <v>-4.13054718</v>
      </c>
    </row>
    <row r="188">
      <c r="A188" t="str">
        <f>IF('NO USAR2'!B186="",ROW('NO USAR2'!B186),'NO USAR2'!B186)</f>
        <v>Deni Avdija</v>
      </c>
      <c r="B188" s="58">
        <f>IF(TYPE($A188)=1,"",('NO USAR2'!$L186-B$1)/B$2)</f>
        <v>-1.216570297</v>
      </c>
      <c r="C188" s="58">
        <f>IF(TYPE($A188)=1,"",('NO USAR2'!$K186-C$1)/C$2)</f>
        <v>-0.4134044473</v>
      </c>
      <c r="D188" s="58">
        <f>IF(TYPE($A188)=1,"",('NO USAR2'!$M186-D$1)/D$2)</f>
        <v>-0.2753399195</v>
      </c>
      <c r="E188" s="58">
        <f>IF(TYPE($A188)=1,"",('NO USAR2'!$N186-E$1)/E$2)</f>
        <v>-0.7314065472</v>
      </c>
      <c r="F188" s="58">
        <f>IF(TYPE($A188)=1,"",('NO USAR2'!$O186-F$1)/F$2)</f>
        <v>-0.9942890529</v>
      </c>
      <c r="G188" s="58">
        <f>IF(TYPE($A188)=1,"",('NO USAR2'!$P186-G$1)/G$2)</f>
        <v>-0.4064530313</v>
      </c>
      <c r="H188" s="58">
        <f>IF(TYPE($A188)=1,"",('NO USAR2'!$H186-H$1)/H$2*I188/$I$1)</f>
        <v>-0.5267940619</v>
      </c>
      <c r="I188" s="58">
        <f>IF(TYPE($A188)=1,"",IF('NO USAR2'!H186=0,0,'NO USAR2'!G186/'NO USAR2'!H186))</f>
        <v>8.5</v>
      </c>
      <c r="J188" s="59">
        <f>IF(TYPE($A188)=1,"",('NO USAR2'!$J186-J$1)/J$2*K188/$K$1)</f>
        <v>-0.07553722752</v>
      </c>
      <c r="K188" s="60">
        <f>IF(TYPE($A188)=1,"",IF('NO USAR2'!J186=0,0,'NO USAR2'!I186/'NO USAR2'!J186))</f>
        <v>1.8</v>
      </c>
      <c r="L188" s="58">
        <f>IF(TYPE($A188)=1,"",-('NO USAR2'!$Q186-L$1)/L$2)</f>
        <v>0.905885007</v>
      </c>
      <c r="N188" s="63">
        <v>168.0</v>
      </c>
      <c r="O188" s="68" t="str">
        <f>IF('NO USAR2'!B178="",ROW('NO USAR2'!B178),'NO USAR2'!B178)</f>
        <v>Tim Hardaway Jr.</v>
      </c>
      <c r="P188" s="68">
        <f>'NO USAR2'!E169</f>
        <v>68</v>
      </c>
      <c r="Q188" s="68" t="str">
        <f>IF('NO USAR2'!C178="",ROW('NO USAR2'!N193),'NO USAR2'!C178)</f>
        <v>SG/SF</v>
      </c>
      <c r="R188" s="65">
        <f>VLOOKUP($O188,'NO USAR1'!$A$4:$L$399,2,False)+VLOOKUP($O188,'NO USAR1'!$A$4:$L$399,3,False)+VLOOKUP($O188,'NO USAR1'!$A$4:$L$399,4,False)+VLOOKUP($O188,'NO USAR1'!$A$4:$L$399,5,False)+VLOOKUP($O188,'NO USAR1'!$A$4:$L$399,6,False)+VLOOKUP($O188,'NO USAR1'!$A$4:$L$399,7,False)+VLOOKUP($O188,'NO USAR1'!$A$4:$L$399,8,False)+VLOOKUP($O188,'NO USAR1'!$A$4:$L$399,10,False)+VLOOKUP($O188,'NO USAR1'!$A$4:$L$399,12,False)*0</f>
        <v>-4.011723959</v>
      </c>
      <c r="S188" s="65">
        <f>VLOOKUP($O188,'NO USAR1'!$A$4:$L$399,2,False)*$U$19+VLOOKUP($O188,'NO USAR1'!$A$4:$L$399,3,False)*$V$19+VLOOKUP($O188,'NO USAR1'!$A$4:$L$399,4,False)*$W$19+VLOOKUP($O188,'NO USAR1'!$A$4:$L$399,5,False)*$X$19+VLOOKUP($O188,'NO USAR1'!$A$4:$L$399,6,False)*$Y$19+VLOOKUP($O188,'NO USAR1'!$A$4:$L$399,7,False)*$Z$19+VLOOKUP($O188,'NO USAR1'!$A$4:$L$399,8,False)*$AA$19+VLOOKUP($O188,'NO USAR1'!$A$4:$L$399,10,False)*$AB$19+VLOOKUP($O188,'NO USAR1'!$A$4:$L$399,12,False)*$AC$19+IF(Projections!$K$3,-AN188, IF(Projections!$J$3,-AM188,0))</f>
        <v>-2.084143782</v>
      </c>
      <c r="T188" s="65">
        <f t="shared" si="1"/>
        <v>1.927580177</v>
      </c>
      <c r="U188" s="65">
        <f>VLOOKUP($O188,'NO USAR2'!$B$2:$R$397,11,False)</f>
        <v>15.1</v>
      </c>
      <c r="V188" s="69">
        <f>VLOOKUP($O188,'NO USAR2'!$B$2:$R$397,10,False)</f>
        <v>2.4</v>
      </c>
      <c r="W188" s="65">
        <f>VLOOKUP($O188,'NO USAR2'!$B$2:$R$397,12,False)</f>
        <v>3.7</v>
      </c>
      <c r="X188" s="65">
        <f>VLOOKUP($O188,'NO USAR2'!$B$2:$R$397,13,False)</f>
        <v>2.2</v>
      </c>
      <c r="Y188" s="65">
        <f>VLOOKUP($O188,'NO USAR2'!$B$2:$R$397,14,False)</f>
        <v>0.9</v>
      </c>
      <c r="Z188" s="70">
        <f>VLOOKUP($O188,'NO USAR2'!$B$2:$R$397,15,False)</f>
        <v>0.1</v>
      </c>
      <c r="AA188" s="65">
        <f>100*VLOOKUP($O188,'NO USAR2'!$B$2:$R$397,7,False)</f>
        <v>42.1875</v>
      </c>
      <c r="AB188" s="65">
        <f>100*VLOOKUP($O188,'NO USAR2'!$B$2:$R$397,9,False)</f>
        <v>76</v>
      </c>
      <c r="AC188" s="65">
        <f>VLOOKUP($O188,'NO USAR2'!$B$2:$Q$397,16,False)</f>
        <v>0.8</v>
      </c>
      <c r="AD188" s="65">
        <f>VLOOKUP($O188,'NO USAR1'!$A$4:$L$399,2,False)*$U$19</f>
        <v>-0.4934311903</v>
      </c>
      <c r="AE188" s="65">
        <f>VLOOKUP($O188,'NO USAR1'!$A$4:$L$399,3,False)*$V$19</f>
        <v>0.7865422277</v>
      </c>
      <c r="AF188" s="65">
        <f>VLOOKUP($O188,'NO USAR1'!$A$4:$L$399,4,False)*$W$19</f>
        <v>-0.9693061047</v>
      </c>
      <c r="AG188" s="65">
        <f>VLOOKUP($O188,'NO USAR1'!$A$4:$L$399,5,False)*$X$19</f>
        <v>-0.8571888629</v>
      </c>
      <c r="AH188" s="65">
        <f>VLOOKUP($O188,'NO USAR1'!$A$4:$L$399,6,False)*$Y$19</f>
        <v>-0.4252615982</v>
      </c>
      <c r="AI188" s="65">
        <f>VLOOKUP($O188,'NO USAR1'!$A$4:$L$399,7,False)*$Z$19</f>
        <v>0</v>
      </c>
      <c r="AJ188" s="65">
        <f>VLOOKUP($O188,'NO USAR1'!$A$4:$L$399,8,False)*$AA$19</f>
        <v>0</v>
      </c>
      <c r="AK188" s="70">
        <f>VLOOKUP($O188,'NO USAR1'!$A$4:$L$399,10,False)*$AB$19</f>
        <v>-0.1254982536</v>
      </c>
      <c r="AL188" s="65">
        <f>VLOOKUP($O188,'NO USAR1'!$A$4:$L$399,12,False)*$AC$19</f>
        <v>0</v>
      </c>
      <c r="AM188" s="71">
        <f t="shared" si="2"/>
        <v>-0.9693061047</v>
      </c>
      <c r="AN188" s="71">
        <f t="shared" si="3"/>
        <v>-1.826494968</v>
      </c>
    </row>
    <row r="189">
      <c r="A189" t="str">
        <f>IF('NO USAR2'!B187="",ROW('NO USAR2'!B187),'NO USAR2'!B187)</f>
        <v>Cameron Payne</v>
      </c>
      <c r="B189" s="58">
        <f>IF(TYPE($A189)=1,"",('NO USAR2'!$L187-B$1)/B$2)</f>
        <v>-1.07455171</v>
      </c>
      <c r="C189" s="58">
        <f>IF(TYPE($A189)=1,"",('NO USAR2'!$K187-C$1)/C$2)</f>
        <v>-0.4134044473</v>
      </c>
      <c r="D189" s="58">
        <f>IF(TYPE($A189)=1,"",('NO USAR2'!$M187-D$1)/D$2)</f>
        <v>-1.214235346</v>
      </c>
      <c r="E189" s="58">
        <f>IF(TYPE($A189)=1,"",('NO USAR2'!$N187-E$1)/E$2)</f>
        <v>0.4099798744</v>
      </c>
      <c r="F189" s="58">
        <f>IF(TYPE($A189)=1,"",('NO USAR2'!$O187-F$1)/F$2)</f>
        <v>-0.9942890529</v>
      </c>
      <c r="G189" s="58">
        <f>IF(TYPE($A189)=1,"",('NO USAR2'!$P187-G$1)/G$2)</f>
        <v>-0.8184360358</v>
      </c>
      <c r="H189" s="58">
        <f>IF(TYPE($A189)=1,"",('NO USAR2'!$H187-H$1)/H$2*I189/$I$1)</f>
        <v>-0.6838218039</v>
      </c>
      <c r="I189" s="58">
        <f>IF(TYPE($A189)=1,"",IF('NO USAR2'!H187=0,0,'NO USAR2'!G187/'NO USAR2'!H187))</f>
        <v>9.8</v>
      </c>
      <c r="J189" s="59">
        <f>IF(TYPE($A189)=1,"",('NO USAR2'!$J187-J$1)/J$2*K189/$K$1)</f>
        <v>0.3753033841</v>
      </c>
      <c r="K189" s="60">
        <f>IF(TYPE($A189)=1,"",IF('NO USAR2'!J187=0,0,'NO USAR2'!I187/'NO USAR2'!J187))</f>
        <v>1.5</v>
      </c>
      <c r="L189" s="58">
        <f>IF(TYPE($A189)=1,"",-('NO USAR2'!$Q187-L$1)/L$2)</f>
        <v>0.2436926961</v>
      </c>
      <c r="N189" s="63">
        <v>169.0</v>
      </c>
      <c r="O189" s="68" t="str">
        <f>IF('NO USAR2'!B177="",ROW('NO USAR2'!B177),'NO USAR2'!B177)</f>
        <v>Kevin Love</v>
      </c>
      <c r="P189" s="68">
        <f>'NO USAR2'!E170</f>
        <v>68</v>
      </c>
      <c r="Q189" s="68" t="str">
        <f>IF('NO USAR2'!C177="",ROW('NO USAR2'!N192),'NO USAR2'!C177)</f>
        <v>PF</v>
      </c>
      <c r="R189" s="65">
        <f>VLOOKUP($O189,'NO USAR1'!$A$4:$L$399,2,False)+VLOOKUP($O189,'NO USAR1'!$A$4:$L$399,3,False)+VLOOKUP($O189,'NO USAR1'!$A$4:$L$399,4,False)+VLOOKUP($O189,'NO USAR1'!$A$4:$L$399,5,False)+VLOOKUP($O189,'NO USAR1'!$A$4:$L$399,6,False)+VLOOKUP($O189,'NO USAR1'!$A$4:$L$399,7,False)+VLOOKUP($O189,'NO USAR1'!$A$4:$L$399,8,False)+VLOOKUP($O189,'NO USAR1'!$A$4:$L$399,10,False)+VLOOKUP($O189,'NO USAR1'!$A$4:$L$399,12,False)*0</f>
        <v>-4.014423521</v>
      </c>
      <c r="S189" s="65">
        <f>VLOOKUP($O189,'NO USAR1'!$A$4:$L$399,2,False)*$U$19+VLOOKUP($O189,'NO USAR1'!$A$4:$L$399,3,False)*$V$19+VLOOKUP($O189,'NO USAR1'!$A$4:$L$399,4,False)*$W$19+VLOOKUP($O189,'NO USAR1'!$A$4:$L$399,5,False)*$X$19+VLOOKUP($O189,'NO USAR1'!$A$4:$L$399,6,False)*$Y$19+VLOOKUP($O189,'NO USAR1'!$A$4:$L$399,7,False)*$Z$19+VLOOKUP($O189,'NO USAR1'!$A$4:$L$399,8,False)*$AA$19+VLOOKUP($O189,'NO USAR1'!$A$4:$L$399,10,False)*$AB$19+VLOOKUP($O189,'NO USAR1'!$A$4:$L$399,12,False)*$AC$19+IF(Projections!$K$3,-AN189, IF(Projections!$J$3,-AM189,0))</f>
        <v>-3.636413035</v>
      </c>
      <c r="T189" s="65">
        <f t="shared" si="1"/>
        <v>0.3780104853</v>
      </c>
      <c r="U189" s="65">
        <f>VLOOKUP($O189,'NO USAR2'!$B$2:$R$397,11,False)</f>
        <v>12.2</v>
      </c>
      <c r="V189" s="69">
        <f>VLOOKUP($O189,'NO USAR2'!$B$2:$R$397,10,False)</f>
        <v>2.3</v>
      </c>
      <c r="W189" s="65">
        <f>VLOOKUP($O189,'NO USAR2'!$B$2:$R$397,12,False)</f>
        <v>6.6</v>
      </c>
      <c r="X189" s="65">
        <f>VLOOKUP($O189,'NO USAR2'!$B$2:$R$397,13,False)</f>
        <v>2</v>
      </c>
      <c r="Y189" s="65">
        <f>VLOOKUP($O189,'NO USAR2'!$B$2:$R$397,14,False)</f>
        <v>0.4</v>
      </c>
      <c r="Z189" s="70">
        <f>VLOOKUP($O189,'NO USAR2'!$B$2:$R$397,15,False)</f>
        <v>0.2</v>
      </c>
      <c r="AA189" s="65">
        <f>100*VLOOKUP($O189,'NO USAR2'!$B$2:$R$397,7,False)</f>
        <v>43.01075269</v>
      </c>
      <c r="AB189" s="65">
        <f>100*VLOOKUP($O189,'NO USAR2'!$B$2:$R$397,9,False)</f>
        <v>83.33333333</v>
      </c>
      <c r="AC189" s="65">
        <f>VLOOKUP($O189,'NO USAR2'!$B$2:$Q$397,16,False)</f>
        <v>1.2</v>
      </c>
      <c r="AD189" s="65">
        <f>VLOOKUP($O189,'NO USAR1'!$A$4:$L$399,2,False)*$U$19</f>
        <v>-1.265657258</v>
      </c>
      <c r="AE189" s="65">
        <f>VLOOKUP($O189,'NO USAR1'!$A$4:$L$399,3,False)*$V$19</f>
        <v>0.6865466715</v>
      </c>
      <c r="AF189" s="65">
        <f>VLOOKUP($O189,'NO USAR1'!$A$4:$L$399,4,False)*$W$19</f>
        <v>0.2145185641</v>
      </c>
      <c r="AG189" s="65">
        <f>VLOOKUP($O189,'NO USAR1'!$A$4:$L$399,5,False)*$X$19</f>
        <v>-0.9713275051</v>
      </c>
      <c r="AH189" s="65">
        <f>VLOOKUP($O189,'NO USAR1'!$A$4:$L$399,6,False)*$Y$19</f>
        <v>-2.469260893</v>
      </c>
      <c r="AI189" s="65">
        <f>VLOOKUP($O189,'NO USAR1'!$A$4:$L$399,7,False)*$Z$19</f>
        <v>0</v>
      </c>
      <c r="AJ189" s="65">
        <f>VLOOKUP($O189,'NO USAR1'!$A$4:$L$399,8,False)*$AA$19</f>
        <v>0</v>
      </c>
      <c r="AK189" s="70">
        <f>VLOOKUP($O189,'NO USAR1'!$A$4:$L$399,10,False)*$AB$19</f>
        <v>0.1687673852</v>
      </c>
      <c r="AL189" s="65">
        <f>VLOOKUP($O189,'NO USAR1'!$A$4:$L$399,12,False)*$AC$19</f>
        <v>0</v>
      </c>
      <c r="AM189" s="71">
        <f t="shared" si="2"/>
        <v>-2.469260893</v>
      </c>
      <c r="AN189" s="71">
        <f t="shared" si="3"/>
        <v>-3.734918151</v>
      </c>
    </row>
    <row r="190">
      <c r="A190" t="str">
        <f>IF('NO USAR2'!B188="",ROW('NO USAR2'!B188),'NO USAR2'!B188)</f>
        <v>Bennedict Mathurin</v>
      </c>
      <c r="B190" s="58">
        <f>IF(TYPE($A190)=1,"",('NO USAR2'!$L188-B$1)/B$2)</f>
        <v>-0.3112018034</v>
      </c>
      <c r="C190" s="58">
        <f>IF(TYPE($A190)=1,"",('NO USAR2'!$K188-C$1)/C$2)</f>
        <v>0.2865644464</v>
      </c>
      <c r="D190" s="58">
        <f>IF(TYPE($A190)=1,"",('NO USAR2'!$M188-D$1)/D$2)</f>
        <v>-1.010127645</v>
      </c>
      <c r="E190" s="58">
        <f>IF(TYPE($A190)=1,"",('NO USAR2'!$N188-E$1)/E$2)</f>
        <v>-0.8683729178</v>
      </c>
      <c r="F190" s="58">
        <f>IF(TYPE($A190)=1,"",('NO USAR2'!$O188-F$1)/F$2)</f>
        <v>-0.6672491657</v>
      </c>
      <c r="G190" s="58">
        <f>IF(TYPE($A190)=1,"",('NO USAR2'!$P188-G$1)/G$2)</f>
        <v>-0.8184360358</v>
      </c>
      <c r="H190" s="58">
        <f>IF(TYPE($A190)=1,"",('NO USAR2'!$H188-H$1)/H$2*I190/$I$1)</f>
        <v>-0.5903757716</v>
      </c>
      <c r="I190" s="58">
        <f>IF(TYPE($A190)=1,"",IF('NO USAR2'!H188=0,0,'NO USAR2'!G188/'NO USAR2'!H188))</f>
        <v>12.5</v>
      </c>
      <c r="J190" s="59">
        <f>IF(TYPE($A190)=1,"",('NO USAR2'!$J188-J$1)/J$2*K190/$K$1)</f>
        <v>-0.04446050831</v>
      </c>
      <c r="K190" s="60">
        <f>IF(TYPE($A190)=1,"",IF('NO USAR2'!J188=0,0,'NO USAR2'!I188/'NO USAR2'!J188))</f>
        <v>2.8</v>
      </c>
      <c r="L190" s="58">
        <f>IF(TYPE($A190)=1,"",-('NO USAR2'!$Q188-L$1)/L$2)</f>
        <v>0.4644234664</v>
      </c>
      <c r="N190" s="2">
        <v>170.0</v>
      </c>
      <c r="O190" s="68" t="str">
        <f>IF('NO USAR2'!B188="",ROW('NO USAR2'!B188),'NO USAR2'!B188)</f>
        <v>Bennedict Mathurin</v>
      </c>
      <c r="P190" s="68">
        <f>'NO USAR2'!E171</f>
        <v>77</v>
      </c>
      <c r="Q190" s="68" t="str">
        <f>IF('NO USAR2'!C188="",ROW('NO USAR2'!N203),'NO USAR2'!C188)</f>
        <v>SF</v>
      </c>
      <c r="R190" s="65">
        <f>VLOOKUP($O190,'NO USAR1'!$A$4:$L$399,2,False)+VLOOKUP($O190,'NO USAR1'!$A$4:$L$399,3,False)+VLOOKUP($O190,'NO USAR1'!$A$4:$L$399,4,False)+VLOOKUP($O190,'NO USAR1'!$A$4:$L$399,5,False)+VLOOKUP($O190,'NO USAR1'!$A$4:$L$399,6,False)+VLOOKUP($O190,'NO USAR1'!$A$4:$L$399,7,False)+VLOOKUP($O190,'NO USAR1'!$A$4:$L$399,8,False)+VLOOKUP($O190,'NO USAR1'!$A$4:$L$399,10,False)+VLOOKUP($O190,'NO USAR1'!$A$4:$L$399,12,False)*0</f>
        <v>-4.023659401</v>
      </c>
      <c r="S190" s="65">
        <f>VLOOKUP($O190,'NO USAR1'!$A$4:$L$399,2,False)*$U$19+VLOOKUP($O190,'NO USAR1'!$A$4:$L$399,3,False)*$V$19+VLOOKUP($O190,'NO USAR1'!$A$4:$L$399,4,False)*$W$19+VLOOKUP($O190,'NO USAR1'!$A$4:$L$399,5,False)*$X$19+VLOOKUP($O190,'NO USAR1'!$A$4:$L$399,6,False)*$Y$19+VLOOKUP($O190,'NO USAR1'!$A$4:$L$399,7,False)*$Z$19+VLOOKUP($O190,'NO USAR1'!$A$4:$L$399,8,False)*$AA$19+VLOOKUP($O190,'NO USAR1'!$A$4:$L$399,10,False)*$AB$19+VLOOKUP($O190,'NO USAR1'!$A$4:$L$399,12,False)*$AC$19+IF(Projections!$K$3,-AN190, IF(Projections!$J$3,-AM190,0))</f>
        <v>-3.132123762</v>
      </c>
      <c r="T190" s="65">
        <f t="shared" si="1"/>
        <v>0.891535639</v>
      </c>
      <c r="U190" s="65">
        <f>VLOOKUP($O190,'NO USAR2'!$B$2:$R$397,11,False)</f>
        <v>15.2</v>
      </c>
      <c r="V190" s="69">
        <f>VLOOKUP($O190,'NO USAR2'!$B$2:$R$397,10,False)</f>
        <v>1.9</v>
      </c>
      <c r="W190" s="65">
        <f>VLOOKUP($O190,'NO USAR2'!$B$2:$R$397,12,False)</f>
        <v>3.6</v>
      </c>
      <c r="X190" s="65">
        <f>VLOOKUP($O190,'NO USAR2'!$B$2:$R$397,13,False)</f>
        <v>1.8</v>
      </c>
      <c r="Y190" s="65">
        <f>VLOOKUP($O190,'NO USAR2'!$B$2:$R$397,14,False)</f>
        <v>0.8</v>
      </c>
      <c r="Z190" s="70">
        <f>VLOOKUP($O190,'NO USAR2'!$B$2:$R$397,15,False)</f>
        <v>0.3</v>
      </c>
      <c r="AA190" s="65">
        <f>100*VLOOKUP($O190,'NO USAR2'!$B$2:$R$397,7,False)</f>
        <v>44.8</v>
      </c>
      <c r="AB190" s="65">
        <f>100*VLOOKUP($O190,'NO USAR2'!$B$2:$R$397,9,False)</f>
        <v>78.57142857</v>
      </c>
      <c r="AC190" s="65">
        <f>VLOOKUP($O190,'NO USAR2'!$B$2:$Q$397,16,False)</f>
        <v>1.6</v>
      </c>
      <c r="AD190" s="65">
        <f>VLOOKUP($O190,'NO USAR1'!$A$4:$L$399,2,False)*$U$19</f>
        <v>-0.4668027052</v>
      </c>
      <c r="AE190" s="65">
        <f>VLOOKUP($O190,'NO USAR1'!$A$4:$L$399,3,False)*$V$19</f>
        <v>0.2865644464</v>
      </c>
      <c r="AF190" s="65">
        <f>VLOOKUP($O190,'NO USAR1'!$A$4:$L$399,4,False)*$W$19</f>
        <v>-1.010127645</v>
      </c>
      <c r="AG190" s="65">
        <f>VLOOKUP($O190,'NO USAR1'!$A$4:$L$399,5,False)*$X$19</f>
        <v>-1.085466147</v>
      </c>
      <c r="AH190" s="65">
        <f>VLOOKUP($O190,'NO USAR1'!$A$4:$L$399,6,False)*$Y$19</f>
        <v>-0.8340614572</v>
      </c>
      <c r="AI190" s="65">
        <f>VLOOKUP($O190,'NO USAR1'!$A$4:$L$399,7,False)*$Z$19</f>
        <v>0</v>
      </c>
      <c r="AJ190" s="65">
        <f>VLOOKUP($O190,'NO USAR1'!$A$4:$L$399,8,False)*$AA$19</f>
        <v>0</v>
      </c>
      <c r="AK190" s="70">
        <f>VLOOKUP($O190,'NO USAR1'!$A$4:$L$399,10,False)*$AB$19</f>
        <v>-0.02223025415</v>
      </c>
      <c r="AL190" s="65">
        <f>VLOOKUP($O190,'NO USAR1'!$A$4:$L$399,12,False)*$AC$19</f>
        <v>0</v>
      </c>
      <c r="AM190" s="71">
        <f t="shared" si="2"/>
        <v>-1.085466147</v>
      </c>
      <c r="AN190" s="71">
        <f t="shared" si="3"/>
        <v>-2.095593792</v>
      </c>
    </row>
    <row r="191">
      <c r="A191" t="str">
        <f>IF('NO USAR2'!B189="",ROW('NO USAR2'!B189),'NO USAR2'!B189)</f>
        <v>Jaxson Hayes</v>
      </c>
      <c r="B191" s="58">
        <f>IF(TYPE($A191)=1,"",('NO USAR2'!$L189-B$1)/B$2)</f>
        <v>-1.429598177</v>
      </c>
      <c r="C191" s="58">
        <f>IF(TYPE($A191)=1,"",('NO USAR2'!$K189-C$1)/C$2)</f>
        <v>-1.313364454</v>
      </c>
      <c r="D191" s="58">
        <f>IF(TYPE($A191)=1,"",('NO USAR2'!$M189-D$1)/D$2)</f>
        <v>-0.6835553225</v>
      </c>
      <c r="E191" s="58">
        <f>IF(TYPE($A191)=1,"",('NO USAR2'!$N189-E$1)/E$2)</f>
        <v>-1.4162384</v>
      </c>
      <c r="F191" s="58">
        <f>IF(TYPE($A191)=1,"",('NO USAR2'!$O189-F$1)/F$2)</f>
        <v>-1.648368827</v>
      </c>
      <c r="G191" s="58">
        <f>IF(TYPE($A191)=1,"",('NO USAR2'!$P189-G$1)/G$2)</f>
        <v>0.2115214755</v>
      </c>
      <c r="H191" s="58">
        <f>IF(TYPE($A191)=1,"",('NO USAR2'!$H189-H$1)/H$2*I191/$I$1)</f>
        <v>0.7697866946</v>
      </c>
      <c r="I191" s="58">
        <f>IF(TYPE($A191)=1,"",IF('NO USAR2'!H189=0,0,'NO USAR2'!G189/'NO USAR2'!H189))</f>
        <v>5.6</v>
      </c>
      <c r="J191" s="59">
        <f>IF(TYPE($A191)=1,"",('NO USAR2'!$J189-J$1)/J$2*K191/$K$1)</f>
        <v>-0.05999886791</v>
      </c>
      <c r="K191" s="60">
        <f>IF(TYPE($A191)=1,"",IF('NO USAR2'!J189=0,0,'NO USAR2'!I189/'NO USAR2'!J189))</f>
        <v>2.3</v>
      </c>
      <c r="L191" s="58">
        <f>IF(TYPE($A191)=1,"",-('NO USAR2'!$Q189-L$1)/L$2)</f>
        <v>1.347346548</v>
      </c>
      <c r="N191" s="63">
        <v>171.0</v>
      </c>
      <c r="O191" s="68" t="str">
        <f>IF('NO USAR2'!B134="",ROW('NO USAR2'!B134),'NO USAR2'!B134)</f>
        <v>Richaun Holmes</v>
      </c>
      <c r="P191" s="68">
        <f>'NO USAR2'!E172</f>
        <v>64</v>
      </c>
      <c r="Q191" s="68" t="str">
        <f>IF('NO USAR2'!C134="",ROW('NO USAR2'!N149),'NO USAR2'!C134)</f>
        <v>PF/C</v>
      </c>
      <c r="R191" s="65">
        <f>VLOOKUP($O191,'NO USAR1'!$A$4:$L$399,2,False)+VLOOKUP($O191,'NO USAR1'!$A$4:$L$399,3,False)+VLOOKUP($O191,'NO USAR1'!$A$4:$L$399,4,False)+VLOOKUP($O191,'NO USAR1'!$A$4:$L$399,5,False)+VLOOKUP($O191,'NO USAR1'!$A$4:$L$399,6,False)+VLOOKUP($O191,'NO USAR1'!$A$4:$L$399,7,False)+VLOOKUP($O191,'NO USAR1'!$A$4:$L$399,8,False)+VLOOKUP($O191,'NO USAR1'!$A$4:$L$399,10,False)+VLOOKUP($O191,'NO USAR1'!$A$4:$L$399,12,False)*0</f>
        <v>-4.041045475</v>
      </c>
      <c r="S191" s="65">
        <f>VLOOKUP($O191,'NO USAR1'!$A$4:$L$399,2,False)*$U$19+VLOOKUP($O191,'NO USAR1'!$A$4:$L$399,3,False)*$V$19+VLOOKUP($O191,'NO USAR1'!$A$4:$L$399,4,False)*$W$19+VLOOKUP($O191,'NO USAR1'!$A$4:$L$399,5,False)*$X$19+VLOOKUP($O191,'NO USAR1'!$A$4:$L$399,6,False)*$Y$19+VLOOKUP($O191,'NO USAR1'!$A$4:$L$399,7,False)*$Z$19+VLOOKUP($O191,'NO USAR1'!$A$4:$L$399,8,False)*$AA$19+VLOOKUP($O191,'NO USAR1'!$A$4:$L$399,10,False)*$AB$19+VLOOKUP($O191,'NO USAR1'!$A$4:$L$399,12,False)*$AC$19+IF(Projections!$K$3,-AN191, IF(Projections!$J$3,-AM191,0))</f>
        <v>-7.167053183</v>
      </c>
      <c r="T191" s="65">
        <f t="shared" si="1"/>
        <v>-3.126007708</v>
      </c>
      <c r="U191" s="65">
        <f>VLOOKUP($O191,'NO USAR2'!$B$2:$R$397,11,False)</f>
        <v>10</v>
      </c>
      <c r="V191" s="69">
        <f>VLOOKUP($O191,'NO USAR2'!$B$2:$R$397,10,False)</f>
        <v>0</v>
      </c>
      <c r="W191" s="65">
        <f>VLOOKUP($O191,'NO USAR2'!$B$2:$R$397,12,False)</f>
        <v>6.7</v>
      </c>
      <c r="X191" s="65">
        <f>VLOOKUP($O191,'NO USAR2'!$B$2:$R$397,13,False)</f>
        <v>1.1</v>
      </c>
      <c r="Y191" s="65">
        <f>VLOOKUP($O191,'NO USAR2'!$B$2:$R$397,14,False)</f>
        <v>0.4</v>
      </c>
      <c r="Z191" s="70">
        <f>VLOOKUP($O191,'NO USAR2'!$B$2:$R$397,15,False)</f>
        <v>0.9</v>
      </c>
      <c r="AA191" s="65">
        <f>100*VLOOKUP($O191,'NO USAR2'!$B$2:$R$397,7,False)</f>
        <v>66.15384615</v>
      </c>
      <c r="AB191" s="65">
        <f>100*VLOOKUP($O191,'NO USAR2'!$B$2:$R$397,9,False)</f>
        <v>78.94736842</v>
      </c>
      <c r="AC191" s="65">
        <f>VLOOKUP($O191,'NO USAR2'!$B$2:$Q$397,16,False)</f>
        <v>1.2</v>
      </c>
      <c r="AD191" s="65">
        <f>VLOOKUP($O191,'NO USAR1'!$A$4:$L$399,2,False)*$U$19</f>
        <v>-1.85148393</v>
      </c>
      <c r="AE191" s="65">
        <f>VLOOKUP($O191,'NO USAR1'!$A$4:$L$399,3,False)*$V$19</f>
        <v>-1.613351122</v>
      </c>
      <c r="AF191" s="65">
        <f>VLOOKUP($O191,'NO USAR1'!$A$4:$L$399,4,False)*$W$19</f>
        <v>0.2553401045</v>
      </c>
      <c r="AG191" s="65">
        <f>VLOOKUP($O191,'NO USAR1'!$A$4:$L$399,5,False)*$X$19</f>
        <v>-1.484951395</v>
      </c>
      <c r="AH191" s="65">
        <f>VLOOKUP($O191,'NO USAR1'!$A$4:$L$399,6,False)*$Y$19</f>
        <v>-2.469260893</v>
      </c>
      <c r="AI191" s="65">
        <f>VLOOKUP($O191,'NO USAR1'!$A$4:$L$399,7,False)*$Z$19</f>
        <v>0</v>
      </c>
      <c r="AJ191" s="65">
        <f>VLOOKUP($O191,'NO USAR1'!$A$4:$L$399,8,False)*$AA$19</f>
        <v>0</v>
      </c>
      <c r="AK191" s="70">
        <f>VLOOKUP($O191,'NO USAR1'!$A$4:$L$399,10,False)*$AB$19</f>
        <v>-0.003345947273</v>
      </c>
      <c r="AL191" s="65">
        <f>VLOOKUP($O191,'NO USAR1'!$A$4:$L$399,12,False)*$AC$19</f>
        <v>0</v>
      </c>
      <c r="AM191" s="71">
        <f t="shared" si="2"/>
        <v>-2.469260893</v>
      </c>
      <c r="AN191" s="71">
        <f t="shared" si="3"/>
        <v>-4.320744823</v>
      </c>
    </row>
    <row r="192">
      <c r="A192" t="str">
        <f>IF('NO USAR2'!B190="",ROW('NO USAR2'!B190),'NO USAR2'!B190)</f>
        <v>Jordan Clarkson</v>
      </c>
      <c r="B192" s="58">
        <f>IF(TYPE($A192)=1,"",('NO USAR2'!$L190-B$1)/B$2)</f>
        <v>-0.3467064502</v>
      </c>
      <c r="C192" s="58">
        <f>IF(TYPE($A192)=1,"",('NO USAR2'!$K190-C$1)/C$2)</f>
        <v>0.6865466715</v>
      </c>
      <c r="D192" s="58">
        <f>IF(TYPE($A192)=1,"",('NO USAR2'!$M190-D$1)/D$2)</f>
        <v>-1.173413806</v>
      </c>
      <c r="E192" s="58">
        <f>IF(TYPE($A192)=1,"",('NO USAR2'!$N190-E$1)/E$2)</f>
        <v>-0.6400956335</v>
      </c>
      <c r="F192" s="58">
        <f>IF(TYPE($A192)=1,"",('NO USAR2'!$O190-F$1)/F$2)</f>
        <v>-0.6672491657</v>
      </c>
      <c r="G192" s="58">
        <f>IF(TYPE($A192)=1,"",('NO USAR2'!$P190-G$1)/G$2)</f>
        <v>-1.024427538</v>
      </c>
      <c r="H192" s="58">
        <f>IF(TYPE($A192)=1,"",('NO USAR2'!$H190-H$1)/H$2*I192/$I$1)</f>
        <v>-1.103436991</v>
      </c>
      <c r="I192" s="58">
        <f>IF(TYPE($A192)=1,"",IF('NO USAR2'!H190=0,0,'NO USAR2'!G190/'NO USAR2'!H190))</f>
        <v>13.2</v>
      </c>
      <c r="J192" s="59">
        <f>IF(TYPE($A192)=1,"",('NO USAR2'!$J190-J$1)/J$2*K192/$K$1)</f>
        <v>0.1309987714</v>
      </c>
      <c r="K192" s="60">
        <f>IF(TYPE($A192)=1,"",IF('NO USAR2'!J190=0,0,'NO USAR2'!I190/'NO USAR2'!J190))</f>
        <v>2.1</v>
      </c>
      <c r="L192" s="58">
        <f>IF(TYPE($A192)=1,"",-('NO USAR2'!$Q190-L$1)/L$2)</f>
        <v>0.5747888516</v>
      </c>
      <c r="N192" s="63">
        <v>172.0</v>
      </c>
      <c r="O192" s="68" t="str">
        <f>IF('NO USAR2'!B163="",ROW('NO USAR2'!B163),'NO USAR2'!B163)</f>
        <v>Jonathan Isaac</v>
      </c>
      <c r="P192" s="68">
        <f>'NO USAR2'!E173</f>
        <v>70</v>
      </c>
      <c r="Q192" s="68" t="str">
        <f>IF('NO USAR2'!C163="",ROW('NO USAR2'!N178),'NO USAR2'!C163)</f>
        <v>SF/PF</v>
      </c>
      <c r="R192" s="65">
        <f>VLOOKUP($O192,'NO USAR1'!$A$4:$L$399,2,False)+VLOOKUP($O192,'NO USAR1'!$A$4:$L$399,3,False)+VLOOKUP($O192,'NO USAR1'!$A$4:$L$399,4,False)+VLOOKUP($O192,'NO USAR1'!$A$4:$L$399,5,False)+VLOOKUP($O192,'NO USAR1'!$A$4:$L$399,6,False)+VLOOKUP($O192,'NO USAR1'!$A$4:$L$399,7,False)+VLOOKUP($O192,'NO USAR1'!$A$4:$L$399,8,False)+VLOOKUP($O192,'NO USAR1'!$A$4:$L$399,10,False)+VLOOKUP($O192,'NO USAR1'!$A$4:$L$399,12,False)*0</f>
        <v>-4.049637275</v>
      </c>
      <c r="S192" s="65">
        <f>VLOOKUP($O192,'NO USAR1'!$A$4:$L$399,2,False)*$U$19+VLOOKUP($O192,'NO USAR1'!$A$4:$L$399,3,False)*$V$19+VLOOKUP($O192,'NO USAR1'!$A$4:$L$399,4,False)*$W$19+VLOOKUP($O192,'NO USAR1'!$A$4:$L$399,5,False)*$X$19+VLOOKUP($O192,'NO USAR1'!$A$4:$L$399,6,False)*$Y$19+VLOOKUP($O192,'NO USAR1'!$A$4:$L$399,7,False)*$Z$19+VLOOKUP($O192,'NO USAR1'!$A$4:$L$399,8,False)*$AA$19+VLOOKUP($O192,'NO USAR1'!$A$4:$L$399,10,False)*$AB$19+VLOOKUP($O192,'NO USAR1'!$A$4:$L$399,12,False)*$AC$19+IF(Projections!$K$3,-AN192, IF(Projections!$J$3,-AM192,0))</f>
        <v>-5.918110258</v>
      </c>
      <c r="T192" s="65">
        <f t="shared" si="1"/>
        <v>-1.868472983</v>
      </c>
      <c r="U192" s="65">
        <f>VLOOKUP($O192,'NO USAR2'!$B$2:$R$397,11,False)</f>
        <v>8.3</v>
      </c>
      <c r="V192" s="69">
        <f>VLOOKUP($O192,'NO USAR2'!$B$2:$R$397,10,False)</f>
        <v>0.6</v>
      </c>
      <c r="W192" s="65">
        <f>VLOOKUP($O192,'NO USAR2'!$B$2:$R$397,12,False)</f>
        <v>4.7</v>
      </c>
      <c r="X192" s="65">
        <f>VLOOKUP($O192,'NO USAR2'!$B$2:$R$397,13,False)</f>
        <v>1</v>
      </c>
      <c r="Y192" s="65">
        <f>VLOOKUP($O192,'NO USAR2'!$B$2:$R$397,14,False)</f>
        <v>0.9</v>
      </c>
      <c r="Z192" s="70">
        <f>VLOOKUP($O192,'NO USAR2'!$B$2:$R$397,15,False)</f>
        <v>1.2</v>
      </c>
      <c r="AA192" s="65">
        <f>100*VLOOKUP($O192,'NO USAR2'!$B$2:$R$397,7,False)</f>
        <v>45.71428571</v>
      </c>
      <c r="AB192" s="65">
        <f>100*VLOOKUP($O192,'NO USAR2'!$B$2:$R$397,9,False)</f>
        <v>76.47058824</v>
      </c>
      <c r="AC192" s="65">
        <f>VLOOKUP($O192,'NO USAR2'!$B$2:$Q$397,16,False)</f>
        <v>1</v>
      </c>
      <c r="AD192" s="65">
        <f>VLOOKUP($O192,'NO USAR1'!$A$4:$L$399,2,False)*$U$19</f>
        <v>-2.304168177</v>
      </c>
      <c r="AE192" s="65">
        <f>VLOOKUP($O192,'NO USAR1'!$A$4:$L$399,3,False)*$V$19</f>
        <v>-1.013377785</v>
      </c>
      <c r="AF192" s="65">
        <f>VLOOKUP($O192,'NO USAR1'!$A$4:$L$399,4,False)*$W$19</f>
        <v>-0.5610907016</v>
      </c>
      <c r="AG192" s="65">
        <f>VLOOKUP($O192,'NO USAR1'!$A$4:$L$399,5,False)*$X$19</f>
        <v>-1.542020716</v>
      </c>
      <c r="AH192" s="65">
        <f>VLOOKUP($O192,'NO USAR1'!$A$4:$L$399,6,False)*$Y$19</f>
        <v>-0.4252615982</v>
      </c>
      <c r="AI192" s="65">
        <f>VLOOKUP($O192,'NO USAR1'!$A$4:$L$399,7,False)*$Z$19</f>
        <v>0</v>
      </c>
      <c r="AJ192" s="65">
        <f>VLOOKUP($O192,'NO USAR1'!$A$4:$L$399,8,False)*$AA$19</f>
        <v>0</v>
      </c>
      <c r="AK192" s="70">
        <f>VLOOKUP($O192,'NO USAR1'!$A$4:$L$399,10,False)*$AB$19</f>
        <v>-0.07219128025</v>
      </c>
      <c r="AL192" s="65">
        <f>VLOOKUP($O192,'NO USAR1'!$A$4:$L$399,12,False)*$AC$19</f>
        <v>0</v>
      </c>
      <c r="AM192" s="71">
        <f t="shared" si="2"/>
        <v>-2.304168177</v>
      </c>
      <c r="AN192" s="71">
        <f t="shared" si="3"/>
        <v>-3.846188893</v>
      </c>
    </row>
    <row r="193">
      <c r="A193" t="str">
        <f>IF('NO USAR2'!B191="",ROW('NO USAR2'!B191),'NO USAR2'!B191)</f>
        <v>Talen Horton-Tucker</v>
      </c>
      <c r="B193" s="58">
        <f>IF(TYPE($A193)=1,"",('NO USAR2'!$L191-B$1)/B$2)</f>
        <v>-1.216570297</v>
      </c>
      <c r="C193" s="58">
        <f>IF(TYPE($A193)=1,"",('NO USAR2'!$K191-C$1)/C$2)</f>
        <v>-0.8133866724</v>
      </c>
      <c r="D193" s="58">
        <f>IF(TYPE($A193)=1,"",('NO USAR2'!$M191-D$1)/D$2)</f>
        <v>-1.132592266</v>
      </c>
      <c r="E193" s="58">
        <f>IF(TYPE($A193)=1,"",('NO USAR2'!$N191-E$1)/E$2)</f>
        <v>-0.4118183492</v>
      </c>
      <c r="F193" s="58">
        <f>IF(TYPE($A193)=1,"",('NO USAR2'!$O191-F$1)/F$2)</f>
        <v>-0.01316939143</v>
      </c>
      <c r="G193" s="58">
        <f>IF(TYPE($A193)=1,"",('NO USAR2'!$P191-G$1)/G$2)</f>
        <v>-0.4064530313</v>
      </c>
      <c r="H193" s="58">
        <f>IF(TYPE($A193)=1,"",('NO USAR2'!$H191-H$1)/H$2*I193/$I$1)</f>
        <v>-0.5808857256</v>
      </c>
      <c r="I193" s="58">
        <f>IF(TYPE($A193)=1,"",IF('NO USAR2'!H191=0,0,'NO USAR2'!G191/'NO USAR2'!H191))</f>
        <v>8.8</v>
      </c>
      <c r="J193" s="59">
        <f>IF(TYPE($A193)=1,"",('NO USAR2'!$J191-J$1)/J$2*K193/$K$1)</f>
        <v>0.1309987714</v>
      </c>
      <c r="K193" s="60">
        <f>IF(TYPE($A193)=1,"",IF('NO USAR2'!J191=0,0,'NO USAR2'!I191/'NO USAR2'!J191))</f>
        <v>2.1</v>
      </c>
      <c r="L193" s="58">
        <f>IF(TYPE($A193)=1,"",-('NO USAR2'!$Q191-L$1)/L$2)</f>
        <v>0.6851542367</v>
      </c>
      <c r="N193" s="2">
        <v>173.0</v>
      </c>
      <c r="O193" s="68" t="str">
        <f>IF('NO USAR2'!B171="",ROW('NO USAR2'!B171),'NO USAR2'!B171)</f>
        <v>Immanuel Quickley</v>
      </c>
      <c r="P193" s="68">
        <f>'NO USAR2'!E174</f>
        <v>76</v>
      </c>
      <c r="Q193" s="68" t="str">
        <f>IF('NO USAR2'!C171="",ROW('NO USAR2'!N186),'NO USAR2'!C171)</f>
        <v>PG</v>
      </c>
      <c r="R193" s="65">
        <f>VLOOKUP($O193,'NO USAR1'!$A$4:$L$399,2,False)+VLOOKUP($O193,'NO USAR1'!$A$4:$L$399,3,False)+VLOOKUP($O193,'NO USAR1'!$A$4:$L$399,4,False)+VLOOKUP($O193,'NO USAR1'!$A$4:$L$399,5,False)+VLOOKUP($O193,'NO USAR1'!$A$4:$L$399,6,False)+VLOOKUP($O193,'NO USAR1'!$A$4:$L$399,7,False)+VLOOKUP($O193,'NO USAR1'!$A$4:$L$399,8,False)+VLOOKUP($O193,'NO USAR1'!$A$4:$L$399,10,False)+VLOOKUP($O193,'NO USAR1'!$A$4:$L$399,12,False)*0</f>
        <v>-4.079061846</v>
      </c>
      <c r="S193" s="65">
        <f>VLOOKUP($O193,'NO USAR1'!$A$4:$L$399,2,False)*$U$19+VLOOKUP($O193,'NO USAR1'!$A$4:$L$399,3,False)*$V$19+VLOOKUP($O193,'NO USAR1'!$A$4:$L$399,4,False)*$W$19+VLOOKUP($O193,'NO USAR1'!$A$4:$L$399,5,False)*$X$19+VLOOKUP($O193,'NO USAR1'!$A$4:$L$399,6,False)*$Y$19+VLOOKUP($O193,'NO USAR1'!$A$4:$L$399,7,False)*$Z$19+VLOOKUP($O193,'NO USAR1'!$A$4:$L$399,8,False)*$AA$19+VLOOKUP($O193,'NO USAR1'!$A$4:$L$399,10,False)*$AB$19+VLOOKUP($O193,'NO USAR1'!$A$4:$L$399,12,False)*$AC$19+IF(Projections!$K$3,-AN193, IF(Projections!$J$3,-AM193,0))</f>
        <v>-2.949756739</v>
      </c>
      <c r="T193" s="65">
        <f t="shared" si="1"/>
        <v>1.129305107</v>
      </c>
      <c r="U193" s="65">
        <f>VLOOKUP($O193,'NO USAR2'!$B$2:$R$397,11,False)</f>
        <v>12.3</v>
      </c>
      <c r="V193" s="69">
        <f>VLOOKUP($O193,'NO USAR2'!$B$2:$R$397,10,False)</f>
        <v>1.9</v>
      </c>
      <c r="W193" s="65">
        <f>VLOOKUP($O193,'NO USAR2'!$B$2:$R$397,12,False)</f>
        <v>3.3</v>
      </c>
      <c r="X193" s="65">
        <f>VLOOKUP($O193,'NO USAR2'!$B$2:$R$397,13,False)</f>
        <v>3.6</v>
      </c>
      <c r="Y193" s="65">
        <f>VLOOKUP($O193,'NO USAR2'!$B$2:$R$397,14,False)</f>
        <v>0.7</v>
      </c>
      <c r="Z193" s="70">
        <f>VLOOKUP($O193,'NO USAR2'!$B$2:$R$397,15,False)</f>
        <v>0</v>
      </c>
      <c r="AA193" s="65">
        <f>100*VLOOKUP($O193,'NO USAR2'!$B$2:$R$397,7,False)</f>
        <v>41.66666667</v>
      </c>
      <c r="AB193" s="65">
        <f>100*VLOOKUP($O193,'NO USAR2'!$B$2:$R$397,9,False)</f>
        <v>88.88888889</v>
      </c>
      <c r="AC193" s="65">
        <f>VLOOKUP($O193,'NO USAR2'!$B$2:$Q$397,16,False)</f>
        <v>1.3</v>
      </c>
      <c r="AD193" s="65">
        <f>VLOOKUP($O193,'NO USAR1'!$A$4:$L$399,2,False)*$U$19</f>
        <v>-1.239028773</v>
      </c>
      <c r="AE193" s="65">
        <f>VLOOKUP($O193,'NO USAR1'!$A$4:$L$399,3,False)*$V$19</f>
        <v>0.2865644464</v>
      </c>
      <c r="AF193" s="65">
        <f>VLOOKUP($O193,'NO USAR1'!$A$4:$L$399,4,False)*$W$19</f>
        <v>-1.132592266</v>
      </c>
      <c r="AG193" s="65">
        <f>VLOOKUP($O193,'NO USAR1'!$A$4:$L$399,5,False)*$X$19</f>
        <v>-0.05821836781</v>
      </c>
      <c r="AH193" s="65">
        <f>VLOOKUP($O193,'NO USAR1'!$A$4:$L$399,6,False)*$Y$19</f>
        <v>-1.242861316</v>
      </c>
      <c r="AI193" s="65">
        <f>VLOOKUP($O193,'NO USAR1'!$A$4:$L$399,7,False)*$Z$19</f>
        <v>0</v>
      </c>
      <c r="AJ193" s="65">
        <f>VLOOKUP($O193,'NO USAR1'!$A$4:$L$399,8,False)*$AA$19</f>
        <v>0</v>
      </c>
      <c r="AK193" s="70">
        <f>VLOOKUP($O193,'NO USAR1'!$A$4:$L$399,10,False)*$AB$19</f>
        <v>0.4363795372</v>
      </c>
      <c r="AL193" s="65">
        <f>VLOOKUP($O193,'NO USAR1'!$A$4:$L$399,12,False)*$AC$19</f>
        <v>0</v>
      </c>
      <c r="AM193" s="71">
        <f t="shared" si="2"/>
        <v>-1.242861316</v>
      </c>
      <c r="AN193" s="71">
        <f t="shared" si="3"/>
        <v>-2.481890089</v>
      </c>
    </row>
    <row r="194">
      <c r="A194" t="str">
        <f>IF('NO USAR2'!B192="",ROW('NO USAR2'!B192),'NO USAR2'!B192)</f>
        <v>Josh Richardson</v>
      </c>
      <c r="B194" s="58">
        <f>IF(TYPE($A194)=1,"",('NO USAR2'!$L192-B$1)/B$2)</f>
        <v>-1.28757959</v>
      </c>
      <c r="C194" s="58">
        <f>IF(TYPE($A194)=1,"",('NO USAR2'!$K192-C$1)/C$2)</f>
        <v>-0.1134177786</v>
      </c>
      <c r="D194" s="58">
        <f>IF(TYPE($A194)=1,"",('NO USAR2'!$M192-D$1)/D$2)</f>
        <v>-1.418343048</v>
      </c>
      <c r="E194" s="58">
        <f>IF(TYPE($A194)=1,"",('NO USAR2'!$N192-E$1)/E$2)</f>
        <v>-0.9140283747</v>
      </c>
      <c r="F194" s="58">
        <f>IF(TYPE($A194)=1,"",('NO USAR2'!$O192-F$1)/F$2)</f>
        <v>-0.6672491657</v>
      </c>
      <c r="G194" s="58">
        <f>IF(TYPE($A194)=1,"",('NO USAR2'!$P192-G$1)/G$2)</f>
        <v>-0.6124445335</v>
      </c>
      <c r="H194" s="58">
        <f>IF(TYPE($A194)=1,"",('NO USAR2'!$H192-H$1)/H$2*I194/$I$1)</f>
        <v>-0.4212343591</v>
      </c>
      <c r="I194" s="58">
        <f>IF(TYPE($A194)=1,"",IF('NO USAR2'!H192=0,0,'NO USAR2'!G192/'NO USAR2'!H192))</f>
        <v>7.7</v>
      </c>
      <c r="J194" s="59">
        <f>IF(TYPE($A194)=1,"",('NO USAR2'!$J192-J$1)/J$2*K194/$K$1)</f>
        <v>0.444148717</v>
      </c>
      <c r="K194" s="60">
        <f>IF(TYPE($A194)=1,"",IF('NO USAR2'!J192=0,0,'NO USAR2'!I192/'NO USAR2'!J192))</f>
        <v>1.6</v>
      </c>
      <c r="L194" s="58">
        <f>IF(TYPE($A194)=1,"",-('NO USAR2'!$Q192-L$1)/L$2)</f>
        <v>1.236981163</v>
      </c>
      <c r="N194" s="63">
        <v>174.0</v>
      </c>
      <c r="O194" s="68" t="str">
        <f>IF('NO USAR2'!B159="",ROW('NO USAR2'!B159),'NO USAR2'!B159)</f>
        <v>Mason Plumlee</v>
      </c>
      <c r="P194" s="68">
        <f>'NO USAR2'!E175</f>
        <v>76</v>
      </c>
      <c r="Q194" s="68" t="str">
        <f>IF('NO USAR2'!C159="",ROW('NO USAR2'!N174),'NO USAR2'!C159)</f>
        <v>C</v>
      </c>
      <c r="R194" s="65">
        <f>VLOOKUP($O194,'NO USAR1'!$A$4:$L$399,2,False)+VLOOKUP($O194,'NO USAR1'!$A$4:$L$399,3,False)+VLOOKUP($O194,'NO USAR1'!$A$4:$L$399,4,False)+VLOOKUP($O194,'NO USAR1'!$A$4:$L$399,5,False)+VLOOKUP($O194,'NO USAR1'!$A$4:$L$399,6,False)+VLOOKUP($O194,'NO USAR1'!$A$4:$L$399,7,False)+VLOOKUP($O194,'NO USAR1'!$A$4:$L$399,8,False)+VLOOKUP($O194,'NO USAR1'!$A$4:$L$399,10,False)+VLOOKUP($O194,'NO USAR1'!$A$4:$L$399,12,False)*0</f>
        <v>-4.128412651</v>
      </c>
      <c r="S194" s="65">
        <f>VLOOKUP($O194,'NO USAR1'!$A$4:$L$399,2,False)*$U$19+VLOOKUP($O194,'NO USAR1'!$A$4:$L$399,3,False)*$V$19+VLOOKUP($O194,'NO USAR1'!$A$4:$L$399,4,False)*$W$19+VLOOKUP($O194,'NO USAR1'!$A$4:$L$399,5,False)*$X$19+VLOOKUP($O194,'NO USAR1'!$A$4:$L$399,6,False)*$Y$19+VLOOKUP($O194,'NO USAR1'!$A$4:$L$399,7,False)*$Z$19+VLOOKUP($O194,'NO USAR1'!$A$4:$L$399,8,False)*$AA$19+VLOOKUP($O194,'NO USAR1'!$A$4:$L$399,10,False)*$AB$19+VLOOKUP($O194,'NO USAR1'!$A$4:$L$399,12,False)*$AC$19+IF(Projections!$K$3,-AN194, IF(Projections!$J$3,-AM194,0))</f>
        <v>-5.481866148</v>
      </c>
      <c r="T194" s="65">
        <f t="shared" si="1"/>
        <v>-1.353453497</v>
      </c>
      <c r="U194" s="65">
        <f>VLOOKUP($O194,'NO USAR2'!$B$2:$R$397,11,False)</f>
        <v>6.7</v>
      </c>
      <c r="V194" s="69">
        <f>VLOOKUP($O194,'NO USAR2'!$B$2:$R$397,10,False)</f>
        <v>0</v>
      </c>
      <c r="W194" s="65">
        <f>VLOOKUP($O194,'NO USAR2'!$B$2:$R$397,12,False)</f>
        <v>7.5</v>
      </c>
      <c r="X194" s="65">
        <f>VLOOKUP($O194,'NO USAR2'!$B$2:$R$397,13,False)</f>
        <v>3.2</v>
      </c>
      <c r="Y194" s="65">
        <f>VLOOKUP($O194,'NO USAR2'!$B$2:$R$397,14,False)</f>
        <v>0.8</v>
      </c>
      <c r="Z194" s="70">
        <f>VLOOKUP($O194,'NO USAR2'!$B$2:$R$397,15,False)</f>
        <v>0.7</v>
      </c>
      <c r="AA194" s="65">
        <f>100*VLOOKUP($O194,'NO USAR2'!$B$2:$R$397,7,False)</f>
        <v>64.44444444</v>
      </c>
      <c r="AB194" s="65">
        <f>100*VLOOKUP($O194,'NO USAR2'!$B$2:$R$397,9,False)</f>
        <v>56.25</v>
      </c>
      <c r="AC194" s="65">
        <f>VLOOKUP($O194,'NO USAR2'!$B$2:$Q$397,16,False)</f>
        <v>1.4</v>
      </c>
      <c r="AD194" s="65">
        <f>VLOOKUP($O194,'NO USAR1'!$A$4:$L$399,2,False)*$U$19</f>
        <v>-2.730223938</v>
      </c>
      <c r="AE194" s="65">
        <f>VLOOKUP($O194,'NO USAR1'!$A$4:$L$399,3,False)*$V$19</f>
        <v>-1.613351122</v>
      </c>
      <c r="AF194" s="65">
        <f>VLOOKUP($O194,'NO USAR1'!$A$4:$L$399,4,False)*$W$19</f>
        <v>0.5819124269</v>
      </c>
      <c r="AG194" s="65">
        <f>VLOOKUP($O194,'NO USAR1'!$A$4:$L$399,5,False)*$X$19</f>
        <v>-0.2864956521</v>
      </c>
      <c r="AH194" s="65">
        <f>VLOOKUP($O194,'NO USAR1'!$A$4:$L$399,6,False)*$Y$19</f>
        <v>-0.8340614572</v>
      </c>
      <c r="AI194" s="65">
        <f>VLOOKUP($O194,'NO USAR1'!$A$4:$L$399,7,False)*$Z$19</f>
        <v>0</v>
      </c>
      <c r="AJ194" s="65">
        <f>VLOOKUP($O194,'NO USAR1'!$A$4:$L$399,8,False)*$AA$19</f>
        <v>0</v>
      </c>
      <c r="AK194" s="70">
        <f>VLOOKUP($O194,'NO USAR1'!$A$4:$L$399,10,False)*$AB$19</f>
        <v>-0.5996464046</v>
      </c>
      <c r="AL194" s="65">
        <f>VLOOKUP($O194,'NO USAR1'!$A$4:$L$399,12,False)*$AC$19</f>
        <v>0</v>
      </c>
      <c r="AM194" s="71">
        <f t="shared" si="2"/>
        <v>-2.730223938</v>
      </c>
      <c r="AN194" s="71">
        <f t="shared" si="3"/>
        <v>-4.343575061</v>
      </c>
    </row>
    <row r="195">
      <c r="A195" t="str">
        <f>IF('NO USAR2'!B193="",ROW('NO USAR2'!B193),'NO USAR2'!B193)</f>
        <v>Tyus Jones</v>
      </c>
      <c r="B195" s="58">
        <f>IF(TYPE($A195)=1,"",('NO USAR2'!$L193-B$1)/B$2)</f>
        <v>-1.447350501</v>
      </c>
      <c r="C195" s="58">
        <f>IF(TYPE($A195)=1,"",('NO USAR2'!$K193-C$1)/C$2)</f>
        <v>-0.5134000036</v>
      </c>
      <c r="D195" s="58">
        <f>IF(TYPE($A195)=1,"",('NO USAR2'!$M193-D$1)/D$2)</f>
        <v>-1.499986129</v>
      </c>
      <c r="E195" s="58">
        <f>IF(TYPE($A195)=1,"",('NO USAR2'!$N193-E$1)/E$2)</f>
        <v>0.3643244175</v>
      </c>
      <c r="F195" s="58">
        <f>IF(TYPE($A195)=1,"",('NO USAR2'!$O193-F$1)/F$2)</f>
        <v>-0.3402092786</v>
      </c>
      <c r="G195" s="58">
        <f>IF(TYPE($A195)=1,"",('NO USAR2'!$P193-G$1)/G$2)</f>
        <v>-1.436410543</v>
      </c>
      <c r="H195" s="58">
        <f>IF(TYPE($A195)=1,"",('NO USAR2'!$H193-H$1)/H$2*I195/$I$1)</f>
        <v>-0.305180158</v>
      </c>
      <c r="I195" s="58">
        <f>IF(TYPE($A195)=1,"",IF('NO USAR2'!H193=0,0,'NO USAR2'!G193/'NO USAR2'!H193))</f>
        <v>7.7</v>
      </c>
      <c r="J195" s="59">
        <f>IF(TYPE($A195)=1,"",('NO USAR2'!$J193-J$1)/J$2*K195/$K$1)</f>
        <v>0.2909196915</v>
      </c>
      <c r="K195" s="60">
        <f>IF(TYPE($A195)=1,"",IF('NO USAR2'!J193=0,0,'NO USAR2'!I193/'NO USAR2'!J193))</f>
        <v>0.9</v>
      </c>
      <c r="L195" s="58">
        <f>IF(TYPE($A195)=1,"",-('NO USAR2'!$Q193-L$1)/L$2)</f>
        <v>1.568077318</v>
      </c>
      <c r="N195" s="63">
        <v>175.0</v>
      </c>
      <c r="O195" s="68" t="str">
        <f>IF('NO USAR2'!B190="",ROW('NO USAR2'!B190),'NO USAR2'!B190)</f>
        <v>Jordan Clarkson</v>
      </c>
      <c r="P195" s="68">
        <f>'NO USAR2'!E176</f>
        <v>64</v>
      </c>
      <c r="Q195" s="68" t="str">
        <f>IF('NO USAR2'!C190="",ROW('NO USAR2'!N205),'NO USAR2'!C190)</f>
        <v>SG</v>
      </c>
      <c r="R195" s="65">
        <f>VLOOKUP($O195,'NO USAR1'!$A$4:$L$399,2,False)+VLOOKUP($O195,'NO USAR1'!$A$4:$L$399,3,False)+VLOOKUP($O195,'NO USAR1'!$A$4:$L$399,4,False)+VLOOKUP($O195,'NO USAR1'!$A$4:$L$399,5,False)+VLOOKUP($O195,'NO USAR1'!$A$4:$L$399,6,False)+VLOOKUP($O195,'NO USAR1'!$A$4:$L$399,7,False)+VLOOKUP($O195,'NO USAR1'!$A$4:$L$399,8,False)+VLOOKUP($O195,'NO USAR1'!$A$4:$L$399,10,False)+VLOOKUP($O195,'NO USAR1'!$A$4:$L$399,12,False)*0</f>
        <v>-4.137784141</v>
      </c>
      <c r="S195" s="65">
        <f>VLOOKUP($O195,'NO USAR1'!$A$4:$L$399,2,False)*$U$19+VLOOKUP($O195,'NO USAR1'!$A$4:$L$399,3,False)*$V$19+VLOOKUP($O195,'NO USAR1'!$A$4:$L$399,4,False)*$W$19+VLOOKUP($O195,'NO USAR1'!$A$4:$L$399,5,False)*$X$19+VLOOKUP($O195,'NO USAR1'!$A$4:$L$399,6,False)*$Y$19+VLOOKUP($O195,'NO USAR1'!$A$4:$L$399,7,False)*$Z$19+VLOOKUP($O195,'NO USAR1'!$A$4:$L$399,8,False)*$AA$19+VLOOKUP($O195,'NO USAR1'!$A$4:$L$399,10,False)*$AB$19+VLOOKUP($O195,'NO USAR1'!$A$4:$L$399,12,False)*$AC$19+IF(Projections!$K$3,-AN195, IF(Projections!$J$3,-AM195,0))</f>
        <v>-2.575608423</v>
      </c>
      <c r="T195" s="65">
        <f t="shared" si="1"/>
        <v>1.562175718</v>
      </c>
      <c r="U195" s="65">
        <f>VLOOKUP($O195,'NO USAR2'!$B$2:$R$397,11,False)</f>
        <v>15</v>
      </c>
      <c r="V195" s="69">
        <f>VLOOKUP($O195,'NO USAR2'!$B$2:$R$397,10,False)</f>
        <v>2.3</v>
      </c>
      <c r="W195" s="65">
        <f>VLOOKUP($O195,'NO USAR2'!$B$2:$R$397,12,False)</f>
        <v>3.2</v>
      </c>
      <c r="X195" s="65">
        <f>VLOOKUP($O195,'NO USAR2'!$B$2:$R$397,13,False)</f>
        <v>2.3</v>
      </c>
      <c r="Y195" s="65">
        <f>VLOOKUP($O195,'NO USAR2'!$B$2:$R$397,14,False)</f>
        <v>0.8</v>
      </c>
      <c r="Z195" s="70">
        <f>VLOOKUP($O195,'NO USAR2'!$B$2:$R$397,15,False)</f>
        <v>0.2</v>
      </c>
      <c r="AA195" s="65">
        <f>100*VLOOKUP($O195,'NO USAR2'!$B$2:$R$397,7,False)</f>
        <v>41.66666667</v>
      </c>
      <c r="AB195" s="65">
        <f>100*VLOOKUP($O195,'NO USAR2'!$B$2:$R$397,9,False)</f>
        <v>80.95238095</v>
      </c>
      <c r="AC195" s="65">
        <f>VLOOKUP($O195,'NO USAR2'!$B$2:$Q$397,16,False)</f>
        <v>1.5</v>
      </c>
      <c r="AD195" s="65">
        <f>VLOOKUP($O195,'NO USAR1'!$A$4:$L$399,2,False)*$U$19</f>
        <v>-0.5200596754</v>
      </c>
      <c r="AE195" s="65">
        <f>VLOOKUP($O195,'NO USAR1'!$A$4:$L$399,3,False)*$V$19</f>
        <v>0.6865466715</v>
      </c>
      <c r="AF195" s="65">
        <f>VLOOKUP($O195,'NO USAR1'!$A$4:$L$399,4,False)*$W$19</f>
        <v>-1.173413806</v>
      </c>
      <c r="AG195" s="65">
        <f>VLOOKUP($O195,'NO USAR1'!$A$4:$L$399,5,False)*$X$19</f>
        <v>-0.8001195418</v>
      </c>
      <c r="AH195" s="65">
        <f>VLOOKUP($O195,'NO USAR1'!$A$4:$L$399,6,False)*$Y$19</f>
        <v>-0.8340614572</v>
      </c>
      <c r="AI195" s="65">
        <f>VLOOKUP($O195,'NO USAR1'!$A$4:$L$399,7,False)*$Z$19</f>
        <v>0</v>
      </c>
      <c r="AJ195" s="65">
        <f>VLOOKUP($O195,'NO USAR1'!$A$4:$L$399,8,False)*$AA$19</f>
        <v>0</v>
      </c>
      <c r="AK195" s="70">
        <f>VLOOKUP($O195,'NO USAR1'!$A$4:$L$399,10,False)*$AB$19</f>
        <v>0.0654993857</v>
      </c>
      <c r="AL195" s="65">
        <f>VLOOKUP($O195,'NO USAR1'!$A$4:$L$399,12,False)*$AC$19</f>
        <v>0</v>
      </c>
      <c r="AM195" s="71">
        <f t="shared" si="2"/>
        <v>-1.173413806</v>
      </c>
      <c r="AN195" s="71">
        <f t="shared" si="3"/>
        <v>-2.007475263</v>
      </c>
    </row>
    <row r="196">
      <c r="A196" t="str">
        <f>IF('NO USAR2'!B194="",ROW('NO USAR2'!B194),'NO USAR2'!B194)</f>
        <v>Josh Hart</v>
      </c>
      <c r="B196" s="58">
        <f>IF(TYPE($A196)=1,"",('NO USAR2'!$L194-B$1)/B$2)</f>
        <v>-0.9147807989</v>
      </c>
      <c r="C196" s="58">
        <f>IF(TYPE($A196)=1,"",('NO USAR2'!$K194-C$1)/C$2)</f>
        <v>-0.4134044473</v>
      </c>
      <c r="D196" s="58">
        <f>IF(TYPE($A196)=1,"",('NO USAR2'!$M194-D$1)/D$2)</f>
        <v>-0.4386260807</v>
      </c>
      <c r="E196" s="58">
        <f>IF(TYPE($A196)=1,"",('NO USAR2'!$N194-E$1)/E$2)</f>
        <v>-0.6857510903</v>
      </c>
      <c r="F196" s="58">
        <f>IF(TYPE($A196)=1,"",('NO USAR2'!$O194-F$1)/F$2)</f>
        <v>-0.3402092786</v>
      </c>
      <c r="G196" s="58">
        <f>IF(TYPE($A196)=1,"",('NO USAR2'!$P194-G$1)/G$2)</f>
        <v>-1.024427538</v>
      </c>
      <c r="H196" s="58">
        <f>IF(TYPE($A196)=1,"",('NO USAR2'!$H194-H$1)/H$2*I196/$I$1)</f>
        <v>-0.4622078999</v>
      </c>
      <c r="I196" s="58">
        <f>IF(TYPE($A196)=1,"",IF('NO USAR2'!H194=0,0,'NO USAR2'!G194/'NO USAR2'!H194))</f>
        <v>9</v>
      </c>
      <c r="J196" s="59">
        <f>IF(TYPE($A196)=1,"",('NO USAR2'!$J194-J$1)/J$2*K196/$K$1)</f>
        <v>-0.0289221487</v>
      </c>
      <c r="K196" s="60">
        <f>IF(TYPE($A196)=1,"",IF('NO USAR2'!J194=0,0,'NO USAR2'!I194/'NO USAR2'!J194))</f>
        <v>3.3</v>
      </c>
      <c r="L196" s="58">
        <f>IF(TYPE($A196)=1,"",-('NO USAR2'!$Q194-L$1)/L$2)</f>
        <v>0.2436926961</v>
      </c>
      <c r="N196" s="2">
        <v>176.0</v>
      </c>
      <c r="O196" s="68" t="str">
        <f>IF('NO USAR2'!B175="",ROW('NO USAR2'!B175),'NO USAR2'!B175)</f>
        <v>Steven Adams</v>
      </c>
      <c r="P196" s="68">
        <f>'NO USAR2'!E177</f>
        <v>68</v>
      </c>
      <c r="Q196" s="68" t="str">
        <f>IF('NO USAR2'!C175="",ROW('NO USAR2'!N190),'NO USAR2'!C175)</f>
        <v>C</v>
      </c>
      <c r="R196" s="65">
        <f>VLOOKUP($O196,'NO USAR1'!$A$4:$L$399,2,False)+VLOOKUP($O196,'NO USAR1'!$A$4:$L$399,3,False)+VLOOKUP($O196,'NO USAR1'!$A$4:$L$399,4,False)+VLOOKUP($O196,'NO USAR1'!$A$4:$L$399,5,False)+VLOOKUP($O196,'NO USAR1'!$A$4:$L$399,6,False)+VLOOKUP($O196,'NO USAR1'!$A$4:$L$399,7,False)+VLOOKUP($O196,'NO USAR1'!$A$4:$L$399,8,False)+VLOOKUP($O196,'NO USAR1'!$A$4:$L$399,10,False)+VLOOKUP($O196,'NO USAR1'!$A$4:$L$399,12,False)*0</f>
        <v>-4.138740864</v>
      </c>
      <c r="S196" s="65">
        <f>VLOOKUP($O196,'NO USAR1'!$A$4:$L$399,2,False)*$U$19+VLOOKUP($O196,'NO USAR1'!$A$4:$L$399,3,False)*$V$19+VLOOKUP($O196,'NO USAR1'!$A$4:$L$399,4,False)*$W$19+VLOOKUP($O196,'NO USAR1'!$A$4:$L$399,5,False)*$X$19+VLOOKUP($O196,'NO USAR1'!$A$4:$L$399,6,False)*$Y$19+VLOOKUP($O196,'NO USAR1'!$A$4:$L$399,7,False)*$Z$19+VLOOKUP($O196,'NO USAR1'!$A$4:$L$399,8,False)*$AA$19+VLOOKUP($O196,'NO USAR1'!$A$4:$L$399,10,False)*$AB$19+VLOOKUP($O196,'NO USAR1'!$A$4:$L$399,12,False)*$AC$19+IF(Projections!$K$3,-AN196, IF(Projections!$J$3,-AM196,0))</f>
        <v>-4.56762248</v>
      </c>
      <c r="T196" s="65">
        <f t="shared" si="1"/>
        <v>-0.4288816162</v>
      </c>
      <c r="U196" s="65">
        <f>VLOOKUP($O196,'NO USAR2'!$B$2:$R$397,11,False)</f>
        <v>7.2</v>
      </c>
      <c r="V196" s="69">
        <f>VLOOKUP($O196,'NO USAR2'!$B$2:$R$397,10,False)</f>
        <v>0</v>
      </c>
      <c r="W196" s="65">
        <f>VLOOKUP($O196,'NO USAR2'!$B$2:$R$397,12,False)</f>
        <v>9.9</v>
      </c>
      <c r="X196" s="65">
        <f>VLOOKUP($O196,'NO USAR2'!$B$2:$R$397,13,False)</f>
        <v>3.2</v>
      </c>
      <c r="Y196" s="65">
        <f>VLOOKUP($O196,'NO USAR2'!$B$2:$R$397,14,False)</f>
        <v>0.9</v>
      </c>
      <c r="Z196" s="70">
        <f>VLOOKUP($O196,'NO USAR2'!$B$2:$R$397,15,False)</f>
        <v>0.8</v>
      </c>
      <c r="AA196" s="65">
        <f>100*VLOOKUP($O196,'NO USAR2'!$B$2:$R$397,7,False)</f>
        <v>55.76923077</v>
      </c>
      <c r="AB196" s="65">
        <f>100*VLOOKUP($O196,'NO USAR2'!$B$2:$R$397,9,False)</f>
        <v>51.85185185</v>
      </c>
      <c r="AC196" s="65">
        <f>VLOOKUP($O196,'NO USAR2'!$B$2:$Q$397,16,False)</f>
        <v>1.5</v>
      </c>
      <c r="AD196" s="65">
        <f>VLOOKUP($O196,'NO USAR1'!$A$4:$L$399,2,False)*$U$19</f>
        <v>-2.597081513</v>
      </c>
      <c r="AE196" s="65">
        <f>VLOOKUP($O196,'NO USAR1'!$A$4:$L$399,3,False)*$V$19</f>
        <v>-1.613351122</v>
      </c>
      <c r="AF196" s="65">
        <f>VLOOKUP($O196,'NO USAR1'!$A$4:$L$399,4,False)*$W$19</f>
        <v>1.561629394</v>
      </c>
      <c r="AG196" s="65">
        <f>VLOOKUP($O196,'NO USAR1'!$A$4:$L$399,5,False)*$X$19</f>
        <v>-0.2864956521</v>
      </c>
      <c r="AH196" s="65">
        <f>VLOOKUP($O196,'NO USAR1'!$A$4:$L$399,6,False)*$Y$19</f>
        <v>-0.4252615982</v>
      </c>
      <c r="AI196" s="65">
        <f>VLOOKUP($O196,'NO USAR1'!$A$4:$L$399,7,False)*$Z$19</f>
        <v>0</v>
      </c>
      <c r="AJ196" s="65">
        <f>VLOOKUP($O196,'NO USAR1'!$A$4:$L$399,8,False)*$AA$19</f>
        <v>0</v>
      </c>
      <c r="AK196" s="70">
        <f>VLOOKUP($O196,'NO USAR1'!$A$4:$L$399,10,False)*$AB$19</f>
        <v>-1.207061989</v>
      </c>
      <c r="AL196" s="65">
        <f>VLOOKUP($O196,'NO USAR1'!$A$4:$L$399,12,False)*$AC$19</f>
        <v>0</v>
      </c>
      <c r="AM196" s="71">
        <f t="shared" si="2"/>
        <v>-2.597081513</v>
      </c>
      <c r="AN196" s="71">
        <f t="shared" si="3"/>
        <v>-4.210432635</v>
      </c>
    </row>
    <row r="197">
      <c r="A197" t="str">
        <f>IF('NO USAR2'!B195="",ROW('NO USAR2'!B195),'NO USAR2'!B195)</f>
        <v>Reggie Bullock</v>
      </c>
      <c r="B197" s="58">
        <f>IF(TYPE($A197)=1,"",('NO USAR2'!$L195-B$1)/B$2)</f>
        <v>-1.216570297</v>
      </c>
      <c r="C197" s="58">
        <f>IF(TYPE($A197)=1,"",('NO USAR2'!$K195-C$1)/C$2)</f>
        <v>0.7865422277</v>
      </c>
      <c r="D197" s="58">
        <f>IF(TYPE($A197)=1,"",('NO USAR2'!$M195-D$1)/D$2)</f>
        <v>-0.9284845644</v>
      </c>
      <c r="E197" s="58">
        <f>IF(TYPE($A197)=1,"",('NO USAR2'!$N195-E$1)/E$2)</f>
        <v>-1.096650202</v>
      </c>
      <c r="F197" s="58">
        <f>IF(TYPE($A197)=1,"",('NO USAR2'!$O195-F$1)/F$2)</f>
        <v>-1.32132894</v>
      </c>
      <c r="G197" s="58">
        <f>IF(TYPE($A197)=1,"",('NO USAR2'!$P195-G$1)/G$2)</f>
        <v>-1.024427538</v>
      </c>
      <c r="H197" s="58">
        <f>IF(TYPE($A197)=1,"",('NO USAR2'!$H195-H$1)/H$2*I197/$I$1)</f>
        <v>-0.4753260228</v>
      </c>
      <c r="I197" s="58">
        <f>IF(TYPE($A197)=1,"",IF('NO USAR2'!H195=0,0,'NO USAR2'!G195/'NO USAR2'!H195))</f>
        <v>8</v>
      </c>
      <c r="J197" s="59">
        <f>IF(TYPE($A197)=1,"",('NO USAR2'!$J195-J$1)/J$2*K197/$K$1)</f>
        <v>0.1532290256</v>
      </c>
      <c r="K197" s="60">
        <f>IF(TYPE($A197)=1,"",IF('NO USAR2'!J195=0,0,'NO USAR2'!I195/'NO USAR2'!J195))</f>
        <v>0.7</v>
      </c>
      <c r="L197" s="58">
        <f>IF(TYPE($A197)=1,"",-('NO USAR2'!$Q195-L$1)/L$2)</f>
        <v>1.568077318</v>
      </c>
      <c r="N197" s="63">
        <v>177.0</v>
      </c>
      <c r="O197" s="68" t="str">
        <f>IF('NO USAR2'!B181="",ROW('NO USAR2'!B181),'NO USAR2'!B181)</f>
        <v>Derrick Rose</v>
      </c>
      <c r="P197" s="68">
        <f>'NO USAR2'!E178</f>
        <v>70</v>
      </c>
      <c r="Q197" s="68" t="str">
        <f>IF('NO USAR2'!C181="",ROW('NO USAR2'!N196),'NO USAR2'!C181)</f>
        <v>PG</v>
      </c>
      <c r="R197" s="65">
        <f>VLOOKUP($O197,'NO USAR1'!$A$4:$L$399,2,False)+VLOOKUP($O197,'NO USAR1'!$A$4:$L$399,3,False)+VLOOKUP($O197,'NO USAR1'!$A$4:$L$399,4,False)+VLOOKUP($O197,'NO USAR1'!$A$4:$L$399,5,False)+VLOOKUP($O197,'NO USAR1'!$A$4:$L$399,6,False)+VLOOKUP($O197,'NO USAR1'!$A$4:$L$399,7,False)+VLOOKUP($O197,'NO USAR1'!$A$4:$L$399,8,False)+VLOOKUP($O197,'NO USAR1'!$A$4:$L$399,10,False)+VLOOKUP($O197,'NO USAR1'!$A$4:$L$399,12,False)*0</f>
        <v>-4.207808494</v>
      </c>
      <c r="S197" s="65">
        <f>VLOOKUP($O197,'NO USAR1'!$A$4:$L$399,2,False)*$U$19+VLOOKUP($O197,'NO USAR1'!$A$4:$L$399,3,False)*$V$19+VLOOKUP($O197,'NO USAR1'!$A$4:$L$399,4,False)*$W$19+VLOOKUP($O197,'NO USAR1'!$A$4:$L$399,5,False)*$X$19+VLOOKUP($O197,'NO USAR1'!$A$4:$L$399,6,False)*$Y$19+VLOOKUP($O197,'NO USAR1'!$A$4:$L$399,7,False)*$Z$19+VLOOKUP($O197,'NO USAR1'!$A$4:$L$399,8,False)*$AA$19+VLOOKUP($O197,'NO USAR1'!$A$4:$L$399,10,False)*$AB$19+VLOOKUP($O197,'NO USAR1'!$A$4:$L$399,12,False)*$AC$19+IF(Projections!$K$3,-AN197, IF(Projections!$J$3,-AM197,0))</f>
        <v>-4.408366772</v>
      </c>
      <c r="T197" s="65">
        <f t="shared" si="1"/>
        <v>-0.2005582781</v>
      </c>
      <c r="U197" s="65">
        <f>VLOOKUP($O197,'NO USAR2'!$B$2:$R$397,11,False)</f>
        <v>10.7</v>
      </c>
      <c r="V197" s="69">
        <f>VLOOKUP($O197,'NO USAR2'!$B$2:$R$397,10,False)</f>
        <v>1.3</v>
      </c>
      <c r="W197" s="65">
        <f>VLOOKUP($O197,'NO USAR2'!$B$2:$R$397,12,False)</f>
        <v>2.7</v>
      </c>
      <c r="X197" s="65">
        <f>VLOOKUP($O197,'NO USAR2'!$B$2:$R$397,13,False)</f>
        <v>3.6</v>
      </c>
      <c r="Y197" s="65">
        <f>VLOOKUP($O197,'NO USAR2'!$B$2:$R$397,14,False)</f>
        <v>0.7</v>
      </c>
      <c r="Z197" s="70">
        <f>VLOOKUP($O197,'NO USAR2'!$B$2:$R$397,15,False)</f>
        <v>0.5</v>
      </c>
      <c r="AA197" s="65">
        <f>100*VLOOKUP($O197,'NO USAR2'!$B$2:$R$397,7,False)</f>
        <v>44.68085106</v>
      </c>
      <c r="AB197" s="65">
        <f>100*VLOOKUP($O197,'NO USAR2'!$B$2:$R$397,9,False)</f>
        <v>91.66666667</v>
      </c>
      <c r="AC197" s="65">
        <f>VLOOKUP($O197,'NO USAR2'!$B$2:$Q$397,16,False)</f>
        <v>1.3</v>
      </c>
      <c r="AD197" s="65">
        <f>VLOOKUP($O197,'NO USAR1'!$A$4:$L$399,2,False)*$U$19</f>
        <v>-1.665084534</v>
      </c>
      <c r="AE197" s="65">
        <f>VLOOKUP($O197,'NO USAR1'!$A$4:$L$399,3,False)*$V$19</f>
        <v>-0.3134088911</v>
      </c>
      <c r="AF197" s="65">
        <f>VLOOKUP($O197,'NO USAR1'!$A$4:$L$399,4,False)*$W$19</f>
        <v>-1.377521508</v>
      </c>
      <c r="AG197" s="65">
        <f>VLOOKUP($O197,'NO USAR1'!$A$4:$L$399,5,False)*$X$19</f>
        <v>-0.05821836781</v>
      </c>
      <c r="AH197" s="65">
        <f>VLOOKUP($O197,'NO USAR1'!$A$4:$L$399,6,False)*$Y$19</f>
        <v>-1.242861316</v>
      </c>
      <c r="AI197" s="65">
        <f>VLOOKUP($O197,'NO USAR1'!$A$4:$L$399,7,False)*$Z$19</f>
        <v>0</v>
      </c>
      <c r="AJ197" s="65">
        <f>VLOOKUP($O197,'NO USAR1'!$A$4:$L$399,8,False)*$AA$19</f>
        <v>0</v>
      </c>
      <c r="AK197" s="70">
        <f>VLOOKUP($O197,'NO USAR1'!$A$4:$L$399,10,False)*$AB$19</f>
        <v>0.2487278452</v>
      </c>
      <c r="AL197" s="65">
        <f>VLOOKUP($O197,'NO USAR1'!$A$4:$L$399,12,False)*$AC$19</f>
        <v>0</v>
      </c>
      <c r="AM197" s="71">
        <f t="shared" si="2"/>
        <v>-1.665084534</v>
      </c>
      <c r="AN197" s="71">
        <f t="shared" si="3"/>
        <v>-3.042606042</v>
      </c>
    </row>
    <row r="198">
      <c r="A198" t="str">
        <f>IF('NO USAR2'!B196="",ROW('NO USAR2'!B196),'NO USAR2'!B196)</f>
        <v>Obi Toppin</v>
      </c>
      <c r="B198" s="58">
        <f>IF(TYPE($A198)=1,"",('NO USAR2'!$L196-B$1)/B$2)</f>
        <v>-1.07455171</v>
      </c>
      <c r="C198" s="58">
        <f>IF(TYPE($A198)=1,"",('NO USAR2'!$K196-C$1)/C$2)</f>
        <v>-0.8133866724</v>
      </c>
      <c r="D198" s="58">
        <f>IF(TYPE($A198)=1,"",('NO USAR2'!$M196-D$1)/D$2)</f>
        <v>-0.6019122419</v>
      </c>
      <c r="E198" s="58">
        <f>IF(TYPE($A198)=1,"",('NO USAR2'!$N196-E$1)/E$2)</f>
        <v>-1.096650202</v>
      </c>
      <c r="F198" s="58">
        <f>IF(TYPE($A198)=1,"",('NO USAR2'!$O196-F$1)/F$2)</f>
        <v>-1.975408714</v>
      </c>
      <c r="G198" s="58">
        <f>IF(TYPE($A198)=1,"",('NO USAR2'!$P196-G$1)/G$2)</f>
        <v>-0.200461529</v>
      </c>
      <c r="H198" s="58">
        <f>IF(TYPE($A198)=1,"",('NO USAR2'!$H196-H$1)/H$2*I198/$I$1)</f>
        <v>0.337053385</v>
      </c>
      <c r="I198" s="58">
        <f>IF(TYPE($A198)=1,"",IF('NO USAR2'!H196=0,0,'NO USAR2'!G196/'NO USAR2'!H196))</f>
        <v>8</v>
      </c>
      <c r="J198" s="59">
        <f>IF(TYPE($A198)=1,"",('NO USAR2'!$J196-J$1)/J$2*K198/$K$1)</f>
        <v>-0.1976895339</v>
      </c>
      <c r="K198" s="60">
        <f>IF(TYPE($A198)=1,"",IF('NO USAR2'!J196=0,0,'NO USAR2'!I196/'NO USAR2'!J196))</f>
        <v>2.1</v>
      </c>
      <c r="L198" s="58">
        <f>IF(TYPE($A198)=1,"",-('NO USAR2'!$Q196-L$1)/L$2)</f>
        <v>1.126615777</v>
      </c>
      <c r="N198" s="63">
        <v>178.0</v>
      </c>
      <c r="O198" s="68" t="str">
        <f>IF('NO USAR2'!B183="",ROW('NO USAR2'!B183),'NO USAR2'!B183)</f>
        <v>Kyle Anderson</v>
      </c>
      <c r="P198" s="68">
        <f>'NO USAR2'!E179</f>
        <v>72</v>
      </c>
      <c r="Q198" s="68" t="str">
        <f>IF('NO USAR2'!C183="",ROW('NO USAR2'!N198),'NO USAR2'!C183)</f>
        <v>SF/PF</v>
      </c>
      <c r="R198" s="65">
        <f>VLOOKUP($O198,'NO USAR1'!$A$4:$L$399,2,False)+VLOOKUP($O198,'NO USAR1'!$A$4:$L$399,3,False)+VLOOKUP($O198,'NO USAR1'!$A$4:$L$399,4,False)+VLOOKUP($O198,'NO USAR1'!$A$4:$L$399,5,False)+VLOOKUP($O198,'NO USAR1'!$A$4:$L$399,6,False)+VLOOKUP($O198,'NO USAR1'!$A$4:$L$399,7,False)+VLOOKUP($O198,'NO USAR1'!$A$4:$L$399,8,False)+VLOOKUP($O198,'NO USAR1'!$A$4:$L$399,10,False)+VLOOKUP($O198,'NO USAR1'!$A$4:$L$399,12,False)*0</f>
        <v>-4.231513944</v>
      </c>
      <c r="S198" s="65">
        <f>VLOOKUP($O198,'NO USAR1'!$A$4:$L$399,2,False)*$U$19+VLOOKUP($O198,'NO USAR1'!$A$4:$L$399,3,False)*$V$19+VLOOKUP($O198,'NO USAR1'!$A$4:$L$399,4,False)*$W$19+VLOOKUP($O198,'NO USAR1'!$A$4:$L$399,5,False)*$X$19+VLOOKUP($O198,'NO USAR1'!$A$4:$L$399,6,False)*$Y$19+VLOOKUP($O198,'NO USAR1'!$A$4:$L$399,7,False)*$Z$19+VLOOKUP($O198,'NO USAR1'!$A$4:$L$399,8,False)*$AA$19+VLOOKUP($O198,'NO USAR1'!$A$4:$L$399,10,False)*$AB$19+VLOOKUP($O198,'NO USAR1'!$A$4:$L$399,12,False)*$AC$19+IF(Projections!$K$3,-AN198, IF(Projections!$J$3,-AM198,0))</f>
        <v>-4.431615762</v>
      </c>
      <c r="T198" s="65">
        <f t="shared" si="1"/>
        <v>-0.2001018184</v>
      </c>
      <c r="U198" s="65">
        <f>VLOOKUP($O198,'NO USAR2'!$B$2:$R$397,11,False)</f>
        <v>7.5</v>
      </c>
      <c r="V198" s="69">
        <f>VLOOKUP($O198,'NO USAR2'!$B$2:$R$397,10,False)</f>
        <v>0.5</v>
      </c>
      <c r="W198" s="65">
        <f>VLOOKUP($O198,'NO USAR2'!$B$2:$R$397,12,False)</f>
        <v>5.3</v>
      </c>
      <c r="X198" s="65">
        <f>VLOOKUP($O198,'NO USAR2'!$B$2:$R$397,13,False)</f>
        <v>2.7</v>
      </c>
      <c r="Y198" s="65">
        <f>VLOOKUP($O198,'NO USAR2'!$B$2:$R$397,14,False)</f>
        <v>1.1</v>
      </c>
      <c r="Z198" s="70">
        <f>VLOOKUP($O198,'NO USAR2'!$B$2:$R$397,15,False)</f>
        <v>0.7</v>
      </c>
      <c r="AA198" s="65">
        <f>100*VLOOKUP($O198,'NO USAR2'!$B$2:$R$397,7,False)</f>
        <v>44.11764706</v>
      </c>
      <c r="AB198" s="65">
        <f>100*VLOOKUP($O198,'NO USAR2'!$B$2:$R$397,9,False)</f>
        <v>66.66666667</v>
      </c>
      <c r="AC198" s="65">
        <f>VLOOKUP($O198,'NO USAR2'!$B$2:$Q$397,16,False)</f>
        <v>1</v>
      </c>
      <c r="AD198" s="65">
        <f>VLOOKUP($O198,'NO USAR1'!$A$4:$L$399,2,False)*$U$19</f>
        <v>-2.517196057</v>
      </c>
      <c r="AE198" s="65">
        <f>VLOOKUP($O198,'NO USAR1'!$A$4:$L$399,3,False)*$V$19</f>
        <v>-1.113373341</v>
      </c>
      <c r="AF198" s="65">
        <f>VLOOKUP($O198,'NO USAR1'!$A$4:$L$399,4,False)*$W$19</f>
        <v>-0.3161614598</v>
      </c>
      <c r="AG198" s="65">
        <f>VLOOKUP($O198,'NO USAR1'!$A$4:$L$399,5,False)*$X$19</f>
        <v>-0.5718422575</v>
      </c>
      <c r="AH198" s="65">
        <f>VLOOKUP($O198,'NO USAR1'!$A$4:$L$399,6,False)*$Y$19</f>
        <v>0.3923381197</v>
      </c>
      <c r="AI198" s="65">
        <f>VLOOKUP($O198,'NO USAR1'!$A$4:$L$399,7,False)*$Z$19</f>
        <v>0</v>
      </c>
      <c r="AJ198" s="65">
        <f>VLOOKUP($O198,'NO USAR1'!$A$4:$L$399,8,False)*$AA$19</f>
        <v>0</v>
      </c>
      <c r="AK198" s="70">
        <f>VLOOKUP($O198,'NO USAR1'!$A$4:$L$399,10,False)*$AB$19</f>
        <v>-0.3053807658</v>
      </c>
      <c r="AL198" s="65">
        <f>VLOOKUP($O198,'NO USAR1'!$A$4:$L$399,12,False)*$AC$19</f>
        <v>0</v>
      </c>
      <c r="AM198" s="71">
        <f t="shared" si="2"/>
        <v>-2.517196057</v>
      </c>
      <c r="AN198" s="71">
        <f t="shared" si="3"/>
        <v>-3.630569399</v>
      </c>
    </row>
    <row r="199">
      <c r="A199" t="str">
        <f>IF('NO USAR2'!B197="",ROW('NO USAR2'!B197),'NO USAR2'!B197)</f>
        <v>Trendon Watford</v>
      </c>
      <c r="B199" s="58">
        <f>IF(TYPE($A199)=1,"",('NO USAR2'!$L197-B$1)/B$2)</f>
        <v>-1.465102824</v>
      </c>
      <c r="C199" s="58">
        <f>IF(TYPE($A199)=1,"",('NO USAR2'!$K197-C$1)/C$2)</f>
        <v>-1.41336001</v>
      </c>
      <c r="D199" s="58">
        <f>IF(TYPE($A199)=1,"",('NO USAR2'!$M197-D$1)/D$2)</f>
        <v>-0.5202691613</v>
      </c>
      <c r="E199" s="58">
        <f>IF(TYPE($A199)=1,"",('NO USAR2'!$N197-E$1)/E$2)</f>
        <v>-0.8227174609</v>
      </c>
      <c r="F199" s="58">
        <f>IF(TYPE($A199)=1,"",('NO USAR2'!$O197-F$1)/F$2)</f>
        <v>-1.32132894</v>
      </c>
      <c r="G199" s="58">
        <f>IF(TYPE($A199)=1,"",('NO USAR2'!$P197-G$1)/G$2)</f>
        <v>0.005529973215</v>
      </c>
      <c r="H199" s="58">
        <f>IF(TYPE($A199)=1,"",('NO USAR2'!$H197-H$1)/H$2*I199/$I$1)</f>
        <v>0.1459185236</v>
      </c>
      <c r="I199" s="58">
        <f>IF(TYPE($A199)=1,"",IF('NO USAR2'!H197=0,0,'NO USAR2'!G197/'NO USAR2'!H197))</f>
        <v>6.7</v>
      </c>
      <c r="J199" s="59">
        <f>IF(TYPE($A199)=1,"",('NO USAR2'!$J197-J$1)/J$2*K199/$K$1)</f>
        <v>0.1309987714</v>
      </c>
      <c r="K199" s="60">
        <f>IF(TYPE($A199)=1,"",IF('NO USAR2'!J197=0,0,'NO USAR2'!I197/'NO USAR2'!J197))</f>
        <v>2.1</v>
      </c>
      <c r="L199" s="58">
        <f>IF(TYPE($A199)=1,"",-('NO USAR2'!$Q197-L$1)/L$2)</f>
        <v>1.126615777</v>
      </c>
      <c r="N199" s="2">
        <v>179.0</v>
      </c>
      <c r="O199" s="68" t="str">
        <f>IF('NO USAR2'!B182="",ROW('NO USAR2'!B182),'NO USAR2'!B182)</f>
        <v>Quentin Grimes</v>
      </c>
      <c r="P199" s="68">
        <f>'NO USAR2'!E180</f>
        <v>69</v>
      </c>
      <c r="Q199" s="68" t="str">
        <f>IF('NO USAR2'!C182="",ROW('NO USAR2'!N197),'NO USAR2'!C182)</f>
        <v>SG</v>
      </c>
      <c r="R199" s="65">
        <f>VLOOKUP($O199,'NO USAR1'!$A$4:$L$399,2,False)+VLOOKUP($O199,'NO USAR1'!$A$4:$L$399,3,False)+VLOOKUP($O199,'NO USAR1'!$A$4:$L$399,4,False)+VLOOKUP($O199,'NO USAR1'!$A$4:$L$399,5,False)+VLOOKUP($O199,'NO USAR1'!$A$4:$L$399,6,False)+VLOOKUP($O199,'NO USAR1'!$A$4:$L$399,7,False)+VLOOKUP($O199,'NO USAR1'!$A$4:$L$399,8,False)+VLOOKUP($O199,'NO USAR1'!$A$4:$L$399,10,False)+VLOOKUP($O199,'NO USAR1'!$A$4:$L$399,12,False)*0</f>
        <v>-4.242830851</v>
      </c>
      <c r="S199" s="65">
        <f>VLOOKUP($O199,'NO USAR1'!$A$4:$L$399,2,False)*$U$19+VLOOKUP($O199,'NO USAR1'!$A$4:$L$399,3,False)*$V$19+VLOOKUP($O199,'NO USAR1'!$A$4:$L$399,4,False)*$W$19+VLOOKUP($O199,'NO USAR1'!$A$4:$L$399,5,False)*$X$19+VLOOKUP($O199,'NO USAR1'!$A$4:$L$399,6,False)*$Y$19+VLOOKUP($O199,'NO USAR1'!$A$4:$L$399,7,False)*$Z$19+VLOOKUP($O199,'NO USAR1'!$A$4:$L$399,8,False)*$AA$19+VLOOKUP($O199,'NO USAR1'!$A$4:$L$399,10,False)*$AB$19+VLOOKUP($O199,'NO USAR1'!$A$4:$L$399,12,False)*$AC$19+IF(Projections!$K$3,-AN199, IF(Projections!$J$3,-AM199,0))</f>
        <v>-3.214061782</v>
      </c>
      <c r="T199" s="65">
        <f t="shared" si="1"/>
        <v>1.028769069</v>
      </c>
      <c r="U199" s="65">
        <f>VLOOKUP($O199,'NO USAR2'!$B$2:$R$397,11,False)</f>
        <v>11.9</v>
      </c>
      <c r="V199" s="69">
        <f>VLOOKUP($O199,'NO USAR2'!$B$2:$R$397,10,False)</f>
        <v>2.4</v>
      </c>
      <c r="W199" s="65">
        <f>VLOOKUP($O199,'NO USAR2'!$B$2:$R$397,12,False)</f>
        <v>3.1</v>
      </c>
      <c r="X199" s="65">
        <f>VLOOKUP($O199,'NO USAR2'!$B$2:$R$397,13,False)</f>
        <v>1.5</v>
      </c>
      <c r="Y199" s="65">
        <f>VLOOKUP($O199,'NO USAR2'!$B$2:$R$397,14,False)</f>
        <v>1</v>
      </c>
      <c r="Z199" s="70">
        <f>VLOOKUP($O199,'NO USAR2'!$B$2:$R$397,15,False)</f>
        <v>0.3</v>
      </c>
      <c r="AA199" s="65">
        <f>100*VLOOKUP($O199,'NO USAR2'!$B$2:$R$397,7,False)</f>
        <v>42.10526316</v>
      </c>
      <c r="AB199" s="65">
        <f>100*VLOOKUP($O199,'NO USAR2'!$B$2:$R$397,9,False)</f>
        <v>73.68421053</v>
      </c>
      <c r="AC199" s="65">
        <f>VLOOKUP($O199,'NO USAR2'!$B$2:$Q$397,16,False)</f>
        <v>0.9</v>
      </c>
      <c r="AD199" s="65">
        <f>VLOOKUP($O199,'NO USAR1'!$A$4:$L$399,2,False)*$U$19</f>
        <v>-1.345542713</v>
      </c>
      <c r="AE199" s="65">
        <f>VLOOKUP($O199,'NO USAR1'!$A$4:$L$399,3,False)*$V$19</f>
        <v>0.7865422277</v>
      </c>
      <c r="AF199" s="65">
        <f>VLOOKUP($O199,'NO USAR1'!$A$4:$L$399,4,False)*$W$19</f>
        <v>-1.214235346</v>
      </c>
      <c r="AG199" s="65">
        <f>VLOOKUP($O199,'NO USAR1'!$A$4:$L$399,5,False)*$X$19</f>
        <v>-1.25667411</v>
      </c>
      <c r="AH199" s="65">
        <f>VLOOKUP($O199,'NO USAR1'!$A$4:$L$399,6,False)*$Y$19</f>
        <v>-0.01646173929</v>
      </c>
      <c r="AI199" s="65">
        <f>VLOOKUP($O199,'NO USAR1'!$A$4:$L$399,7,False)*$Z$19</f>
        <v>0</v>
      </c>
      <c r="AJ199" s="65">
        <f>VLOOKUP($O199,'NO USAR1'!$A$4:$L$399,8,False)*$AA$19</f>
        <v>0</v>
      </c>
      <c r="AK199" s="70">
        <f>VLOOKUP($O199,'NO USAR1'!$A$4:$L$399,10,False)*$AB$19</f>
        <v>-0.1676900999</v>
      </c>
      <c r="AL199" s="65">
        <f>VLOOKUP($O199,'NO USAR1'!$A$4:$L$399,12,False)*$AC$19</f>
        <v>0</v>
      </c>
      <c r="AM199" s="71">
        <f t="shared" si="2"/>
        <v>-1.345542713</v>
      </c>
      <c r="AN199" s="71">
        <f t="shared" si="3"/>
        <v>-2.602216824</v>
      </c>
    </row>
    <row r="200">
      <c r="A200" t="str">
        <f>IF('NO USAR2'!B198="",ROW('NO USAR2'!B198),'NO USAR2'!B198)</f>
        <v>De'Andre Hunter</v>
      </c>
      <c r="B200" s="58">
        <f>IF(TYPE($A200)=1,"",('NO USAR2'!$L198-B$1)/B$2)</f>
        <v>-1.07455171</v>
      </c>
      <c r="C200" s="58">
        <f>IF(TYPE($A200)=1,"",('NO USAR2'!$K198-C$1)/C$2)</f>
        <v>-0.1134177786</v>
      </c>
      <c r="D200" s="58">
        <f>IF(TYPE($A200)=1,"",('NO USAR2'!$M198-D$1)/D$2)</f>
        <v>-1.091770726</v>
      </c>
      <c r="E200" s="58">
        <f>IF(TYPE($A200)=1,"",('NO USAR2'!$N198-E$1)/E$2)</f>
        <v>-1.050994745</v>
      </c>
      <c r="F200" s="58">
        <f>IF(TYPE($A200)=1,"",('NO USAR2'!$O198-F$1)/F$2)</f>
        <v>-0.9942890529</v>
      </c>
      <c r="G200" s="58">
        <f>IF(TYPE($A200)=1,"",('NO USAR2'!$P198-G$1)/G$2)</f>
        <v>-0.6124445335</v>
      </c>
      <c r="H200" s="58">
        <f>IF(TYPE($A200)=1,"",('NO USAR2'!$H198-H$1)/H$2*I200/$I$1)</f>
        <v>-0.2999329088</v>
      </c>
      <c r="I200" s="58">
        <f>IF(TYPE($A200)=1,"",IF('NO USAR2'!H198=0,0,'NO USAR2'!G198/'NO USAR2'!H198))</f>
        <v>8.1</v>
      </c>
      <c r="J200" s="59">
        <f>IF(TYPE($A200)=1,"",('NO USAR2'!$J198-J$1)/J$2*K200/$K$1)</f>
        <v>0.146537131</v>
      </c>
      <c r="K200" s="60">
        <f>IF(TYPE($A200)=1,"",IF('NO USAR2'!J198=0,0,'NO USAR2'!I198/'NO USAR2'!J198))</f>
        <v>2.6</v>
      </c>
      <c r="L200" s="58">
        <f>IF(TYPE($A200)=1,"",-('NO USAR2'!$Q198-L$1)/L$2)</f>
        <v>0.6851542367</v>
      </c>
      <c r="N200" s="63">
        <v>180.0</v>
      </c>
      <c r="O200" s="68" t="str">
        <f>IF('NO USAR2'!B173="",ROW('NO USAR2'!B173),'NO USAR2'!B173)</f>
        <v>Isaiah Jackson</v>
      </c>
      <c r="P200" s="68">
        <f>'NO USAR2'!E181</f>
        <v>40</v>
      </c>
      <c r="Q200" s="68" t="str">
        <f>IF('NO USAR2'!C173="",ROW('NO USAR2'!N188),'NO USAR2'!C173)</f>
        <v>PF/C</v>
      </c>
      <c r="R200" s="65">
        <f>VLOOKUP($O200,'NO USAR1'!$A$4:$L$399,2,False)+VLOOKUP($O200,'NO USAR1'!$A$4:$L$399,3,False)+VLOOKUP($O200,'NO USAR1'!$A$4:$L$399,4,False)+VLOOKUP($O200,'NO USAR1'!$A$4:$L$399,5,False)+VLOOKUP($O200,'NO USAR1'!$A$4:$L$399,6,False)+VLOOKUP($O200,'NO USAR1'!$A$4:$L$399,7,False)+VLOOKUP($O200,'NO USAR1'!$A$4:$L$399,8,False)+VLOOKUP($O200,'NO USAR1'!$A$4:$L$399,10,False)+VLOOKUP($O200,'NO USAR1'!$A$4:$L$399,12,False)*0</f>
        <v>-4.255863492</v>
      </c>
      <c r="S200" s="65">
        <f>VLOOKUP($O200,'NO USAR1'!$A$4:$L$399,2,False)*$U$19+VLOOKUP($O200,'NO USAR1'!$A$4:$L$399,3,False)*$V$19+VLOOKUP($O200,'NO USAR1'!$A$4:$L$399,4,False)*$W$19+VLOOKUP($O200,'NO USAR1'!$A$4:$L$399,5,False)*$X$19+VLOOKUP($O200,'NO USAR1'!$A$4:$L$399,6,False)*$Y$19+VLOOKUP($O200,'NO USAR1'!$A$4:$L$399,7,False)*$Z$19+VLOOKUP($O200,'NO USAR1'!$A$4:$L$399,8,False)*$AA$19+VLOOKUP($O200,'NO USAR1'!$A$4:$L$399,10,False)*$AB$19+VLOOKUP($O200,'NO USAR1'!$A$4:$L$399,12,False)*$AC$19+IF(Projections!$K$3,-AN200, IF(Projections!$J$3,-AM200,0))</f>
        <v>-6.823568424</v>
      </c>
      <c r="T200" s="65">
        <f t="shared" si="1"/>
        <v>-2.567704932</v>
      </c>
      <c r="U200" s="65">
        <f>VLOOKUP($O200,'NO USAR2'!$B$2:$R$397,11,False)</f>
        <v>10.4</v>
      </c>
      <c r="V200" s="69">
        <f>VLOOKUP($O200,'NO USAR2'!$B$2:$R$397,10,False)</f>
        <v>0.2</v>
      </c>
      <c r="W200" s="65">
        <f>VLOOKUP($O200,'NO USAR2'!$B$2:$R$397,12,False)</f>
        <v>6.6</v>
      </c>
      <c r="X200" s="65">
        <f>VLOOKUP($O200,'NO USAR2'!$B$2:$R$397,13,False)</f>
        <v>0.5</v>
      </c>
      <c r="Y200" s="65">
        <f>VLOOKUP($O200,'NO USAR2'!$B$2:$R$397,14,False)</f>
        <v>0.7</v>
      </c>
      <c r="Z200" s="70">
        <f>VLOOKUP($O200,'NO USAR2'!$B$2:$R$397,15,False)</f>
        <v>1.4</v>
      </c>
      <c r="AA200" s="65">
        <f>100*VLOOKUP($O200,'NO USAR2'!$B$2:$R$397,7,False)</f>
        <v>57.53424658</v>
      </c>
      <c r="AB200" s="65">
        <f>100*VLOOKUP($O200,'NO USAR2'!$B$2:$R$397,9,False)</f>
        <v>62.06896552</v>
      </c>
      <c r="AC200" s="65">
        <f>VLOOKUP($O200,'NO USAR2'!$B$2:$Q$397,16,False)</f>
        <v>1.8</v>
      </c>
      <c r="AD200" s="65">
        <f>VLOOKUP($O200,'NO USAR1'!$A$4:$L$399,2,False)*$U$19</f>
        <v>-1.74496999</v>
      </c>
      <c r="AE200" s="65">
        <f>VLOOKUP($O200,'NO USAR1'!$A$4:$L$399,3,False)*$V$19</f>
        <v>-1.41336001</v>
      </c>
      <c r="AF200" s="65">
        <f>VLOOKUP($O200,'NO USAR1'!$A$4:$L$399,4,False)*$W$19</f>
        <v>0.2145185641</v>
      </c>
      <c r="AG200" s="65">
        <f>VLOOKUP($O200,'NO USAR1'!$A$4:$L$399,5,False)*$X$19</f>
        <v>-1.827367321</v>
      </c>
      <c r="AH200" s="65">
        <f>VLOOKUP($O200,'NO USAR1'!$A$4:$L$399,6,False)*$Y$19</f>
        <v>-1.242861316</v>
      </c>
      <c r="AI200" s="65">
        <f>VLOOKUP($O200,'NO USAR1'!$A$4:$L$399,7,False)*$Z$19</f>
        <v>0</v>
      </c>
      <c r="AJ200" s="65">
        <f>VLOOKUP($O200,'NO USAR1'!$A$4:$L$399,8,False)*$AA$19</f>
        <v>0</v>
      </c>
      <c r="AK200" s="70">
        <f>VLOOKUP($O200,'NO USAR1'!$A$4:$L$399,10,False)*$AB$19</f>
        <v>-0.8095283508</v>
      </c>
      <c r="AL200" s="65">
        <f>VLOOKUP($O200,'NO USAR1'!$A$4:$L$399,12,False)*$AC$19</f>
        <v>0</v>
      </c>
      <c r="AM200" s="71">
        <f t="shared" si="2"/>
        <v>-1.827367321</v>
      </c>
      <c r="AN200" s="71">
        <f t="shared" si="3"/>
        <v>-3.572337311</v>
      </c>
    </row>
    <row r="201">
      <c r="A201" t="str">
        <f>IF('NO USAR2'!B199="",ROW('NO USAR2'!B199),'NO USAR2'!B199)</f>
        <v>Montrezl Harrell</v>
      </c>
      <c r="B201" s="58">
        <f>IF(TYPE($A201)=1,"",('NO USAR2'!$L199-B$1)/B$2)</f>
        <v>-0.9147807989</v>
      </c>
      <c r="C201" s="58">
        <f>IF(TYPE($A201)=1,"",('NO USAR2'!$K199-C$1)/C$2)</f>
        <v>-1.613351122</v>
      </c>
      <c r="D201" s="58">
        <f>IF(TYPE($A201)=1,"",('NO USAR2'!$M199-D$1)/D$2)</f>
        <v>-0.6019122419</v>
      </c>
      <c r="E201" s="58">
        <f>IF(TYPE($A201)=1,"",('NO USAR2'!$N199-E$1)/E$2)</f>
        <v>-1.187961116</v>
      </c>
      <c r="F201" s="58">
        <f>IF(TYPE($A201)=1,"",('NO USAR2'!$O199-F$1)/F$2)</f>
        <v>-1.975408714</v>
      </c>
      <c r="G201" s="58">
        <f>IF(TYPE($A201)=1,"",('NO USAR2'!$P199-G$1)/G$2)</f>
        <v>0.005529973215</v>
      </c>
      <c r="H201" s="58">
        <f>IF(TYPE($A201)=1,"",('NO USAR2'!$H199-H$1)/H$2*I201/$I$1)</f>
        <v>1.206148081</v>
      </c>
      <c r="I201" s="58">
        <f>IF(TYPE($A201)=1,"",IF('NO USAR2'!H199=0,0,'NO USAR2'!G199/'NO USAR2'!H199))</f>
        <v>7.9</v>
      </c>
      <c r="J201" s="59">
        <f>IF(TYPE($A201)=1,"",('NO USAR2'!$J199-J$1)/J$2*K201/$K$1)</f>
        <v>-0.9616800911</v>
      </c>
      <c r="K201" s="60">
        <f>IF(TYPE($A201)=1,"",IF('NO USAR2'!J199=0,0,'NO USAR2'!I199/'NO USAR2'!J199))</f>
        <v>2.9</v>
      </c>
      <c r="L201" s="58">
        <f>IF(TYPE($A201)=1,"",-('NO USAR2'!$Q199-L$1)/L$2)</f>
        <v>1.016250392</v>
      </c>
      <c r="N201" s="63">
        <v>181.0</v>
      </c>
      <c r="O201" s="68" t="str">
        <f>IF('NO USAR2'!B194="",ROW('NO USAR2'!B194),'NO USAR2'!B194)</f>
        <v>Josh Hart</v>
      </c>
      <c r="P201" s="68">
        <f>'NO USAR2'!E182</f>
        <v>68</v>
      </c>
      <c r="Q201" s="68" t="str">
        <f>IF('NO USAR2'!C194="",ROW('NO USAR2'!N209),'NO USAR2'!C194)</f>
        <v>SG/SF</v>
      </c>
      <c r="R201" s="65">
        <f>VLOOKUP($O201,'NO USAR1'!$A$4:$L$399,2,False)+VLOOKUP($O201,'NO USAR1'!$A$4:$L$399,3,False)+VLOOKUP($O201,'NO USAR1'!$A$4:$L$399,4,False)+VLOOKUP($O201,'NO USAR1'!$A$4:$L$399,5,False)+VLOOKUP($O201,'NO USAR1'!$A$4:$L$399,6,False)+VLOOKUP($O201,'NO USAR1'!$A$4:$L$399,7,False)+VLOOKUP($O201,'NO USAR1'!$A$4:$L$399,8,False)+VLOOKUP($O201,'NO USAR1'!$A$4:$L$399,10,False)+VLOOKUP($O201,'NO USAR1'!$A$4:$L$399,12,False)*0</f>
        <v>-4.308329283</v>
      </c>
      <c r="S201" s="65">
        <f>VLOOKUP($O201,'NO USAR1'!$A$4:$L$399,2,False)*$U$19+VLOOKUP($O201,'NO USAR1'!$A$4:$L$399,3,False)*$V$19+VLOOKUP($O201,'NO USAR1'!$A$4:$L$399,4,False)*$W$19+VLOOKUP($O201,'NO USAR1'!$A$4:$L$399,5,False)*$X$19+VLOOKUP($O201,'NO USAR1'!$A$4:$L$399,6,False)*$Y$19+VLOOKUP($O201,'NO USAR1'!$A$4:$L$399,7,False)*$Z$19+VLOOKUP($O201,'NO USAR1'!$A$4:$L$399,8,False)*$AA$19+VLOOKUP($O201,'NO USAR1'!$A$4:$L$399,10,False)*$AB$19+VLOOKUP($O201,'NO USAR1'!$A$4:$L$399,12,False)*$AC$19+IF(Projections!$K$3,-AN201, IF(Projections!$J$3,-AM201,0))</f>
        <v>-3.521113262</v>
      </c>
      <c r="T201" s="65">
        <f t="shared" si="1"/>
        <v>0.7872160206</v>
      </c>
      <c r="U201" s="65">
        <f>VLOOKUP($O201,'NO USAR2'!$B$2:$R$397,11,False)</f>
        <v>11.8</v>
      </c>
      <c r="V201" s="69">
        <f>VLOOKUP($O201,'NO USAR2'!$B$2:$R$397,10,False)</f>
        <v>1.2</v>
      </c>
      <c r="W201" s="65">
        <f>VLOOKUP($O201,'NO USAR2'!$B$2:$R$397,12,False)</f>
        <v>5</v>
      </c>
      <c r="X201" s="65">
        <f>VLOOKUP($O201,'NO USAR2'!$B$2:$R$397,13,False)</f>
        <v>2.2</v>
      </c>
      <c r="Y201" s="65">
        <f>VLOOKUP($O201,'NO USAR2'!$B$2:$R$397,14,False)</f>
        <v>0.9</v>
      </c>
      <c r="Z201" s="70">
        <f>VLOOKUP($O201,'NO USAR2'!$B$2:$R$397,15,False)</f>
        <v>0.2</v>
      </c>
      <c r="AA201" s="65">
        <f>100*VLOOKUP($O201,'NO USAR2'!$B$2:$R$397,7,False)</f>
        <v>44.44444444</v>
      </c>
      <c r="AB201" s="65">
        <f>100*VLOOKUP($O201,'NO USAR2'!$B$2:$R$397,9,False)</f>
        <v>78.78787879</v>
      </c>
      <c r="AC201" s="65">
        <f>VLOOKUP($O201,'NO USAR2'!$B$2:$Q$397,16,False)</f>
        <v>1.8</v>
      </c>
      <c r="AD201" s="65">
        <f>VLOOKUP($O201,'NO USAR1'!$A$4:$L$399,2,False)*$U$19</f>
        <v>-1.372171198</v>
      </c>
      <c r="AE201" s="65">
        <f>VLOOKUP($O201,'NO USAR1'!$A$4:$L$399,3,False)*$V$19</f>
        <v>-0.4134044473</v>
      </c>
      <c r="AF201" s="65">
        <f>VLOOKUP($O201,'NO USAR1'!$A$4:$L$399,4,False)*$W$19</f>
        <v>-0.4386260807</v>
      </c>
      <c r="AG201" s="65">
        <f>VLOOKUP($O201,'NO USAR1'!$A$4:$L$399,5,False)*$X$19</f>
        <v>-0.8571888629</v>
      </c>
      <c r="AH201" s="65">
        <f>VLOOKUP($O201,'NO USAR1'!$A$4:$L$399,6,False)*$Y$19</f>
        <v>-0.4252615982</v>
      </c>
      <c r="AI201" s="65">
        <f>VLOOKUP($O201,'NO USAR1'!$A$4:$L$399,7,False)*$Z$19</f>
        <v>0</v>
      </c>
      <c r="AJ201" s="65">
        <f>VLOOKUP($O201,'NO USAR1'!$A$4:$L$399,8,False)*$AA$19</f>
        <v>0</v>
      </c>
      <c r="AK201" s="70">
        <f>VLOOKUP($O201,'NO USAR1'!$A$4:$L$399,10,False)*$AB$19</f>
        <v>-0.01446107435</v>
      </c>
      <c r="AL201" s="65">
        <f>VLOOKUP($O201,'NO USAR1'!$A$4:$L$399,12,False)*$AC$19</f>
        <v>0</v>
      </c>
      <c r="AM201" s="71">
        <f t="shared" si="2"/>
        <v>-1.372171198</v>
      </c>
      <c r="AN201" s="71">
        <f t="shared" si="3"/>
        <v>-2.229360061</v>
      </c>
    </row>
    <row r="202">
      <c r="A202" t="str">
        <f>IF('NO USAR2'!B200="",ROW('NO USAR2'!B200),'NO USAR2'!B200)</f>
        <v>Jonathan Kuminga</v>
      </c>
      <c r="B202" s="58">
        <f>IF(TYPE($A202)=1,"",('NO USAR2'!$L200-B$1)/B$2)</f>
        <v>-0.7195052416</v>
      </c>
      <c r="C202" s="58">
        <f>IF(TYPE($A202)=1,"",('NO USAR2'!$K200-C$1)/C$2)</f>
        <v>-0.5134000036</v>
      </c>
      <c r="D202" s="58">
        <f>IF(TYPE($A202)=1,"",('NO USAR2'!$M200-D$1)/D$2)</f>
        <v>-0.3569830001</v>
      </c>
      <c r="E202" s="58">
        <f>IF(TYPE($A202)=1,"",('NO USAR2'!$N200-E$1)/E$2)</f>
        <v>-1.050994745</v>
      </c>
      <c r="F202" s="58">
        <f>IF(TYPE($A202)=1,"",('NO USAR2'!$O200-F$1)/F$2)</f>
        <v>-1.32132894</v>
      </c>
      <c r="G202" s="58">
        <f>IF(TYPE($A202)=1,"",('NO USAR2'!$P200-G$1)/G$2)</f>
        <v>-0.4064530313</v>
      </c>
      <c r="H202" s="58">
        <f>IF(TYPE($A202)=1,"",('NO USAR2'!$H200-H$1)/H$2*I202/$I$1)</f>
        <v>0.1826492676</v>
      </c>
      <c r="I202" s="58">
        <f>IF(TYPE($A202)=1,"",IF('NO USAR2'!H200=0,0,'NO USAR2'!G200/'NO USAR2'!H200))</f>
        <v>9.5</v>
      </c>
      <c r="J202" s="59">
        <f>IF(TYPE($A202)=1,"",('NO USAR2'!$J200-J$1)/J$2*K202/$K$1)</f>
        <v>-0.8239894252</v>
      </c>
      <c r="K202" s="60">
        <f>IF(TYPE($A202)=1,"",IF('NO USAR2'!J200=0,0,'NO USAR2'!I200/'NO USAR2'!J200))</f>
        <v>3.1</v>
      </c>
      <c r="L202" s="58">
        <f>IF(TYPE($A202)=1,"",-('NO USAR2'!$Q200-L$1)/L$2)</f>
        <v>0.3540580812</v>
      </c>
      <c r="N202" s="2">
        <v>182.0</v>
      </c>
      <c r="O202" s="68" t="str">
        <f>IF('NO USAR2'!B184="",ROW('NO USAR2'!B184),'NO USAR2'!B184)</f>
        <v>Delon Wright</v>
      </c>
      <c r="P202" s="68">
        <f>'NO USAR2'!E183</f>
        <v>69</v>
      </c>
      <c r="Q202" s="68" t="str">
        <f>IF('NO USAR2'!C184="",ROW('NO USAR2'!N199),'NO USAR2'!C184)</f>
        <v>SG/PF</v>
      </c>
      <c r="R202" s="65">
        <f>VLOOKUP($O202,'NO USAR1'!$A$4:$L$399,2,False)+VLOOKUP($O202,'NO USAR1'!$A$4:$L$399,3,False)+VLOOKUP($O202,'NO USAR1'!$A$4:$L$399,4,False)+VLOOKUP($O202,'NO USAR1'!$A$4:$L$399,5,False)+VLOOKUP($O202,'NO USAR1'!$A$4:$L$399,6,False)+VLOOKUP($O202,'NO USAR1'!$A$4:$L$399,7,False)+VLOOKUP($O202,'NO USAR1'!$A$4:$L$399,8,False)+VLOOKUP($O202,'NO USAR1'!$A$4:$L$399,10,False)+VLOOKUP($O202,'NO USAR1'!$A$4:$L$399,12,False)*0</f>
        <v>-4.403843131</v>
      </c>
      <c r="S202" s="65">
        <f>VLOOKUP($O202,'NO USAR1'!$A$4:$L$399,2,False)*$U$19+VLOOKUP($O202,'NO USAR1'!$A$4:$L$399,3,False)*$V$19+VLOOKUP($O202,'NO USAR1'!$A$4:$L$399,4,False)*$W$19+VLOOKUP($O202,'NO USAR1'!$A$4:$L$399,5,False)*$X$19+VLOOKUP($O202,'NO USAR1'!$A$4:$L$399,6,False)*$Y$19+VLOOKUP($O202,'NO USAR1'!$A$4:$L$399,7,False)*$Z$19+VLOOKUP($O202,'NO USAR1'!$A$4:$L$399,8,False)*$AA$19+VLOOKUP($O202,'NO USAR1'!$A$4:$L$399,10,False)*$AB$19+VLOOKUP($O202,'NO USAR1'!$A$4:$L$399,12,False)*$AC$19+IF(Projections!$K$3,-AN202, IF(Projections!$J$3,-AM202,0))</f>
        <v>-4.113350003</v>
      </c>
      <c r="T202" s="65">
        <f t="shared" si="1"/>
        <v>0.2904931288</v>
      </c>
      <c r="U202" s="65">
        <f>VLOOKUP($O202,'NO USAR2'!$B$2:$R$397,11,False)</f>
        <v>6.4</v>
      </c>
      <c r="V202" s="69">
        <f>VLOOKUP($O202,'NO USAR2'!$B$2:$R$397,10,False)</f>
        <v>0.7</v>
      </c>
      <c r="W202" s="65">
        <f>VLOOKUP($O202,'NO USAR2'!$B$2:$R$397,12,False)</f>
        <v>3.2</v>
      </c>
      <c r="X202" s="65">
        <f>VLOOKUP($O202,'NO USAR2'!$B$2:$R$397,13,False)</f>
        <v>2.7</v>
      </c>
      <c r="Y202" s="65">
        <f>VLOOKUP($O202,'NO USAR2'!$B$2:$R$397,14,False)</f>
        <v>1.3</v>
      </c>
      <c r="Z202" s="70">
        <f>VLOOKUP($O202,'NO USAR2'!$B$2:$R$397,15,False)</f>
        <v>0.2</v>
      </c>
      <c r="AA202" s="65">
        <f>100*VLOOKUP($O202,'NO USAR2'!$B$2:$R$397,7,False)</f>
        <v>45.28301887</v>
      </c>
      <c r="AB202" s="65">
        <f>100*VLOOKUP($O202,'NO USAR2'!$B$2:$R$397,9,False)</f>
        <v>88.88888889</v>
      </c>
      <c r="AC202" s="65">
        <f>VLOOKUP($O202,'NO USAR2'!$B$2:$Q$397,16,False)</f>
        <v>0.7</v>
      </c>
      <c r="AD202" s="65">
        <f>VLOOKUP($O202,'NO USAR1'!$A$4:$L$399,2,False)*$U$19</f>
        <v>-2.810109394</v>
      </c>
      <c r="AE202" s="65">
        <f>VLOOKUP($O202,'NO USAR1'!$A$4:$L$399,3,False)*$V$19</f>
        <v>-0.9133822286</v>
      </c>
      <c r="AF202" s="65">
        <f>VLOOKUP($O202,'NO USAR1'!$A$4:$L$399,4,False)*$W$19</f>
        <v>-1.173413806</v>
      </c>
      <c r="AG202" s="65">
        <f>VLOOKUP($O202,'NO USAR1'!$A$4:$L$399,5,False)*$X$19</f>
        <v>-0.5718422575</v>
      </c>
      <c r="AH202" s="65">
        <f>VLOOKUP($O202,'NO USAR1'!$A$4:$L$399,6,False)*$Y$19</f>
        <v>1.209937838</v>
      </c>
      <c r="AI202" s="65">
        <f>VLOOKUP($O202,'NO USAR1'!$A$4:$L$399,7,False)*$Z$19</f>
        <v>0</v>
      </c>
      <c r="AJ202" s="65">
        <f>VLOOKUP($O202,'NO USAR1'!$A$4:$L$399,8,False)*$AA$19</f>
        <v>0</v>
      </c>
      <c r="AK202" s="70">
        <f>VLOOKUP($O202,'NO USAR1'!$A$4:$L$399,10,False)*$AB$19</f>
        <v>0.1454598457</v>
      </c>
      <c r="AL202" s="65">
        <f>VLOOKUP($O202,'NO USAR1'!$A$4:$L$399,12,False)*$AC$19</f>
        <v>0</v>
      </c>
      <c r="AM202" s="71">
        <f t="shared" si="2"/>
        <v>-2.810109394</v>
      </c>
      <c r="AN202" s="71">
        <f t="shared" si="3"/>
        <v>-3.9835232</v>
      </c>
    </row>
    <row r="203">
      <c r="A203" t="str">
        <f>IF('NO USAR2'!B201="",ROW('NO USAR2'!B201),'NO USAR2'!B201)</f>
        <v>Jaden Ivey</v>
      </c>
      <c r="B203" s="58">
        <f>IF(TYPE($A203)=1,"",('NO USAR2'!$L201-B$1)/B$2)</f>
        <v>-0.1691832163</v>
      </c>
      <c r="C203" s="58">
        <f>IF(TYPE($A203)=1,"",('NO USAR2'!$K201-C$1)/C$2)</f>
        <v>0.08657333394</v>
      </c>
      <c r="D203" s="58">
        <f>IF(TYPE($A203)=1,"",('NO USAR2'!$M201-D$1)/D$2)</f>
        <v>-1.050949185</v>
      </c>
      <c r="E203" s="58">
        <f>IF(TYPE($A203)=1,"",('NO USAR2'!$N201-E$1)/E$2)</f>
        <v>-0.4118183492</v>
      </c>
      <c r="F203" s="58">
        <f>IF(TYPE($A203)=1,"",('NO USAR2'!$O201-F$1)/F$2)</f>
        <v>-0.9942890529</v>
      </c>
      <c r="G203" s="58">
        <f>IF(TYPE($A203)=1,"",('NO USAR2'!$P201-G$1)/G$2)</f>
        <v>-0.6124445335</v>
      </c>
      <c r="H203" s="58">
        <f>IF(TYPE($A203)=1,"",('NO USAR2'!$H201-H$1)/H$2*I203/$I$1)</f>
        <v>-0.6008702699</v>
      </c>
      <c r="I203" s="58">
        <f>IF(TYPE($A203)=1,"",IF('NO USAR2'!H201=0,0,'NO USAR2'!G201/'NO USAR2'!H201))</f>
        <v>11.7</v>
      </c>
      <c r="J203" s="59">
        <f>IF(TYPE($A203)=1,"",('NO USAR2'!$J201-J$1)/J$2*K203/$K$1)</f>
        <v>-0.952833626</v>
      </c>
      <c r="K203" s="60">
        <f>IF(TYPE($A203)=1,"",IF('NO USAR2'!J201=0,0,'NO USAR2'!I201/'NO USAR2'!J201))</f>
        <v>5.3</v>
      </c>
      <c r="L203" s="58">
        <f>IF(TYPE($A203)=1,"",-('NO USAR2'!$Q201-L$1)/L$2)</f>
        <v>-0.4184996149</v>
      </c>
      <c r="N203" s="63">
        <v>183.0</v>
      </c>
      <c r="O203" s="68" t="str">
        <f>IF('NO USAR2'!B187="",ROW('NO USAR2'!B187),'NO USAR2'!B187)</f>
        <v>Cameron Payne</v>
      </c>
      <c r="P203" s="68">
        <f>'NO USAR2'!E184</f>
        <v>74</v>
      </c>
      <c r="Q203" s="68" t="str">
        <f>IF('NO USAR2'!C187="",ROW('NO USAR2'!N202),'NO USAR2'!C187)</f>
        <v>PG</v>
      </c>
      <c r="R203" s="65">
        <f>VLOOKUP($O203,'NO USAR1'!$A$4:$L$399,2,False)+VLOOKUP($O203,'NO USAR1'!$A$4:$L$399,3,False)+VLOOKUP($O203,'NO USAR1'!$A$4:$L$399,4,False)+VLOOKUP($O203,'NO USAR1'!$A$4:$L$399,5,False)+VLOOKUP($O203,'NO USAR1'!$A$4:$L$399,6,False)+VLOOKUP($O203,'NO USAR1'!$A$4:$L$399,7,False)+VLOOKUP($O203,'NO USAR1'!$A$4:$L$399,8,False)+VLOOKUP($O203,'NO USAR1'!$A$4:$L$399,10,False)+VLOOKUP($O203,'NO USAR1'!$A$4:$L$399,12,False)*0</f>
        <v>-4.413455137</v>
      </c>
      <c r="S203" s="65">
        <f>VLOOKUP($O203,'NO USAR1'!$A$4:$L$399,2,False)*$U$19+VLOOKUP($O203,'NO USAR1'!$A$4:$L$399,3,False)*$V$19+VLOOKUP($O203,'NO USAR1'!$A$4:$L$399,4,False)*$W$19+VLOOKUP($O203,'NO USAR1'!$A$4:$L$399,5,False)*$X$19+VLOOKUP($O203,'NO USAR1'!$A$4:$L$399,6,False)*$Y$19+VLOOKUP($O203,'NO USAR1'!$A$4:$L$399,7,False)*$Z$19+VLOOKUP($O203,'NO USAR1'!$A$4:$L$399,8,False)*$AA$19+VLOOKUP($O203,'NO USAR1'!$A$4:$L$399,10,False)*$AB$19+VLOOKUP($O203,'NO USAR1'!$A$4:$L$399,12,False)*$AC$19+IF(Projections!$K$3,-AN203, IF(Projections!$J$3,-AM203,0))</f>
        <v>-3.782202139</v>
      </c>
      <c r="T203" s="65">
        <f t="shared" si="1"/>
        <v>0.6312529982</v>
      </c>
      <c r="U203" s="65">
        <f>VLOOKUP($O203,'NO USAR2'!$B$2:$R$397,11,False)</f>
        <v>10.9</v>
      </c>
      <c r="V203" s="69">
        <f>VLOOKUP($O203,'NO USAR2'!$B$2:$R$397,10,False)</f>
        <v>1.2</v>
      </c>
      <c r="W203" s="65">
        <f>VLOOKUP($O203,'NO USAR2'!$B$2:$R$397,12,False)</f>
        <v>3.1</v>
      </c>
      <c r="X203" s="65">
        <f>VLOOKUP($O203,'NO USAR2'!$B$2:$R$397,13,False)</f>
        <v>4.6</v>
      </c>
      <c r="Y203" s="65">
        <f>VLOOKUP($O203,'NO USAR2'!$B$2:$R$397,14,False)</f>
        <v>0.7</v>
      </c>
      <c r="Z203" s="70">
        <f>VLOOKUP($O203,'NO USAR2'!$B$2:$R$397,15,False)</f>
        <v>0.3</v>
      </c>
      <c r="AA203" s="65">
        <f>100*VLOOKUP($O203,'NO USAR2'!$B$2:$R$397,7,False)</f>
        <v>42.85714286</v>
      </c>
      <c r="AB203" s="65">
        <f>100*VLOOKUP($O203,'NO USAR2'!$B$2:$R$397,9,False)</f>
        <v>86.66666667</v>
      </c>
      <c r="AC203" s="65">
        <f>VLOOKUP($O203,'NO USAR2'!$B$2:$Q$397,16,False)</f>
        <v>1.8</v>
      </c>
      <c r="AD203" s="65">
        <f>VLOOKUP($O203,'NO USAR1'!$A$4:$L$399,2,False)*$U$19</f>
        <v>-1.611827564</v>
      </c>
      <c r="AE203" s="65">
        <f>VLOOKUP($O203,'NO USAR1'!$A$4:$L$399,3,False)*$V$19</f>
        <v>-0.4134044473</v>
      </c>
      <c r="AF203" s="65">
        <f>VLOOKUP($O203,'NO USAR1'!$A$4:$L$399,4,False)*$W$19</f>
        <v>-1.214235346</v>
      </c>
      <c r="AG203" s="65">
        <f>VLOOKUP($O203,'NO USAR1'!$A$4:$L$399,5,False)*$X$19</f>
        <v>0.512474843</v>
      </c>
      <c r="AH203" s="65">
        <f>VLOOKUP($O203,'NO USAR1'!$A$4:$L$399,6,False)*$Y$19</f>
        <v>-1.242861316</v>
      </c>
      <c r="AI203" s="65">
        <f>VLOOKUP($O203,'NO USAR1'!$A$4:$L$399,7,False)*$Z$19</f>
        <v>0</v>
      </c>
      <c r="AJ203" s="65">
        <f>VLOOKUP($O203,'NO USAR1'!$A$4:$L$399,8,False)*$AA$19</f>
        <v>0</v>
      </c>
      <c r="AK203" s="70">
        <f>VLOOKUP($O203,'NO USAR1'!$A$4:$L$399,10,False)*$AB$19</f>
        <v>0.187651692</v>
      </c>
      <c r="AL203" s="65">
        <f>VLOOKUP($O203,'NO USAR1'!$A$4:$L$399,12,False)*$AC$19</f>
        <v>0</v>
      </c>
      <c r="AM203" s="71">
        <f t="shared" si="2"/>
        <v>-1.611827564</v>
      </c>
      <c r="AN203" s="71">
        <f t="shared" si="3"/>
        <v>-2.85468888</v>
      </c>
    </row>
    <row r="204">
      <c r="B204" s="58"/>
      <c r="C204" s="58"/>
      <c r="D204" s="58"/>
      <c r="E204" s="58"/>
      <c r="F204" s="58"/>
      <c r="G204" s="58"/>
      <c r="H204" s="58"/>
      <c r="I204" s="58"/>
      <c r="J204" s="59"/>
      <c r="K204" s="60"/>
      <c r="L204" s="58"/>
      <c r="N204" s="63">
        <v>184.0</v>
      </c>
      <c r="O204" s="68" t="str">
        <f>IF('NO USAR2'!B154="",ROW('NO USAR2'!B154),'NO USAR2'!B154)</f>
        <v>Isaiah Stewart</v>
      </c>
      <c r="P204" s="68">
        <f>'NO USAR2'!E185</f>
        <v>76</v>
      </c>
      <c r="Q204" s="68" t="str">
        <f>IF('NO USAR2'!C154="",ROW('NO USAR2'!N169),'NO USAR2'!C154)</f>
        <v>PF/C</v>
      </c>
      <c r="R204" s="65">
        <f>VLOOKUP($O204,'NO USAR1'!$A$4:$L$399,2,False)+VLOOKUP($O204,'NO USAR1'!$A$4:$L$399,3,False)+VLOOKUP($O204,'NO USAR1'!$A$4:$L$399,4,False)+VLOOKUP($O204,'NO USAR1'!$A$4:$L$399,5,False)+VLOOKUP($O204,'NO USAR1'!$A$4:$L$399,6,False)+VLOOKUP($O204,'NO USAR1'!$A$4:$L$399,7,False)+VLOOKUP($O204,'NO USAR1'!$A$4:$L$399,8,False)+VLOOKUP($O204,'NO USAR1'!$A$4:$L$399,10,False)+VLOOKUP($O204,'NO USAR1'!$A$4:$L$399,12,False)*0</f>
        <v>-4.4187018</v>
      </c>
      <c r="S204" s="65">
        <f>VLOOKUP($O204,'NO USAR1'!$A$4:$L$399,2,False)*$U$19+VLOOKUP($O204,'NO USAR1'!$A$4:$L$399,3,False)*$V$19+VLOOKUP($O204,'NO USAR1'!$A$4:$L$399,4,False)*$W$19+VLOOKUP($O204,'NO USAR1'!$A$4:$L$399,5,False)*$X$19+VLOOKUP($O204,'NO USAR1'!$A$4:$L$399,6,False)*$Y$19+VLOOKUP($O204,'NO USAR1'!$A$4:$L$399,7,False)*$Z$19+VLOOKUP($O204,'NO USAR1'!$A$4:$L$399,8,False)*$AA$19+VLOOKUP($O204,'NO USAR1'!$A$4:$L$399,10,False)*$AB$19+VLOOKUP($O204,'NO USAR1'!$A$4:$L$399,12,False)*$AC$19+IF(Projections!$K$3,-AN204, IF(Projections!$J$3,-AM204,0))</f>
        <v>-6.627838229</v>
      </c>
      <c r="T204" s="65">
        <f t="shared" si="1"/>
        <v>-2.209136429</v>
      </c>
      <c r="U204" s="65">
        <f>VLOOKUP($O204,'NO USAR2'!$B$2:$R$397,11,False)</f>
        <v>9.6</v>
      </c>
      <c r="V204" s="69">
        <f>VLOOKUP($O204,'NO USAR2'!$B$2:$R$397,10,False)</f>
        <v>0.7</v>
      </c>
      <c r="W204" s="65">
        <f>VLOOKUP($O204,'NO USAR2'!$B$2:$R$397,12,False)</f>
        <v>8</v>
      </c>
      <c r="X204" s="65">
        <f>VLOOKUP($O204,'NO USAR2'!$B$2:$R$397,13,False)</f>
        <v>1.2</v>
      </c>
      <c r="Y204" s="65">
        <f>VLOOKUP($O204,'NO USAR2'!$B$2:$R$397,14,False)</f>
        <v>0.3</v>
      </c>
      <c r="Z204" s="70">
        <f>VLOOKUP($O204,'NO USAR2'!$B$2:$R$397,15,False)</f>
        <v>1.1</v>
      </c>
      <c r="AA204" s="65">
        <f>100*VLOOKUP($O204,'NO USAR2'!$B$2:$R$397,7,False)</f>
        <v>50</v>
      </c>
      <c r="AB204" s="65">
        <f>100*VLOOKUP($O204,'NO USAR2'!$B$2:$R$397,9,False)</f>
        <v>70.58823529</v>
      </c>
      <c r="AC204" s="65">
        <f>VLOOKUP($O204,'NO USAR2'!$B$2:$Q$397,16,False)</f>
        <v>1.2</v>
      </c>
      <c r="AD204" s="65">
        <f>VLOOKUP($O204,'NO USAR1'!$A$4:$L$399,2,False)*$U$19</f>
        <v>-1.95799787</v>
      </c>
      <c r="AE204" s="65">
        <f>VLOOKUP($O204,'NO USAR1'!$A$4:$L$399,3,False)*$V$19</f>
        <v>-0.9133822286</v>
      </c>
      <c r="AF204" s="65">
        <f>VLOOKUP($O204,'NO USAR1'!$A$4:$L$399,4,False)*$W$19</f>
        <v>0.7860201284</v>
      </c>
      <c r="AG204" s="65">
        <f>VLOOKUP($O204,'NO USAR1'!$A$4:$L$399,5,False)*$X$19</f>
        <v>-1.427882074</v>
      </c>
      <c r="AH204" s="65">
        <f>VLOOKUP($O204,'NO USAR1'!$A$4:$L$399,6,False)*$Y$19</f>
        <v>-2.878060752</v>
      </c>
      <c r="AI204" s="65">
        <f>VLOOKUP($O204,'NO USAR1'!$A$4:$L$399,7,False)*$Z$19</f>
        <v>0</v>
      </c>
      <c r="AJ204" s="65">
        <f>VLOOKUP($O204,'NO USAR1'!$A$4:$L$399,8,False)*$AA$19</f>
        <v>0</v>
      </c>
      <c r="AK204" s="70">
        <f>VLOOKUP($O204,'NO USAR1'!$A$4:$L$399,10,False)*$AB$19</f>
        <v>-0.2365354329</v>
      </c>
      <c r="AL204" s="65">
        <f>VLOOKUP($O204,'NO USAR1'!$A$4:$L$399,12,False)*$AC$19</f>
        <v>0</v>
      </c>
      <c r="AM204" s="71">
        <f t="shared" si="2"/>
        <v>-2.878060752</v>
      </c>
      <c r="AN204" s="71">
        <f t="shared" si="3"/>
        <v>-4.836058622</v>
      </c>
    </row>
    <row r="205">
      <c r="B205" s="58"/>
      <c r="C205" s="58"/>
      <c r="D205" s="58"/>
      <c r="E205" s="58"/>
      <c r="F205" s="58"/>
      <c r="G205" s="58"/>
      <c r="H205" s="58"/>
      <c r="I205" s="58"/>
      <c r="J205" s="59"/>
      <c r="K205" s="60"/>
      <c r="L205" s="58"/>
      <c r="N205" s="2">
        <v>185.0</v>
      </c>
      <c r="O205" s="68" t="str">
        <f>IF('NO USAR2'!B191="",ROW('NO USAR2'!B191),'NO USAR2'!B191)</f>
        <v>Talen Horton-Tucker</v>
      </c>
      <c r="P205" s="68">
        <f>'NO USAR2'!E186</f>
        <v>80</v>
      </c>
      <c r="Q205" s="68" t="str">
        <f>IF('NO USAR2'!C191="",ROW('NO USAR2'!N206),'NO USAR2'!C191)</f>
        <v>SG/SF</v>
      </c>
      <c r="R205" s="65">
        <f>VLOOKUP($O205,'NO USAR1'!$A$4:$L$399,2,False)+VLOOKUP($O205,'NO USAR1'!$A$4:$L$399,3,False)+VLOOKUP($O205,'NO USAR1'!$A$4:$L$399,4,False)+VLOOKUP($O205,'NO USAR1'!$A$4:$L$399,5,False)+VLOOKUP($O205,'NO USAR1'!$A$4:$L$399,6,False)+VLOOKUP($O205,'NO USAR1'!$A$4:$L$399,7,False)+VLOOKUP($O205,'NO USAR1'!$A$4:$L$399,8,False)+VLOOKUP($O205,'NO USAR1'!$A$4:$L$399,10,False)+VLOOKUP($O205,'NO USAR1'!$A$4:$L$399,12,False)*0</f>
        <v>-4.443876961</v>
      </c>
      <c r="S205" s="65">
        <f>VLOOKUP($O205,'NO USAR1'!$A$4:$L$399,2,False)*$U$19+VLOOKUP($O205,'NO USAR1'!$A$4:$L$399,3,False)*$V$19+VLOOKUP($O205,'NO USAR1'!$A$4:$L$399,4,False)*$W$19+VLOOKUP($O205,'NO USAR1'!$A$4:$L$399,5,False)*$X$19+VLOOKUP($O205,'NO USAR1'!$A$4:$L$399,6,False)*$Y$19+VLOOKUP($O205,'NO USAR1'!$A$4:$L$399,7,False)*$Z$19+VLOOKUP($O205,'NO USAR1'!$A$4:$L$399,8,False)*$AA$19+VLOOKUP($O205,'NO USAR1'!$A$4:$L$399,10,False)*$AB$19+VLOOKUP($O205,'NO USAR1'!$A$4:$L$399,12,False)*$AC$19+IF(Projections!$K$3,-AN205, IF(Projections!$J$3,-AM205,0))</f>
        <v>-4.236569673</v>
      </c>
      <c r="T205" s="65">
        <f t="shared" si="1"/>
        <v>0.2073072877</v>
      </c>
      <c r="U205" s="65">
        <f>VLOOKUP($O205,'NO USAR2'!$B$2:$R$397,11,False)</f>
        <v>10.1</v>
      </c>
      <c r="V205" s="69">
        <f>VLOOKUP($O205,'NO USAR2'!$B$2:$R$397,10,False)</f>
        <v>0.8</v>
      </c>
      <c r="W205" s="65">
        <f>VLOOKUP($O205,'NO USAR2'!$B$2:$R$397,12,False)</f>
        <v>3.3</v>
      </c>
      <c r="X205" s="65">
        <f>VLOOKUP($O205,'NO USAR2'!$B$2:$R$397,13,False)</f>
        <v>2.8</v>
      </c>
      <c r="Y205" s="65">
        <f>VLOOKUP($O205,'NO USAR2'!$B$2:$R$397,14,False)</f>
        <v>1</v>
      </c>
      <c r="Z205" s="70">
        <f>VLOOKUP($O205,'NO USAR2'!$B$2:$R$397,15,False)</f>
        <v>0.5</v>
      </c>
      <c r="AA205" s="65">
        <f>100*VLOOKUP($O205,'NO USAR2'!$B$2:$R$397,7,False)</f>
        <v>43.18181818</v>
      </c>
      <c r="AB205" s="65">
        <f>100*VLOOKUP($O205,'NO USAR2'!$B$2:$R$397,9,False)</f>
        <v>80.95238095</v>
      </c>
      <c r="AC205" s="65">
        <f>VLOOKUP($O205,'NO USAR2'!$B$2:$Q$397,16,False)</f>
        <v>1.4</v>
      </c>
      <c r="AD205" s="65">
        <f>VLOOKUP($O205,'NO USAR1'!$A$4:$L$399,2,False)*$U$19</f>
        <v>-1.824855445</v>
      </c>
      <c r="AE205" s="65">
        <f>VLOOKUP($O205,'NO USAR1'!$A$4:$L$399,3,False)*$V$19</f>
        <v>-0.8133866724</v>
      </c>
      <c r="AF205" s="65">
        <f>VLOOKUP($O205,'NO USAR1'!$A$4:$L$399,4,False)*$W$19</f>
        <v>-1.132592266</v>
      </c>
      <c r="AG205" s="65">
        <f>VLOOKUP($O205,'NO USAR1'!$A$4:$L$399,5,False)*$X$19</f>
        <v>-0.5147729365</v>
      </c>
      <c r="AH205" s="65">
        <f>VLOOKUP($O205,'NO USAR1'!$A$4:$L$399,6,False)*$Y$19</f>
        <v>-0.01646173929</v>
      </c>
      <c r="AI205" s="65">
        <f>VLOOKUP($O205,'NO USAR1'!$A$4:$L$399,7,False)*$Z$19</f>
        <v>0</v>
      </c>
      <c r="AJ205" s="65">
        <f>VLOOKUP($O205,'NO USAR1'!$A$4:$L$399,8,False)*$AA$19</f>
        <v>0</v>
      </c>
      <c r="AK205" s="70">
        <f>VLOOKUP($O205,'NO USAR1'!$A$4:$L$399,10,False)*$AB$19</f>
        <v>0.0654993857</v>
      </c>
      <c r="AL205" s="65">
        <f>VLOOKUP($O205,'NO USAR1'!$A$4:$L$399,12,False)*$AC$19</f>
        <v>0</v>
      </c>
      <c r="AM205" s="71">
        <f t="shared" si="2"/>
        <v>-1.824855445</v>
      </c>
      <c r="AN205" s="71">
        <f t="shared" si="3"/>
        <v>-2.957447711</v>
      </c>
    </row>
    <row r="206">
      <c r="B206" s="58"/>
      <c r="C206" s="58"/>
      <c r="D206" s="58"/>
      <c r="E206" s="58"/>
      <c r="F206" s="58"/>
      <c r="G206" s="58"/>
      <c r="H206" s="58"/>
      <c r="I206" s="58"/>
      <c r="J206" s="59"/>
      <c r="K206" s="60"/>
      <c r="L206" s="58"/>
      <c r="N206" s="63">
        <v>186.0</v>
      </c>
      <c r="O206" s="68" t="str">
        <f>IF('NO USAR2'!B185="",ROW('NO USAR2'!B185),'NO USAR2'!B185)</f>
        <v>Royce O'Neale</v>
      </c>
      <c r="P206" s="68">
        <f>'NO USAR2'!E187</f>
        <v>60</v>
      </c>
      <c r="Q206" s="68" t="str">
        <f>IF('NO USAR2'!C185="",ROW('NO USAR2'!N200),'NO USAR2'!C185)</f>
        <v>SF/PF</v>
      </c>
      <c r="R206" s="65">
        <f>VLOOKUP($O206,'NO USAR1'!$A$4:$L$399,2,False)+VLOOKUP($O206,'NO USAR1'!$A$4:$L$399,3,False)+VLOOKUP($O206,'NO USAR1'!$A$4:$L$399,4,False)+VLOOKUP($O206,'NO USAR1'!$A$4:$L$399,5,False)+VLOOKUP($O206,'NO USAR1'!$A$4:$L$399,6,False)+VLOOKUP($O206,'NO USAR1'!$A$4:$L$399,7,False)+VLOOKUP($O206,'NO USAR1'!$A$4:$L$399,8,False)+VLOOKUP($O206,'NO USAR1'!$A$4:$L$399,10,False)+VLOOKUP($O206,'NO USAR1'!$A$4:$L$399,12,False)*0</f>
        <v>-4.583286013</v>
      </c>
      <c r="S206" s="65">
        <f>VLOOKUP($O206,'NO USAR1'!$A$4:$L$399,2,False)*$U$19+VLOOKUP($O206,'NO USAR1'!$A$4:$L$399,3,False)*$V$19+VLOOKUP($O206,'NO USAR1'!$A$4:$L$399,4,False)*$W$19+VLOOKUP($O206,'NO USAR1'!$A$4:$L$399,5,False)*$X$19+VLOOKUP($O206,'NO USAR1'!$A$4:$L$399,6,False)*$Y$19+VLOOKUP($O206,'NO USAR1'!$A$4:$L$399,7,False)*$Z$19+VLOOKUP($O206,'NO USAR1'!$A$4:$L$399,8,False)*$AA$19+VLOOKUP($O206,'NO USAR1'!$A$4:$L$399,10,False)*$AB$19+VLOOKUP($O206,'NO USAR1'!$A$4:$L$399,12,False)*$AC$19+IF(Projections!$K$3,-AN206, IF(Projections!$J$3,-AM206,0))</f>
        <v>-4.696844403</v>
      </c>
      <c r="T206" s="65">
        <f t="shared" si="1"/>
        <v>-0.1135583903</v>
      </c>
      <c r="U206" s="65">
        <f>VLOOKUP($O206,'NO USAR2'!$B$2:$R$397,11,False)</f>
        <v>6.6</v>
      </c>
      <c r="V206" s="69">
        <f>VLOOKUP($O206,'NO USAR2'!$B$2:$R$397,10,False)</f>
        <v>1.4</v>
      </c>
      <c r="W206" s="65">
        <f>VLOOKUP($O206,'NO USAR2'!$B$2:$R$397,12,False)</f>
        <v>4.2</v>
      </c>
      <c r="X206" s="65">
        <f>VLOOKUP($O206,'NO USAR2'!$B$2:$R$397,13,False)</f>
        <v>2.2</v>
      </c>
      <c r="Y206" s="65">
        <f>VLOOKUP($O206,'NO USAR2'!$B$2:$R$397,14,False)</f>
        <v>1</v>
      </c>
      <c r="Z206" s="70">
        <f>VLOOKUP($O206,'NO USAR2'!$B$2:$R$397,15,False)</f>
        <v>0.4</v>
      </c>
      <c r="AA206" s="65">
        <f>100*VLOOKUP($O206,'NO USAR2'!$B$2:$R$397,7,False)</f>
        <v>44.23076923</v>
      </c>
      <c r="AB206" s="65">
        <f>100*VLOOKUP($O206,'NO USAR2'!$B$2:$R$397,9,False)</f>
        <v>71.42857143</v>
      </c>
      <c r="AC206" s="65">
        <f>VLOOKUP($O206,'NO USAR2'!$B$2:$Q$397,16,False)</f>
        <v>0.9</v>
      </c>
      <c r="AD206" s="65">
        <f>VLOOKUP($O206,'NO USAR1'!$A$4:$L$399,2,False)*$U$19</f>
        <v>-2.756852423</v>
      </c>
      <c r="AE206" s="65">
        <f>VLOOKUP($O206,'NO USAR1'!$A$4:$L$399,3,False)*$V$19</f>
        <v>-0.2134133348</v>
      </c>
      <c r="AF206" s="65">
        <f>VLOOKUP($O206,'NO USAR1'!$A$4:$L$399,4,False)*$W$19</f>
        <v>-0.7651984031</v>
      </c>
      <c r="AG206" s="65">
        <f>VLOOKUP($O206,'NO USAR1'!$A$4:$L$399,5,False)*$X$19</f>
        <v>-0.8571888629</v>
      </c>
      <c r="AH206" s="65">
        <f>VLOOKUP($O206,'NO USAR1'!$A$4:$L$399,6,False)*$Y$19</f>
        <v>-0.01646173929</v>
      </c>
      <c r="AI206" s="65">
        <f>VLOOKUP($O206,'NO USAR1'!$A$4:$L$399,7,False)*$Z$19</f>
        <v>0</v>
      </c>
      <c r="AJ206" s="65">
        <f>VLOOKUP($O206,'NO USAR1'!$A$4:$L$399,8,False)*$AA$19</f>
        <v>0</v>
      </c>
      <c r="AK206" s="70">
        <f>VLOOKUP($O206,'NO USAR1'!$A$4:$L$399,10,False)*$AB$19</f>
        <v>-0.08772963985</v>
      </c>
      <c r="AL206" s="65">
        <f>VLOOKUP($O206,'NO USAR1'!$A$4:$L$399,12,False)*$AC$19</f>
        <v>0</v>
      </c>
      <c r="AM206" s="71">
        <f t="shared" si="2"/>
        <v>-2.756852423</v>
      </c>
      <c r="AN206" s="71">
        <f t="shared" si="3"/>
        <v>-3.614041286</v>
      </c>
    </row>
    <row r="207">
      <c r="B207" s="58"/>
      <c r="C207" s="58"/>
      <c r="D207" s="58"/>
      <c r="E207" s="58"/>
      <c r="F207" s="58"/>
      <c r="G207" s="58"/>
      <c r="H207" s="58"/>
      <c r="I207" s="58"/>
      <c r="J207" s="59"/>
      <c r="K207" s="60"/>
      <c r="L207" s="58"/>
      <c r="N207" s="63">
        <v>187.0</v>
      </c>
      <c r="O207" s="68" t="str">
        <f>IF('NO USAR2'!B186="",ROW('NO USAR2'!B186),'NO USAR2'!B186)</f>
        <v>Deni Avdija</v>
      </c>
      <c r="P207" s="68">
        <f>'NO USAR2'!E188</f>
        <v>72</v>
      </c>
      <c r="Q207" s="68" t="str">
        <f>IF('NO USAR2'!C186="",ROW('NO USAR2'!N201),'NO USAR2'!C186)</f>
        <v>SF/PF</v>
      </c>
      <c r="R207" s="65">
        <f>VLOOKUP($O207,'NO USAR1'!$A$4:$L$399,2,False)+VLOOKUP($O207,'NO USAR1'!$A$4:$L$399,3,False)+VLOOKUP($O207,'NO USAR1'!$A$4:$L$399,4,False)+VLOOKUP($O207,'NO USAR1'!$A$4:$L$399,5,False)+VLOOKUP($O207,'NO USAR1'!$A$4:$L$399,6,False)+VLOOKUP($O207,'NO USAR1'!$A$4:$L$399,7,False)+VLOOKUP($O207,'NO USAR1'!$A$4:$L$399,8,False)+VLOOKUP($O207,'NO USAR1'!$A$4:$L$399,10,False)+VLOOKUP($O207,'NO USAR1'!$A$4:$L$399,12,False)*0</f>
        <v>-4.639794584</v>
      </c>
      <c r="S207" s="65">
        <f>VLOOKUP($O207,'NO USAR1'!$A$4:$L$399,2,False)*$U$19+VLOOKUP($O207,'NO USAR1'!$A$4:$L$399,3,False)*$V$19+VLOOKUP($O207,'NO USAR1'!$A$4:$L$399,4,False)*$W$19+VLOOKUP($O207,'NO USAR1'!$A$4:$L$399,5,False)*$X$19+VLOOKUP($O207,'NO USAR1'!$A$4:$L$399,6,False)*$Y$19+VLOOKUP($O207,'NO USAR1'!$A$4:$L$399,7,False)*$Z$19+VLOOKUP($O207,'NO USAR1'!$A$4:$L$399,8,False)*$AA$19+VLOOKUP($O207,'NO USAR1'!$A$4:$L$399,10,False)*$AB$19+VLOOKUP($O207,'NO USAR1'!$A$4:$L$399,12,False)*$AC$19+IF(Projections!$K$3,-AN207, IF(Projections!$J$3,-AM207,0))</f>
        <v>-4.708487926</v>
      </c>
      <c r="T207" s="65">
        <f t="shared" si="1"/>
        <v>-0.06869334142</v>
      </c>
      <c r="U207" s="65">
        <f>VLOOKUP($O207,'NO USAR2'!$B$2:$R$397,11,False)</f>
        <v>10.1</v>
      </c>
      <c r="V207" s="69">
        <f>VLOOKUP($O207,'NO USAR2'!$B$2:$R$397,10,False)</f>
        <v>1.2</v>
      </c>
      <c r="W207" s="65">
        <f>VLOOKUP($O207,'NO USAR2'!$B$2:$R$397,12,False)</f>
        <v>5.4</v>
      </c>
      <c r="X207" s="65">
        <f>VLOOKUP($O207,'NO USAR2'!$B$2:$R$397,13,False)</f>
        <v>2.1</v>
      </c>
      <c r="Y207" s="65">
        <f>VLOOKUP($O207,'NO USAR2'!$B$2:$R$397,14,False)</f>
        <v>0.7</v>
      </c>
      <c r="Z207" s="70">
        <f>VLOOKUP($O207,'NO USAR2'!$B$2:$R$397,15,False)</f>
        <v>0.5</v>
      </c>
      <c r="AA207" s="65">
        <f>100*VLOOKUP($O207,'NO USAR2'!$B$2:$R$397,7,False)</f>
        <v>43.52941176</v>
      </c>
      <c r="AB207" s="65">
        <f>100*VLOOKUP($O207,'NO USAR2'!$B$2:$R$397,9,False)</f>
        <v>77.77777778</v>
      </c>
      <c r="AC207" s="65">
        <f>VLOOKUP($O207,'NO USAR2'!$B$2:$Q$397,16,False)</f>
        <v>1.2</v>
      </c>
      <c r="AD207" s="65">
        <f>VLOOKUP($O207,'NO USAR1'!$A$4:$L$399,2,False)*$U$19</f>
        <v>-1.824855445</v>
      </c>
      <c r="AE207" s="65">
        <f>VLOOKUP($O207,'NO USAR1'!$A$4:$L$399,3,False)*$V$19</f>
        <v>-0.4134044473</v>
      </c>
      <c r="AF207" s="65">
        <f>VLOOKUP($O207,'NO USAR1'!$A$4:$L$399,4,False)*$W$19</f>
        <v>-0.2753399195</v>
      </c>
      <c r="AG207" s="65">
        <f>VLOOKUP($O207,'NO USAR1'!$A$4:$L$399,5,False)*$X$19</f>
        <v>-0.914258184</v>
      </c>
      <c r="AH207" s="65">
        <f>VLOOKUP($O207,'NO USAR1'!$A$4:$L$399,6,False)*$Y$19</f>
        <v>-1.242861316</v>
      </c>
      <c r="AI207" s="65">
        <f>VLOOKUP($O207,'NO USAR1'!$A$4:$L$399,7,False)*$Z$19</f>
        <v>0</v>
      </c>
      <c r="AJ207" s="65">
        <f>VLOOKUP($O207,'NO USAR1'!$A$4:$L$399,8,False)*$AA$19</f>
        <v>0</v>
      </c>
      <c r="AK207" s="70">
        <f>VLOOKUP($O207,'NO USAR1'!$A$4:$L$399,10,False)*$AB$19</f>
        <v>-0.03776861376</v>
      </c>
      <c r="AL207" s="65">
        <f>VLOOKUP($O207,'NO USAR1'!$A$4:$L$399,12,False)*$AC$19</f>
        <v>0</v>
      </c>
      <c r="AM207" s="71">
        <f t="shared" si="2"/>
        <v>-1.824855445</v>
      </c>
      <c r="AN207" s="71">
        <f t="shared" si="3"/>
        <v>-3.067716761</v>
      </c>
    </row>
    <row r="208">
      <c r="B208" s="58"/>
      <c r="C208" s="58"/>
      <c r="D208" s="58"/>
      <c r="E208" s="58"/>
      <c r="F208" s="58"/>
      <c r="G208" s="58"/>
      <c r="H208" s="58"/>
      <c r="I208" s="58"/>
      <c r="J208" s="59"/>
      <c r="K208" s="60"/>
      <c r="L208" s="58"/>
      <c r="N208" s="2">
        <v>188.0</v>
      </c>
      <c r="O208" s="68" t="str">
        <f>IF('NO USAR2'!B174="",ROW('NO USAR2'!B174),'NO USAR2'!B174)</f>
        <v>Grant Williams</v>
      </c>
      <c r="P208" s="68">
        <f>'NO USAR2'!E189</f>
        <v>70</v>
      </c>
      <c r="Q208" s="68" t="str">
        <f>IF('NO USAR2'!C174="",ROW('NO USAR2'!N189),'NO USAR2'!C174)</f>
        <v>PF</v>
      </c>
      <c r="R208" s="65">
        <f>VLOOKUP($O208,'NO USAR1'!$A$4:$L$399,2,False)+VLOOKUP($O208,'NO USAR1'!$A$4:$L$399,3,False)+VLOOKUP($O208,'NO USAR1'!$A$4:$L$399,4,False)+VLOOKUP($O208,'NO USAR1'!$A$4:$L$399,5,False)+VLOOKUP($O208,'NO USAR1'!$A$4:$L$399,6,False)+VLOOKUP($O208,'NO USAR1'!$A$4:$L$399,7,False)+VLOOKUP($O208,'NO USAR1'!$A$4:$L$399,8,False)+VLOOKUP($O208,'NO USAR1'!$A$4:$L$399,10,False)+VLOOKUP($O208,'NO USAR1'!$A$4:$L$399,12,False)*0</f>
        <v>-4.69507801</v>
      </c>
      <c r="S208" s="65">
        <f>VLOOKUP($O208,'NO USAR1'!$A$4:$L$399,2,False)*$U$19+VLOOKUP($O208,'NO USAR1'!$A$4:$L$399,3,False)*$V$19+VLOOKUP($O208,'NO USAR1'!$A$4:$L$399,4,False)*$W$19+VLOOKUP($O208,'NO USAR1'!$A$4:$L$399,5,False)*$X$19+VLOOKUP($O208,'NO USAR1'!$A$4:$L$399,6,False)*$Y$19+VLOOKUP($O208,'NO USAR1'!$A$4:$L$399,7,False)*$Z$19+VLOOKUP($O208,'NO USAR1'!$A$4:$L$399,8,False)*$AA$19+VLOOKUP($O208,'NO USAR1'!$A$4:$L$399,10,False)*$AB$19+VLOOKUP($O208,'NO USAR1'!$A$4:$L$399,12,False)*$AC$19+IF(Projections!$K$3,-AN208, IF(Projections!$J$3,-AM208,0))</f>
        <v>-6.555075467</v>
      </c>
      <c r="T208" s="65">
        <f t="shared" si="1"/>
        <v>-1.859997456</v>
      </c>
      <c r="U208" s="65">
        <f>VLOOKUP($O208,'NO USAR2'!$B$2:$R$397,11,False)</f>
        <v>8.5</v>
      </c>
      <c r="V208" s="69">
        <f>VLOOKUP($O208,'NO USAR2'!$B$2:$R$397,10,False)</f>
        <v>1.5</v>
      </c>
      <c r="W208" s="65">
        <f>VLOOKUP($O208,'NO USAR2'!$B$2:$R$397,12,False)</f>
        <v>3.8</v>
      </c>
      <c r="X208" s="65">
        <f>VLOOKUP($O208,'NO USAR2'!$B$2:$R$397,13,False)</f>
        <v>1.1</v>
      </c>
      <c r="Y208" s="65">
        <f>VLOOKUP($O208,'NO USAR2'!$B$2:$R$397,14,False)</f>
        <v>0.5</v>
      </c>
      <c r="Z208" s="70">
        <f>VLOOKUP($O208,'NO USAR2'!$B$2:$R$397,15,False)</f>
        <v>0.8</v>
      </c>
      <c r="AA208" s="65">
        <f>100*VLOOKUP($O208,'NO USAR2'!$B$2:$R$397,7,False)</f>
        <v>47.54098361</v>
      </c>
      <c r="AB208" s="65">
        <f>100*VLOOKUP($O208,'NO USAR2'!$B$2:$R$397,9,False)</f>
        <v>92.30769231</v>
      </c>
      <c r="AC208" s="65">
        <f>VLOOKUP($O208,'NO USAR2'!$B$2:$Q$397,16,False)</f>
        <v>0.9</v>
      </c>
      <c r="AD208" s="65">
        <f>VLOOKUP($O208,'NO USAR1'!$A$4:$L$399,2,False)*$U$19</f>
        <v>-2.250911207</v>
      </c>
      <c r="AE208" s="65">
        <f>VLOOKUP($O208,'NO USAR1'!$A$4:$L$399,3,False)*$V$19</f>
        <v>-0.1134177786</v>
      </c>
      <c r="AF208" s="65">
        <f>VLOOKUP($O208,'NO USAR1'!$A$4:$L$399,4,False)*$W$19</f>
        <v>-0.9284845644</v>
      </c>
      <c r="AG208" s="65">
        <f>VLOOKUP($O208,'NO USAR1'!$A$4:$L$399,5,False)*$X$19</f>
        <v>-1.484951395</v>
      </c>
      <c r="AH208" s="65">
        <f>VLOOKUP($O208,'NO USAR1'!$A$4:$L$399,6,False)*$Y$19</f>
        <v>-2.060461034</v>
      </c>
      <c r="AI208" s="65">
        <f>VLOOKUP($O208,'NO USAR1'!$A$4:$L$399,7,False)*$Z$19</f>
        <v>0</v>
      </c>
      <c r="AJ208" s="65">
        <f>VLOOKUP($O208,'NO USAR1'!$A$4:$L$399,8,False)*$AA$19</f>
        <v>0</v>
      </c>
      <c r="AK208" s="70">
        <f>VLOOKUP($O208,'NO USAR1'!$A$4:$L$399,10,False)*$AB$19</f>
        <v>0.2831505117</v>
      </c>
      <c r="AL208" s="65">
        <f>VLOOKUP($O208,'NO USAR1'!$A$4:$L$399,12,False)*$AC$19</f>
        <v>0</v>
      </c>
      <c r="AM208" s="71">
        <f t="shared" si="2"/>
        <v>-2.250911207</v>
      </c>
      <c r="AN208" s="71">
        <f t="shared" si="3"/>
        <v>-4.311372241</v>
      </c>
    </row>
    <row r="209">
      <c r="B209" s="58"/>
      <c r="C209" s="58"/>
      <c r="D209" s="58"/>
      <c r="E209" s="58"/>
      <c r="F209" s="58"/>
      <c r="G209" s="58"/>
      <c r="H209" s="58"/>
      <c r="I209" s="58"/>
      <c r="J209" s="59"/>
      <c r="K209" s="60"/>
      <c r="L209" s="58"/>
      <c r="N209" s="63">
        <v>189.0</v>
      </c>
      <c r="O209" s="68" t="str">
        <f>IF('NO USAR2'!B201="",ROW('NO USAR2'!B201),'NO USAR2'!B201)</f>
        <v>Jaden Ivey</v>
      </c>
      <c r="P209" s="68">
        <f>'NO USAR2'!E190</f>
        <v>72</v>
      </c>
      <c r="Q209" s="68" t="str">
        <f>IF('NO USAR2'!C201="",ROW('NO USAR2'!N216),'NO USAR2'!C201)</f>
        <v>PG</v>
      </c>
      <c r="R209" s="65">
        <f>VLOOKUP($O209,'NO USAR1'!$A$4:$L$399,2,False)+VLOOKUP($O209,'NO USAR1'!$A$4:$L$399,3,False)+VLOOKUP($O209,'NO USAR1'!$A$4:$L$399,4,False)+VLOOKUP($O209,'NO USAR1'!$A$4:$L$399,5,False)+VLOOKUP($O209,'NO USAR1'!$A$4:$L$399,6,False)+VLOOKUP($O209,'NO USAR1'!$A$4:$L$399,7,False)+VLOOKUP($O209,'NO USAR1'!$A$4:$L$399,8,False)+VLOOKUP($O209,'NO USAR1'!$A$4:$L$399,10,False)+VLOOKUP($O209,'NO USAR1'!$A$4:$L$399,12,False)*0</f>
        <v>-4.705814899</v>
      </c>
      <c r="S209" s="65">
        <f>VLOOKUP($O209,'NO USAR1'!$A$4:$L$399,2,False)*$U$19+VLOOKUP($O209,'NO USAR1'!$A$4:$L$399,3,False)*$V$19+VLOOKUP($O209,'NO USAR1'!$A$4:$L$399,4,False)*$W$19+VLOOKUP($O209,'NO USAR1'!$A$4:$L$399,5,False)*$X$19+VLOOKUP($O209,'NO USAR1'!$A$4:$L$399,6,False)*$Y$19+VLOOKUP($O209,'NO USAR1'!$A$4:$L$399,7,False)*$Z$19+VLOOKUP($O209,'NO USAR1'!$A$4:$L$399,8,False)*$AA$19+VLOOKUP($O209,'NO USAR1'!$A$4:$L$399,10,False)*$AB$19+VLOOKUP($O209,'NO USAR1'!$A$4:$L$399,12,False)*$AC$19+IF(Projections!$K$3,-AN209, IF(Projections!$J$3,-AM209,0))</f>
        <v>-3.452201741</v>
      </c>
      <c r="T209" s="65">
        <f t="shared" si="1"/>
        <v>1.253613158</v>
      </c>
      <c r="U209" s="65">
        <f>VLOOKUP($O209,'NO USAR2'!$B$2:$R$397,11,False)</f>
        <v>16</v>
      </c>
      <c r="V209" s="69">
        <f>VLOOKUP($O209,'NO USAR2'!$B$2:$R$397,10,False)</f>
        <v>1.7</v>
      </c>
      <c r="W209" s="65">
        <f>VLOOKUP($O209,'NO USAR2'!$B$2:$R$397,12,False)</f>
        <v>3.5</v>
      </c>
      <c r="X209" s="65">
        <f>VLOOKUP($O209,'NO USAR2'!$B$2:$R$397,13,False)</f>
        <v>2.8</v>
      </c>
      <c r="Y209" s="65">
        <f>VLOOKUP($O209,'NO USAR2'!$B$2:$R$397,14,False)</f>
        <v>0.7</v>
      </c>
      <c r="Z209" s="70">
        <f>VLOOKUP($O209,'NO USAR2'!$B$2:$R$397,15,False)</f>
        <v>0.4</v>
      </c>
      <c r="AA209" s="65">
        <f>100*VLOOKUP($O209,'NO USAR2'!$B$2:$R$397,7,False)</f>
        <v>44.44444444</v>
      </c>
      <c r="AB209" s="65">
        <f>100*VLOOKUP($O209,'NO USAR2'!$B$2:$R$397,9,False)</f>
        <v>73.58490566</v>
      </c>
      <c r="AC209" s="65">
        <f>VLOOKUP($O209,'NO USAR2'!$B$2:$Q$397,16,False)</f>
        <v>2.4</v>
      </c>
      <c r="AD209" s="65">
        <f>VLOOKUP($O209,'NO USAR1'!$A$4:$L$399,2,False)*$U$19</f>
        <v>-0.2537748244</v>
      </c>
      <c r="AE209" s="65">
        <f>VLOOKUP($O209,'NO USAR1'!$A$4:$L$399,3,False)*$V$19</f>
        <v>0.08657333394</v>
      </c>
      <c r="AF209" s="65">
        <f>VLOOKUP($O209,'NO USAR1'!$A$4:$L$399,4,False)*$W$19</f>
        <v>-1.050949185</v>
      </c>
      <c r="AG209" s="65">
        <f>VLOOKUP($O209,'NO USAR1'!$A$4:$L$399,5,False)*$X$19</f>
        <v>-0.5147729365</v>
      </c>
      <c r="AH209" s="65">
        <f>VLOOKUP($O209,'NO USAR1'!$A$4:$L$399,6,False)*$Y$19</f>
        <v>-1.242861316</v>
      </c>
      <c r="AI209" s="65">
        <f>VLOOKUP($O209,'NO USAR1'!$A$4:$L$399,7,False)*$Z$19</f>
        <v>0</v>
      </c>
      <c r="AJ209" s="65">
        <f>VLOOKUP($O209,'NO USAR1'!$A$4:$L$399,8,False)*$AA$19</f>
        <v>0</v>
      </c>
      <c r="AK209" s="70">
        <f>VLOOKUP($O209,'NO USAR1'!$A$4:$L$399,10,False)*$AB$19</f>
        <v>-0.476416813</v>
      </c>
      <c r="AL209" s="65">
        <f>VLOOKUP($O209,'NO USAR1'!$A$4:$L$399,12,False)*$AC$19</f>
        <v>0</v>
      </c>
      <c r="AM209" s="71">
        <f t="shared" si="2"/>
        <v>-1.242861316</v>
      </c>
      <c r="AN209" s="71">
        <f t="shared" si="3"/>
        <v>-2.293810501</v>
      </c>
    </row>
    <row r="210">
      <c r="B210" s="58"/>
      <c r="C210" s="58"/>
      <c r="D210" s="58"/>
      <c r="E210" s="58"/>
      <c r="F210" s="58"/>
      <c r="G210" s="58"/>
      <c r="H210" s="58"/>
      <c r="I210" s="58"/>
      <c r="J210" s="59"/>
      <c r="K210" s="60"/>
      <c r="L210" s="58"/>
      <c r="N210" s="63">
        <v>190.0</v>
      </c>
      <c r="O210" s="68" t="str">
        <f>IF('NO USAR2'!B166="",ROW('NO USAR2'!B166),'NO USAR2'!B166)</f>
        <v>Damian Jones</v>
      </c>
      <c r="P210" s="68">
        <f>'NO USAR2'!E191</f>
        <v>65</v>
      </c>
      <c r="Q210" s="68" t="str">
        <f>IF('NO USAR2'!C166="",ROW('NO USAR2'!N181),'NO USAR2'!C166)</f>
        <v>C</v>
      </c>
      <c r="R210" s="65">
        <f>VLOOKUP($O210,'NO USAR1'!$A$4:$L$399,2,False)+VLOOKUP($O210,'NO USAR1'!$A$4:$L$399,3,False)+VLOOKUP($O210,'NO USAR1'!$A$4:$L$399,4,False)+VLOOKUP($O210,'NO USAR1'!$A$4:$L$399,5,False)+VLOOKUP($O210,'NO USAR1'!$A$4:$L$399,6,False)+VLOOKUP($O210,'NO USAR1'!$A$4:$L$399,7,False)+VLOOKUP($O210,'NO USAR1'!$A$4:$L$399,8,False)+VLOOKUP($O210,'NO USAR1'!$A$4:$L$399,10,False)+VLOOKUP($O210,'NO USAR1'!$A$4:$L$399,12,False)*0</f>
        <v>-4.798935333</v>
      </c>
      <c r="S210" s="65">
        <f>VLOOKUP($O210,'NO USAR1'!$A$4:$L$399,2,False)*$U$19+VLOOKUP($O210,'NO USAR1'!$A$4:$L$399,3,False)*$V$19+VLOOKUP($O210,'NO USAR1'!$A$4:$L$399,4,False)*$W$19+VLOOKUP($O210,'NO USAR1'!$A$4:$L$399,5,False)*$X$19+VLOOKUP($O210,'NO USAR1'!$A$4:$L$399,6,False)*$Y$19+VLOOKUP($O210,'NO USAR1'!$A$4:$L$399,7,False)*$Z$19+VLOOKUP($O210,'NO USAR1'!$A$4:$L$399,8,False)*$AA$19+VLOOKUP($O210,'NO USAR1'!$A$4:$L$399,10,False)*$AB$19+VLOOKUP($O210,'NO USAR1'!$A$4:$L$399,12,False)*$AC$19+IF(Projections!$K$3,-AN210, IF(Projections!$J$3,-AM210,0))</f>
        <v>-7.261841594</v>
      </c>
      <c r="T210" s="65">
        <f t="shared" si="1"/>
        <v>-2.462906261</v>
      </c>
      <c r="U210" s="65">
        <f>VLOOKUP($O210,'NO USAR2'!$B$2:$R$397,11,False)</f>
        <v>9.1</v>
      </c>
      <c r="V210" s="69">
        <f>VLOOKUP($O210,'NO USAR2'!$B$2:$R$397,10,False)</f>
        <v>0.2</v>
      </c>
      <c r="W210" s="65">
        <f>VLOOKUP($O210,'NO USAR2'!$B$2:$R$397,12,False)</f>
        <v>4.9</v>
      </c>
      <c r="X210" s="65">
        <f>VLOOKUP($O210,'NO USAR2'!$B$2:$R$397,13,False)</f>
        <v>1.3</v>
      </c>
      <c r="Y210" s="65">
        <f>VLOOKUP($O210,'NO USAR2'!$B$2:$R$397,14,False)</f>
        <v>0.6</v>
      </c>
      <c r="Z210" s="70">
        <f>VLOOKUP($O210,'NO USAR2'!$B$2:$R$397,15,False)</f>
        <v>0.9</v>
      </c>
      <c r="AA210" s="65">
        <f>100*VLOOKUP($O210,'NO USAR2'!$B$2:$R$397,7,False)</f>
        <v>64.81481481</v>
      </c>
      <c r="AB210" s="65">
        <f>100*VLOOKUP($O210,'NO USAR2'!$B$2:$R$397,9,False)</f>
        <v>73.07692308</v>
      </c>
      <c r="AC210" s="65">
        <f>VLOOKUP($O210,'NO USAR2'!$B$2:$Q$397,16,False)</f>
        <v>1.2</v>
      </c>
      <c r="AD210" s="65">
        <f>VLOOKUP($O210,'NO USAR1'!$A$4:$L$399,2,False)*$U$19</f>
        <v>-2.091140296</v>
      </c>
      <c r="AE210" s="65">
        <f>VLOOKUP($O210,'NO USAR1'!$A$4:$L$399,3,False)*$V$19</f>
        <v>-1.41336001</v>
      </c>
      <c r="AF210" s="65">
        <f>VLOOKUP($O210,'NO USAR1'!$A$4:$L$399,4,False)*$W$19</f>
        <v>-0.479447621</v>
      </c>
      <c r="AG210" s="65">
        <f>VLOOKUP($O210,'NO USAR1'!$A$4:$L$399,5,False)*$X$19</f>
        <v>-1.370812753</v>
      </c>
      <c r="AH210" s="65">
        <f>VLOOKUP($O210,'NO USAR1'!$A$4:$L$399,6,False)*$Y$19</f>
        <v>-1.651661175</v>
      </c>
      <c r="AI210" s="65">
        <f>VLOOKUP($O210,'NO USAR1'!$A$4:$L$399,7,False)*$Z$19</f>
        <v>0</v>
      </c>
      <c r="AJ210" s="65">
        <f>VLOOKUP($O210,'NO USAR1'!$A$4:$L$399,8,False)*$AA$19</f>
        <v>0</v>
      </c>
      <c r="AK210" s="70">
        <f>VLOOKUP($O210,'NO USAR1'!$A$4:$L$399,10,False)*$AB$19</f>
        <v>-0.2554197398</v>
      </c>
      <c r="AL210" s="65">
        <f>VLOOKUP($O210,'NO USAR1'!$A$4:$L$399,12,False)*$AC$19</f>
        <v>0</v>
      </c>
      <c r="AM210" s="71">
        <f t="shared" si="2"/>
        <v>-2.091140296</v>
      </c>
      <c r="AN210" s="71">
        <f t="shared" si="3"/>
        <v>-3.742801471</v>
      </c>
    </row>
    <row r="211">
      <c r="B211" s="58"/>
      <c r="C211" s="58"/>
      <c r="D211" s="58"/>
      <c r="E211" s="58"/>
      <c r="F211" s="58"/>
      <c r="G211" s="58"/>
      <c r="H211" s="58"/>
      <c r="I211" s="58"/>
      <c r="J211" s="59"/>
      <c r="K211" s="60"/>
      <c r="L211" s="58"/>
      <c r="N211" s="2">
        <v>191.0</v>
      </c>
      <c r="O211" s="68" t="str">
        <f>IF('NO USAR2'!B193="",ROW('NO USAR2'!B193),'NO USAR2'!B193)</f>
        <v>Tyus Jones</v>
      </c>
      <c r="P211" s="68">
        <f>'NO USAR2'!E192</f>
        <v>65</v>
      </c>
      <c r="Q211" s="68" t="str">
        <f>IF('NO USAR2'!C193="",ROW('NO USAR2'!N208),'NO USAR2'!C193)</f>
        <v>PG</v>
      </c>
      <c r="R211" s="65">
        <f>VLOOKUP($O211,'NO USAR1'!$A$4:$L$399,2,False)+VLOOKUP($O211,'NO USAR1'!$A$4:$L$399,3,False)+VLOOKUP($O211,'NO USAR1'!$A$4:$L$399,4,False)+VLOOKUP($O211,'NO USAR1'!$A$4:$L$399,5,False)+VLOOKUP($O211,'NO USAR1'!$A$4:$L$399,6,False)+VLOOKUP($O211,'NO USAR1'!$A$4:$L$399,7,False)+VLOOKUP($O211,'NO USAR1'!$A$4:$L$399,8,False)+VLOOKUP($O211,'NO USAR1'!$A$4:$L$399,10,False)+VLOOKUP($O211,'NO USAR1'!$A$4:$L$399,12,False)*0</f>
        <v>-4.887292503</v>
      </c>
      <c r="S211" s="65">
        <f>VLOOKUP($O211,'NO USAR1'!$A$4:$L$399,2,False)*$U$19+VLOOKUP($O211,'NO USAR1'!$A$4:$L$399,3,False)*$V$19+VLOOKUP($O211,'NO USAR1'!$A$4:$L$399,4,False)*$W$19+VLOOKUP($O211,'NO USAR1'!$A$4:$L$399,5,False)*$X$19+VLOOKUP($O211,'NO USAR1'!$A$4:$L$399,6,False)*$Y$19+VLOOKUP($O211,'NO USAR1'!$A$4:$L$399,7,False)*$Z$19+VLOOKUP($O211,'NO USAR1'!$A$4:$L$399,8,False)*$AA$19+VLOOKUP($O211,'NO USAR1'!$A$4:$L$399,10,False)*$AB$19+VLOOKUP($O211,'NO USAR1'!$A$4:$L$399,12,False)*$AC$19+IF(Projections!$K$3,-AN211, IF(Projections!$J$3,-AM211,0))</f>
        <v>-4.008808114</v>
      </c>
      <c r="T211" s="65">
        <f t="shared" si="1"/>
        <v>0.8784843891</v>
      </c>
      <c r="U211" s="65">
        <f>VLOOKUP($O211,'NO USAR2'!$B$2:$R$397,11,False)</f>
        <v>8.8</v>
      </c>
      <c r="V211" s="69">
        <f>VLOOKUP($O211,'NO USAR2'!$B$2:$R$397,10,False)</f>
        <v>1.1</v>
      </c>
      <c r="W211" s="65">
        <f>VLOOKUP($O211,'NO USAR2'!$B$2:$R$397,12,False)</f>
        <v>2.4</v>
      </c>
      <c r="X211" s="65">
        <f>VLOOKUP($O211,'NO USAR2'!$B$2:$R$397,13,False)</f>
        <v>4.5</v>
      </c>
      <c r="Y211" s="65">
        <f>VLOOKUP($O211,'NO USAR2'!$B$2:$R$397,14,False)</f>
        <v>0.9</v>
      </c>
      <c r="Z211" s="70">
        <f>VLOOKUP($O211,'NO USAR2'!$B$2:$R$397,15,False)</f>
        <v>0</v>
      </c>
      <c r="AA211" s="65">
        <f>100*VLOOKUP($O211,'NO USAR2'!$B$2:$R$397,7,False)</f>
        <v>45.45454545</v>
      </c>
      <c r="AB211" s="65">
        <f>100*VLOOKUP($O211,'NO USAR2'!$B$2:$R$397,9,False)</f>
        <v>88.88888889</v>
      </c>
      <c r="AC211" s="65">
        <f>VLOOKUP($O211,'NO USAR2'!$B$2:$Q$397,16,False)</f>
        <v>0.6</v>
      </c>
      <c r="AD211" s="65">
        <f>VLOOKUP($O211,'NO USAR1'!$A$4:$L$399,2,False)*$U$19</f>
        <v>-2.171025751</v>
      </c>
      <c r="AE211" s="65">
        <f>VLOOKUP($O211,'NO USAR1'!$A$4:$L$399,3,False)*$V$19</f>
        <v>-0.5134000036</v>
      </c>
      <c r="AF211" s="65">
        <f>VLOOKUP($O211,'NO USAR1'!$A$4:$L$399,4,False)*$W$19</f>
        <v>-1.499986129</v>
      </c>
      <c r="AG211" s="65">
        <f>VLOOKUP($O211,'NO USAR1'!$A$4:$L$399,5,False)*$X$19</f>
        <v>0.4554055219</v>
      </c>
      <c r="AH211" s="65">
        <f>VLOOKUP($O211,'NO USAR1'!$A$4:$L$399,6,False)*$Y$19</f>
        <v>-0.4252615982</v>
      </c>
      <c r="AI211" s="65">
        <f>VLOOKUP($O211,'NO USAR1'!$A$4:$L$399,7,False)*$Z$19</f>
        <v>0</v>
      </c>
      <c r="AJ211" s="65">
        <f>VLOOKUP($O211,'NO USAR1'!$A$4:$L$399,8,False)*$AA$19</f>
        <v>0</v>
      </c>
      <c r="AK211" s="70">
        <f>VLOOKUP($O211,'NO USAR1'!$A$4:$L$399,10,False)*$AB$19</f>
        <v>0.1454598457</v>
      </c>
      <c r="AL211" s="65">
        <f>VLOOKUP($O211,'NO USAR1'!$A$4:$L$399,12,False)*$AC$19</f>
        <v>0</v>
      </c>
      <c r="AM211" s="71">
        <f t="shared" si="2"/>
        <v>-2.171025751</v>
      </c>
      <c r="AN211" s="71">
        <f t="shared" si="3"/>
        <v>-3.67101188</v>
      </c>
    </row>
    <row r="212">
      <c r="B212" s="58"/>
      <c r="C212" s="58"/>
      <c r="D212" s="58"/>
      <c r="E212" s="58"/>
      <c r="F212" s="58"/>
      <c r="G212" s="58"/>
      <c r="H212" s="58"/>
      <c r="I212" s="58"/>
      <c r="J212" s="59"/>
      <c r="K212" s="60"/>
      <c r="L212" s="58"/>
      <c r="N212" s="63">
        <v>192.0</v>
      </c>
      <c r="O212" s="68" t="str">
        <f>IF('NO USAR2'!B192="",ROW('NO USAR2'!B192),'NO USAR2'!B192)</f>
        <v>Josh Richardson</v>
      </c>
      <c r="P212" s="68">
        <f>'NO USAR2'!E193</f>
        <v>73</v>
      </c>
      <c r="Q212" s="68" t="str">
        <f>IF('NO USAR2'!C192="",ROW('NO USAR2'!N207),'NO USAR2'!C192)</f>
        <v>SG/SF</v>
      </c>
      <c r="R212" s="65">
        <f>VLOOKUP($O212,'NO USAR1'!$A$4:$L$399,2,False)+VLOOKUP($O212,'NO USAR1'!$A$4:$L$399,3,False)+VLOOKUP($O212,'NO USAR1'!$A$4:$L$399,4,False)+VLOOKUP($O212,'NO USAR1'!$A$4:$L$399,5,False)+VLOOKUP($O212,'NO USAR1'!$A$4:$L$399,6,False)+VLOOKUP($O212,'NO USAR1'!$A$4:$L$399,7,False)+VLOOKUP($O212,'NO USAR1'!$A$4:$L$399,8,False)+VLOOKUP($O212,'NO USAR1'!$A$4:$L$399,10,False)+VLOOKUP($O212,'NO USAR1'!$A$4:$L$399,12,False)*0</f>
        <v>-4.990148133</v>
      </c>
      <c r="S212" s="65">
        <f>VLOOKUP($O212,'NO USAR1'!$A$4:$L$399,2,False)*$U$19+VLOOKUP($O212,'NO USAR1'!$A$4:$L$399,3,False)*$V$19+VLOOKUP($O212,'NO USAR1'!$A$4:$L$399,4,False)*$W$19+VLOOKUP($O212,'NO USAR1'!$A$4:$L$399,5,False)*$X$19+VLOOKUP($O212,'NO USAR1'!$A$4:$L$399,6,False)*$Y$19+VLOOKUP($O212,'NO USAR1'!$A$4:$L$399,7,False)*$Z$19+VLOOKUP($O212,'NO USAR1'!$A$4:$L$399,8,False)*$AA$19+VLOOKUP($O212,'NO USAR1'!$A$4:$L$399,10,False)*$AB$19+VLOOKUP($O212,'NO USAR1'!$A$4:$L$399,12,False)*$AC$19+IF(Projections!$K$3,-AN212, IF(Projections!$J$3,-AM212,0))</f>
        <v>-5.217652779</v>
      </c>
      <c r="T212" s="65">
        <f t="shared" si="1"/>
        <v>-0.2275046461</v>
      </c>
      <c r="U212" s="65">
        <f>VLOOKUP($O212,'NO USAR2'!$B$2:$R$397,11,False)</f>
        <v>9.7</v>
      </c>
      <c r="V212" s="69">
        <f>VLOOKUP($O212,'NO USAR2'!$B$2:$R$397,10,False)</f>
        <v>1.5</v>
      </c>
      <c r="W212" s="65">
        <f>VLOOKUP($O212,'NO USAR2'!$B$2:$R$397,12,False)</f>
        <v>2.6</v>
      </c>
      <c r="X212" s="65">
        <f>VLOOKUP($O212,'NO USAR2'!$B$2:$R$397,13,False)</f>
        <v>1.7</v>
      </c>
      <c r="Y212" s="65">
        <f>VLOOKUP($O212,'NO USAR2'!$B$2:$R$397,14,False)</f>
        <v>0.8</v>
      </c>
      <c r="Z212" s="70">
        <f>VLOOKUP($O212,'NO USAR2'!$B$2:$R$397,15,False)</f>
        <v>0.4</v>
      </c>
      <c r="AA212" s="65">
        <f>100*VLOOKUP($O212,'NO USAR2'!$B$2:$R$397,7,False)</f>
        <v>44.15584416</v>
      </c>
      <c r="AB212" s="65">
        <f>100*VLOOKUP($O212,'NO USAR2'!$B$2:$R$397,9,False)</f>
        <v>87.5</v>
      </c>
      <c r="AC212" s="65">
        <f>VLOOKUP($O212,'NO USAR2'!$B$2:$Q$397,16,False)</f>
        <v>0.9</v>
      </c>
      <c r="AD212" s="65">
        <f>VLOOKUP($O212,'NO USAR1'!$A$4:$L$399,2,False)*$U$19</f>
        <v>-1.931369385</v>
      </c>
      <c r="AE212" s="65">
        <f>VLOOKUP($O212,'NO USAR1'!$A$4:$L$399,3,False)*$V$19</f>
        <v>-0.1134177786</v>
      </c>
      <c r="AF212" s="65">
        <f>VLOOKUP($O212,'NO USAR1'!$A$4:$L$399,4,False)*$W$19</f>
        <v>-1.418343048</v>
      </c>
      <c r="AG212" s="65">
        <f>VLOOKUP($O212,'NO USAR1'!$A$4:$L$399,5,False)*$X$19</f>
        <v>-1.142535468</v>
      </c>
      <c r="AH212" s="65">
        <f>VLOOKUP($O212,'NO USAR1'!$A$4:$L$399,6,False)*$Y$19</f>
        <v>-0.8340614572</v>
      </c>
      <c r="AI212" s="65">
        <f>VLOOKUP($O212,'NO USAR1'!$A$4:$L$399,7,False)*$Z$19</f>
        <v>0</v>
      </c>
      <c r="AJ212" s="65">
        <f>VLOOKUP($O212,'NO USAR1'!$A$4:$L$399,8,False)*$AA$19</f>
        <v>0</v>
      </c>
      <c r="AK212" s="70">
        <f>VLOOKUP($O212,'NO USAR1'!$A$4:$L$399,10,False)*$AB$19</f>
        <v>0.2220743585</v>
      </c>
      <c r="AL212" s="65">
        <f>VLOOKUP($O212,'NO USAR1'!$A$4:$L$399,12,False)*$AC$19</f>
        <v>0</v>
      </c>
      <c r="AM212" s="71">
        <f t="shared" si="2"/>
        <v>-1.931369385</v>
      </c>
      <c r="AN212" s="71">
        <f t="shared" si="3"/>
        <v>-3.349712433</v>
      </c>
    </row>
    <row r="213">
      <c r="B213" s="58"/>
      <c r="C213" s="58"/>
      <c r="D213" s="58"/>
      <c r="E213" s="58"/>
      <c r="F213" s="58"/>
      <c r="G213" s="58"/>
      <c r="H213" s="58"/>
      <c r="I213" s="58"/>
      <c r="J213" s="59"/>
      <c r="K213" s="60"/>
      <c r="L213" s="58"/>
      <c r="N213" s="63">
        <v>193.0</v>
      </c>
      <c r="O213" s="68" t="str">
        <f>IF('NO USAR2'!B200="",ROW('NO USAR2'!B200),'NO USAR2'!B200)</f>
        <v>Jonathan Kuminga</v>
      </c>
      <c r="P213" s="68">
        <f>'NO USAR2'!E194</f>
        <v>67</v>
      </c>
      <c r="Q213" s="68" t="str">
        <f>IF('NO USAR2'!C200="",ROW('NO USAR2'!N215),'NO USAR2'!C200)</f>
        <v>SF/PF</v>
      </c>
      <c r="R213" s="65">
        <f>VLOOKUP($O213,'NO USAR1'!$A$4:$L$399,2,False)+VLOOKUP($O213,'NO USAR1'!$A$4:$L$399,3,False)+VLOOKUP($O213,'NO USAR1'!$A$4:$L$399,4,False)+VLOOKUP($O213,'NO USAR1'!$A$4:$L$399,5,False)+VLOOKUP($O213,'NO USAR1'!$A$4:$L$399,6,False)+VLOOKUP($O213,'NO USAR1'!$A$4:$L$399,7,False)+VLOOKUP($O213,'NO USAR1'!$A$4:$L$399,8,False)+VLOOKUP($O213,'NO USAR1'!$A$4:$L$399,10,False)+VLOOKUP($O213,'NO USAR1'!$A$4:$L$399,12,False)*0</f>
        <v>-5.010005119</v>
      </c>
      <c r="S213" s="65">
        <f>VLOOKUP($O213,'NO USAR1'!$A$4:$L$399,2,False)*$U$19+VLOOKUP($O213,'NO USAR1'!$A$4:$L$399,3,False)*$V$19+VLOOKUP($O213,'NO USAR1'!$A$4:$L$399,4,False)*$W$19+VLOOKUP($O213,'NO USAR1'!$A$4:$L$399,5,False)*$X$19+VLOOKUP($O213,'NO USAR1'!$A$4:$L$399,6,False)*$Y$19+VLOOKUP($O213,'NO USAR1'!$A$4:$L$399,7,False)*$Z$19+VLOOKUP($O213,'NO USAR1'!$A$4:$L$399,8,False)*$AA$19+VLOOKUP($O213,'NO USAR1'!$A$4:$L$399,10,False)*$AB$19+VLOOKUP($O213,'NO USAR1'!$A$4:$L$399,12,False)*$AC$19+IF(Projections!$K$3,-AN213, IF(Projections!$J$3,-AM213,0))</f>
        <v>-5.327040185</v>
      </c>
      <c r="T213" s="65">
        <f t="shared" si="1"/>
        <v>-0.3170350658</v>
      </c>
      <c r="U213" s="65">
        <f>VLOOKUP($O213,'NO USAR2'!$B$2:$R$397,11,False)</f>
        <v>12.9</v>
      </c>
      <c r="V213" s="69">
        <f>VLOOKUP($O213,'NO USAR2'!$B$2:$R$397,10,False)</f>
        <v>1.1</v>
      </c>
      <c r="W213" s="65">
        <f>VLOOKUP($O213,'NO USAR2'!$B$2:$R$397,12,False)</f>
        <v>5.2</v>
      </c>
      <c r="X213" s="65">
        <f>VLOOKUP($O213,'NO USAR2'!$B$2:$R$397,13,False)</f>
        <v>1.4</v>
      </c>
      <c r="Y213" s="65">
        <f>VLOOKUP($O213,'NO USAR2'!$B$2:$R$397,14,False)</f>
        <v>0.6</v>
      </c>
      <c r="Z213" s="70">
        <f>VLOOKUP($O213,'NO USAR2'!$B$2:$R$397,15,False)</f>
        <v>0.5</v>
      </c>
      <c r="AA213" s="65">
        <f>100*VLOOKUP($O213,'NO USAR2'!$B$2:$R$397,7,False)</f>
        <v>50.52631579</v>
      </c>
      <c r="AB213" s="65">
        <f>100*VLOOKUP($O213,'NO USAR2'!$B$2:$R$397,9,False)</f>
        <v>70.96774194</v>
      </c>
      <c r="AC213" s="65">
        <f>VLOOKUP($O213,'NO USAR2'!$B$2:$Q$397,16,False)</f>
        <v>1.7</v>
      </c>
      <c r="AD213" s="65">
        <f>VLOOKUP($O213,'NO USAR1'!$A$4:$L$399,2,False)*$U$19</f>
        <v>-1.079257862</v>
      </c>
      <c r="AE213" s="65">
        <f>VLOOKUP($O213,'NO USAR1'!$A$4:$L$399,3,False)*$V$19</f>
        <v>-0.5134000036</v>
      </c>
      <c r="AF213" s="65">
        <f>VLOOKUP($O213,'NO USAR1'!$A$4:$L$399,4,False)*$W$19</f>
        <v>-0.3569830001</v>
      </c>
      <c r="AG213" s="65">
        <f>VLOOKUP($O213,'NO USAR1'!$A$4:$L$399,5,False)*$X$19</f>
        <v>-1.313743432</v>
      </c>
      <c r="AH213" s="65">
        <f>VLOOKUP($O213,'NO USAR1'!$A$4:$L$399,6,False)*$Y$19</f>
        <v>-1.651661175</v>
      </c>
      <c r="AI213" s="65">
        <f>VLOOKUP($O213,'NO USAR1'!$A$4:$L$399,7,False)*$Z$19</f>
        <v>0</v>
      </c>
      <c r="AJ213" s="65">
        <f>VLOOKUP($O213,'NO USAR1'!$A$4:$L$399,8,False)*$AA$19</f>
        <v>0</v>
      </c>
      <c r="AK213" s="70">
        <f>VLOOKUP($O213,'NO USAR1'!$A$4:$L$399,10,False)*$AB$19</f>
        <v>-0.4119947126</v>
      </c>
      <c r="AL213" s="65">
        <f>VLOOKUP($O213,'NO USAR1'!$A$4:$L$399,12,False)*$AC$19</f>
        <v>0</v>
      </c>
      <c r="AM213" s="71">
        <f t="shared" si="2"/>
        <v>-1.651661175</v>
      </c>
      <c r="AN213" s="71">
        <f t="shared" si="3"/>
        <v>-2.965404607</v>
      </c>
    </row>
    <row r="214">
      <c r="B214" s="58"/>
      <c r="C214" s="58"/>
      <c r="D214" s="58"/>
      <c r="E214" s="58"/>
      <c r="F214" s="58"/>
      <c r="G214" s="58"/>
      <c r="H214" s="58"/>
      <c r="I214" s="58"/>
      <c r="J214" s="59"/>
      <c r="K214" s="60"/>
      <c r="L214" s="58"/>
      <c r="N214" s="2">
        <v>194.0</v>
      </c>
      <c r="O214" s="68" t="str">
        <f>IF('NO USAR2'!B198="",ROW('NO USAR2'!B198),'NO USAR2'!B198)</f>
        <v>De'Andre Hunter</v>
      </c>
      <c r="P214" s="68">
        <f>'NO USAR2'!E195</f>
        <v>70</v>
      </c>
      <c r="Q214" s="68" t="str">
        <f>IF('NO USAR2'!C198="",ROW('NO USAR2'!N213),'NO USAR2'!C198)</f>
        <v>SF/PF</v>
      </c>
      <c r="R214" s="65">
        <f>VLOOKUP($O214,'NO USAR1'!$A$4:$L$399,2,False)+VLOOKUP($O214,'NO USAR1'!$A$4:$L$399,3,False)+VLOOKUP($O214,'NO USAR1'!$A$4:$L$399,4,False)+VLOOKUP($O214,'NO USAR1'!$A$4:$L$399,5,False)+VLOOKUP($O214,'NO USAR1'!$A$4:$L$399,6,False)+VLOOKUP($O214,'NO USAR1'!$A$4:$L$399,7,False)+VLOOKUP($O214,'NO USAR1'!$A$4:$L$399,8,False)+VLOOKUP($O214,'NO USAR1'!$A$4:$L$399,10,False)+VLOOKUP($O214,'NO USAR1'!$A$4:$L$399,12,False)*0</f>
        <v>-5.090864323</v>
      </c>
      <c r="S214" s="65">
        <f>VLOOKUP($O214,'NO USAR1'!$A$4:$L$399,2,False)*$U$19+VLOOKUP($O214,'NO USAR1'!$A$4:$L$399,3,False)*$V$19+VLOOKUP($O214,'NO USAR1'!$A$4:$L$399,4,False)*$W$19+VLOOKUP($O214,'NO USAR1'!$A$4:$L$399,5,False)*$X$19+VLOOKUP($O214,'NO USAR1'!$A$4:$L$399,6,False)*$Y$19+VLOOKUP($O214,'NO USAR1'!$A$4:$L$399,7,False)*$Z$19+VLOOKUP($O214,'NO USAR1'!$A$4:$L$399,8,False)*$AA$19+VLOOKUP($O214,'NO USAR1'!$A$4:$L$399,10,False)*$AB$19+VLOOKUP($O214,'NO USAR1'!$A$4:$L$399,12,False)*$AC$19+IF(Projections!$K$3,-AN214, IF(Projections!$J$3,-AM214,0))</f>
        <v>-5.300352251</v>
      </c>
      <c r="T214" s="65">
        <f t="shared" si="1"/>
        <v>-0.2094879274</v>
      </c>
      <c r="U214" s="65">
        <f>VLOOKUP($O214,'NO USAR2'!$B$2:$R$397,11,False)</f>
        <v>10.9</v>
      </c>
      <c r="V214" s="69">
        <f>VLOOKUP($O214,'NO USAR2'!$B$2:$R$397,10,False)</f>
        <v>1.5</v>
      </c>
      <c r="W214" s="65">
        <f>VLOOKUP($O214,'NO USAR2'!$B$2:$R$397,12,False)</f>
        <v>3.4</v>
      </c>
      <c r="X214" s="65">
        <f>VLOOKUP($O214,'NO USAR2'!$B$2:$R$397,13,False)</f>
        <v>1.4</v>
      </c>
      <c r="Y214" s="65">
        <f>VLOOKUP($O214,'NO USAR2'!$B$2:$R$397,14,False)</f>
        <v>0.7</v>
      </c>
      <c r="Z214" s="70">
        <f>VLOOKUP($O214,'NO USAR2'!$B$2:$R$397,15,False)</f>
        <v>0.4</v>
      </c>
      <c r="AA214" s="65">
        <f>100*VLOOKUP($O214,'NO USAR2'!$B$2:$R$397,7,False)</f>
        <v>45.67901235</v>
      </c>
      <c r="AB214" s="65">
        <f>100*VLOOKUP($O214,'NO USAR2'!$B$2:$R$397,9,False)</f>
        <v>80.76923077</v>
      </c>
      <c r="AC214" s="65">
        <f>VLOOKUP($O214,'NO USAR2'!$B$2:$Q$397,16,False)</f>
        <v>1.4</v>
      </c>
      <c r="AD214" s="65">
        <f>VLOOKUP($O214,'NO USAR1'!$A$4:$L$399,2,False)*$U$19</f>
        <v>-1.611827564</v>
      </c>
      <c r="AE214" s="65">
        <f>VLOOKUP($O214,'NO USAR1'!$A$4:$L$399,3,False)*$V$19</f>
        <v>-0.1134177786</v>
      </c>
      <c r="AF214" s="65">
        <f>VLOOKUP($O214,'NO USAR1'!$A$4:$L$399,4,False)*$W$19</f>
        <v>-1.091770726</v>
      </c>
      <c r="AG214" s="65">
        <f>VLOOKUP($O214,'NO USAR1'!$A$4:$L$399,5,False)*$X$19</f>
        <v>-1.313743432</v>
      </c>
      <c r="AH214" s="65">
        <f>VLOOKUP($O214,'NO USAR1'!$A$4:$L$399,6,False)*$Y$19</f>
        <v>-1.242861316</v>
      </c>
      <c r="AI214" s="65">
        <f>VLOOKUP($O214,'NO USAR1'!$A$4:$L$399,7,False)*$Z$19</f>
        <v>0</v>
      </c>
      <c r="AJ214" s="65">
        <f>VLOOKUP($O214,'NO USAR1'!$A$4:$L$399,8,False)*$AA$19</f>
        <v>0</v>
      </c>
      <c r="AK214" s="70">
        <f>VLOOKUP($O214,'NO USAR1'!$A$4:$L$399,10,False)*$AB$19</f>
        <v>0.0732685655</v>
      </c>
      <c r="AL214" s="65">
        <f>VLOOKUP($O214,'NO USAR1'!$A$4:$L$399,12,False)*$AC$19</f>
        <v>0</v>
      </c>
      <c r="AM214" s="71">
        <f t="shared" si="2"/>
        <v>-1.611827564</v>
      </c>
      <c r="AN214" s="71">
        <f t="shared" si="3"/>
        <v>-2.925570996</v>
      </c>
    </row>
    <row r="215">
      <c r="B215" s="58"/>
      <c r="C215" s="58"/>
      <c r="D215" s="58"/>
      <c r="E215" s="58"/>
      <c r="F215" s="58"/>
      <c r="G215" s="58"/>
      <c r="H215" s="58"/>
      <c r="I215" s="58"/>
      <c r="J215" s="59"/>
      <c r="K215" s="60"/>
      <c r="L215" s="58"/>
      <c r="N215" s="63">
        <v>195.0</v>
      </c>
      <c r="O215" s="68" t="str">
        <f>IF('NO USAR2'!B170="",ROW('NO USAR2'!B170),'NO USAR2'!B170)</f>
        <v>Thomas Bryant</v>
      </c>
      <c r="P215" s="68">
        <f>'NO USAR2'!E196</f>
        <v>72</v>
      </c>
      <c r="Q215" s="68" t="str">
        <f>IF('NO USAR2'!C170="",ROW('NO USAR2'!N185),'NO USAR2'!C170)</f>
        <v>C</v>
      </c>
      <c r="R215" s="65">
        <f>VLOOKUP($O215,'NO USAR1'!$A$4:$L$399,2,False)+VLOOKUP($O215,'NO USAR1'!$A$4:$L$399,3,False)+VLOOKUP($O215,'NO USAR1'!$A$4:$L$399,4,False)+VLOOKUP($O215,'NO USAR1'!$A$4:$L$399,5,False)+VLOOKUP($O215,'NO USAR1'!$A$4:$L$399,6,False)+VLOOKUP($O215,'NO USAR1'!$A$4:$L$399,7,False)+VLOOKUP($O215,'NO USAR1'!$A$4:$L$399,8,False)+VLOOKUP($O215,'NO USAR1'!$A$4:$L$399,10,False)+VLOOKUP($O215,'NO USAR1'!$A$4:$L$399,12,False)*0</f>
        <v>-5.122102636</v>
      </c>
      <c r="S215" s="65">
        <f>VLOOKUP($O215,'NO USAR1'!$A$4:$L$399,2,False)*$U$19+VLOOKUP($O215,'NO USAR1'!$A$4:$L$399,3,False)*$V$19+VLOOKUP($O215,'NO USAR1'!$A$4:$L$399,4,False)*$W$19+VLOOKUP($O215,'NO USAR1'!$A$4:$L$399,5,False)*$X$19+VLOOKUP($O215,'NO USAR1'!$A$4:$L$399,6,False)*$Y$19+VLOOKUP($O215,'NO USAR1'!$A$4:$L$399,7,False)*$Z$19+VLOOKUP($O215,'NO USAR1'!$A$4:$L$399,8,False)*$AA$19+VLOOKUP($O215,'NO USAR1'!$A$4:$L$399,10,False)*$AB$19+VLOOKUP($O215,'NO USAR1'!$A$4:$L$399,12,False)*$AC$19+IF(Projections!$K$3,-AN215, IF(Projections!$J$3,-AM215,0))</f>
        <v>-7.548032403</v>
      </c>
      <c r="T215" s="65">
        <f t="shared" si="1"/>
        <v>-2.425929767</v>
      </c>
      <c r="U215" s="65">
        <f>VLOOKUP($O215,'NO USAR2'!$B$2:$R$397,11,False)</f>
        <v>10.4</v>
      </c>
      <c r="V215" s="69">
        <f>VLOOKUP($O215,'NO USAR2'!$B$2:$R$397,10,False)</f>
        <v>0.4</v>
      </c>
      <c r="W215" s="65">
        <f>VLOOKUP($O215,'NO USAR2'!$B$2:$R$397,12,False)</f>
        <v>5.8</v>
      </c>
      <c r="X215" s="65">
        <f>VLOOKUP($O215,'NO USAR2'!$B$2:$R$397,13,False)</f>
        <v>1.3</v>
      </c>
      <c r="Y215" s="65">
        <f>VLOOKUP($O215,'NO USAR2'!$B$2:$R$397,14,False)</f>
        <v>0.3</v>
      </c>
      <c r="Z215" s="70">
        <f>VLOOKUP($O215,'NO USAR2'!$B$2:$R$397,15,False)</f>
        <v>1.1</v>
      </c>
      <c r="AA215" s="65">
        <f>100*VLOOKUP($O215,'NO USAR2'!$B$2:$R$397,7,False)</f>
        <v>53.16455696</v>
      </c>
      <c r="AB215" s="65">
        <f>100*VLOOKUP($O215,'NO USAR2'!$B$2:$R$397,9,False)</f>
        <v>72.72727273</v>
      </c>
      <c r="AC215" s="65">
        <f>VLOOKUP($O215,'NO USAR2'!$B$2:$Q$397,16,False)</f>
        <v>1</v>
      </c>
      <c r="AD215" s="65">
        <f>VLOOKUP($O215,'NO USAR1'!$A$4:$L$399,2,False)*$U$19</f>
        <v>-1.74496999</v>
      </c>
      <c r="AE215" s="65">
        <f>VLOOKUP($O215,'NO USAR1'!$A$4:$L$399,3,False)*$V$19</f>
        <v>-1.213368897</v>
      </c>
      <c r="AF215" s="65">
        <f>VLOOKUP($O215,'NO USAR1'!$A$4:$L$399,4,False)*$W$19</f>
        <v>-0.1120537583</v>
      </c>
      <c r="AG215" s="65">
        <f>VLOOKUP($O215,'NO USAR1'!$A$4:$L$399,5,False)*$X$19</f>
        <v>-1.370812753</v>
      </c>
      <c r="AH215" s="65">
        <f>VLOOKUP($O215,'NO USAR1'!$A$4:$L$399,6,False)*$Y$19</f>
        <v>-2.878060752</v>
      </c>
      <c r="AI215" s="65">
        <f>VLOOKUP($O215,'NO USAR1'!$A$4:$L$399,7,False)*$Z$19</f>
        <v>0</v>
      </c>
      <c r="AJ215" s="65">
        <f>VLOOKUP($O215,'NO USAR1'!$A$4:$L$399,8,False)*$AA$19</f>
        <v>0</v>
      </c>
      <c r="AK215" s="70">
        <f>VLOOKUP($O215,'NO USAR1'!$A$4:$L$399,10,False)*$AB$19</f>
        <v>-0.2287662531</v>
      </c>
      <c r="AL215" s="65">
        <f>VLOOKUP($O215,'NO USAR1'!$A$4:$L$399,12,False)*$AC$19</f>
        <v>0</v>
      </c>
      <c r="AM215" s="71">
        <f t="shared" si="2"/>
        <v>-2.878060752</v>
      </c>
      <c r="AN215" s="71">
        <f t="shared" si="3"/>
        <v>-4.623030742</v>
      </c>
    </row>
    <row r="216">
      <c r="B216" s="58"/>
      <c r="C216" s="58"/>
      <c r="D216" s="58"/>
      <c r="E216" s="58"/>
      <c r="F216" s="58"/>
      <c r="G216" s="58"/>
      <c r="H216" s="58"/>
      <c r="I216" s="58"/>
      <c r="J216" s="59"/>
      <c r="K216" s="60"/>
      <c r="L216" s="58"/>
      <c r="N216" s="63">
        <v>196.0</v>
      </c>
      <c r="O216" s="68" t="str">
        <f>IF('NO USAR2'!B195="",ROW('NO USAR2'!B195),'NO USAR2'!B195)</f>
        <v>Reggie Bullock</v>
      </c>
      <c r="P216" s="68">
        <f>'NO USAR2'!E197</f>
        <v>70</v>
      </c>
      <c r="Q216" s="68" t="str">
        <f>IF('NO USAR2'!C195="",ROW('NO USAR2'!N210),'NO USAR2'!C195)</f>
        <v>PG/SG</v>
      </c>
      <c r="R216" s="65">
        <f>VLOOKUP($O216,'NO USAR1'!$A$4:$L$399,2,False)+VLOOKUP($O216,'NO USAR1'!$A$4:$L$399,3,False)+VLOOKUP($O216,'NO USAR1'!$A$4:$L$399,4,False)+VLOOKUP($O216,'NO USAR1'!$A$4:$L$399,5,False)+VLOOKUP($O216,'NO USAR1'!$A$4:$L$399,6,False)+VLOOKUP($O216,'NO USAR1'!$A$4:$L$399,7,False)+VLOOKUP($O216,'NO USAR1'!$A$4:$L$399,8,False)+VLOOKUP($O216,'NO USAR1'!$A$4:$L$399,10,False)+VLOOKUP($O216,'NO USAR1'!$A$4:$L$399,12,False)*0</f>
        <v>-5.123016311</v>
      </c>
      <c r="S216" s="65">
        <f>VLOOKUP($O216,'NO USAR1'!$A$4:$L$399,2,False)*$U$19+VLOOKUP($O216,'NO USAR1'!$A$4:$L$399,3,False)*$V$19+VLOOKUP($O216,'NO USAR1'!$A$4:$L$399,4,False)*$W$19+VLOOKUP($O216,'NO USAR1'!$A$4:$L$399,5,False)*$X$19+VLOOKUP($O216,'NO USAR1'!$A$4:$L$399,6,False)*$Y$19+VLOOKUP($O216,'NO USAR1'!$A$4:$L$399,7,False)*$Z$19+VLOOKUP($O216,'NO USAR1'!$A$4:$L$399,8,False)*$AA$19+VLOOKUP($O216,'NO USAR1'!$A$4:$L$399,10,False)*$AB$19+VLOOKUP($O216,'NO USAR1'!$A$4:$L$399,12,False)*$AC$19+IF(Projections!$K$3,-AN216, IF(Projections!$J$3,-AM216,0))</f>
        <v>-4.912657197</v>
      </c>
      <c r="T216" s="65">
        <f t="shared" si="1"/>
        <v>0.2103591142</v>
      </c>
      <c r="U216" s="65">
        <f>VLOOKUP($O216,'NO USAR2'!$B$2:$R$397,11,False)</f>
        <v>10.1</v>
      </c>
      <c r="V216" s="69">
        <f>VLOOKUP($O216,'NO USAR2'!$B$2:$R$397,10,False)</f>
        <v>2.4</v>
      </c>
      <c r="W216" s="65">
        <f>VLOOKUP($O216,'NO USAR2'!$B$2:$R$397,12,False)</f>
        <v>3.8</v>
      </c>
      <c r="X216" s="65">
        <f>VLOOKUP($O216,'NO USAR2'!$B$2:$R$397,13,False)</f>
        <v>1.3</v>
      </c>
      <c r="Y216" s="65">
        <f>VLOOKUP($O216,'NO USAR2'!$B$2:$R$397,14,False)</f>
        <v>0.6</v>
      </c>
      <c r="Z216" s="70">
        <f>VLOOKUP($O216,'NO USAR2'!$B$2:$R$397,15,False)</f>
        <v>0.2</v>
      </c>
      <c r="AA216" s="65">
        <f>100*VLOOKUP($O216,'NO USAR2'!$B$2:$R$397,7,False)</f>
        <v>43.75</v>
      </c>
      <c r="AB216" s="65">
        <f>100*VLOOKUP($O216,'NO USAR2'!$B$2:$R$397,9,False)</f>
        <v>85.71428571</v>
      </c>
      <c r="AC216" s="65">
        <f>VLOOKUP($O216,'NO USAR2'!$B$2:$Q$397,16,False)</f>
        <v>0.6</v>
      </c>
      <c r="AD216" s="65">
        <f>VLOOKUP($O216,'NO USAR1'!$A$4:$L$399,2,False)*$U$19</f>
        <v>-1.824855445</v>
      </c>
      <c r="AE216" s="65">
        <f>VLOOKUP($O216,'NO USAR1'!$A$4:$L$399,3,False)*$V$19</f>
        <v>0.7865422277</v>
      </c>
      <c r="AF216" s="65">
        <f>VLOOKUP($O216,'NO USAR1'!$A$4:$L$399,4,False)*$W$19</f>
        <v>-0.9284845644</v>
      </c>
      <c r="AG216" s="65">
        <f>VLOOKUP($O216,'NO USAR1'!$A$4:$L$399,5,False)*$X$19</f>
        <v>-1.370812753</v>
      </c>
      <c r="AH216" s="65">
        <f>VLOOKUP($O216,'NO USAR1'!$A$4:$L$399,6,False)*$Y$19</f>
        <v>-1.651661175</v>
      </c>
      <c r="AI216" s="65">
        <f>VLOOKUP($O216,'NO USAR1'!$A$4:$L$399,7,False)*$Z$19</f>
        <v>0</v>
      </c>
      <c r="AJ216" s="65">
        <f>VLOOKUP($O216,'NO USAR1'!$A$4:$L$399,8,False)*$AA$19</f>
        <v>0</v>
      </c>
      <c r="AK216" s="70">
        <f>VLOOKUP($O216,'NO USAR1'!$A$4:$L$399,10,False)*$AB$19</f>
        <v>0.07661451278</v>
      </c>
      <c r="AL216" s="65">
        <f>VLOOKUP($O216,'NO USAR1'!$A$4:$L$399,12,False)*$AC$19</f>
        <v>0</v>
      </c>
      <c r="AM216" s="71">
        <f t="shared" si="2"/>
        <v>-1.824855445</v>
      </c>
      <c r="AN216" s="71">
        <f t="shared" si="3"/>
        <v>-3.47651662</v>
      </c>
    </row>
    <row r="217">
      <c r="B217" s="58"/>
      <c r="C217" s="58"/>
      <c r="D217" s="58"/>
      <c r="E217" s="58"/>
      <c r="F217" s="58"/>
      <c r="G217" s="58"/>
      <c r="H217" s="58"/>
      <c r="I217" s="58"/>
      <c r="J217" s="59"/>
      <c r="K217" s="60"/>
      <c r="L217" s="58"/>
      <c r="N217" s="2">
        <v>197.0</v>
      </c>
      <c r="O217" s="68" t="str">
        <f>IF('NO USAR2'!B197="",ROW('NO USAR2'!B197),'NO USAR2'!B197)</f>
        <v>Trendon Watford</v>
      </c>
      <c r="P217" s="68">
        <f>'NO USAR2'!E198</f>
        <v>69</v>
      </c>
      <c r="Q217" s="68" t="str">
        <f>IF('NO USAR2'!C197="",ROW('NO USAR2'!N212),'NO USAR2'!C197)</f>
        <v>PF</v>
      </c>
      <c r="R217" s="65">
        <f>VLOOKUP($O217,'NO USAR1'!$A$4:$L$399,2,False)+VLOOKUP($O217,'NO USAR1'!$A$4:$L$399,3,False)+VLOOKUP($O217,'NO USAR1'!$A$4:$L$399,4,False)+VLOOKUP($O217,'NO USAR1'!$A$4:$L$399,5,False)+VLOOKUP($O217,'NO USAR1'!$A$4:$L$399,6,False)+VLOOKUP($O217,'NO USAR1'!$A$4:$L$399,7,False)+VLOOKUP($O217,'NO USAR1'!$A$4:$L$399,8,False)+VLOOKUP($O217,'NO USAR1'!$A$4:$L$399,10,False)+VLOOKUP($O217,'NO USAR1'!$A$4:$L$399,12,False)*0</f>
        <v>-5.260331128</v>
      </c>
      <c r="S217" s="65">
        <f>VLOOKUP($O217,'NO USAR1'!$A$4:$L$399,2,False)*$U$19+VLOOKUP($O217,'NO USAR1'!$A$4:$L$399,3,False)*$V$19+VLOOKUP($O217,'NO USAR1'!$A$4:$L$399,4,False)*$W$19+VLOOKUP($O217,'NO USAR1'!$A$4:$L$399,5,False)*$X$19+VLOOKUP($O217,'NO USAR1'!$A$4:$L$399,6,False)*$Y$19+VLOOKUP($O217,'NO USAR1'!$A$4:$L$399,7,False)*$Z$19+VLOOKUP($O217,'NO USAR1'!$A$4:$L$399,8,False)*$AA$19+VLOOKUP($O217,'NO USAR1'!$A$4:$L$399,10,False)*$AB$19+VLOOKUP($O217,'NO USAR1'!$A$4:$L$399,12,False)*$AC$19+IF(Projections!$K$3,-AN217, IF(Projections!$J$3,-AM217,0))</f>
        <v>-6.745842023</v>
      </c>
      <c r="T217" s="65">
        <f t="shared" si="1"/>
        <v>-1.485510895</v>
      </c>
      <c r="U217" s="65">
        <f>VLOOKUP($O217,'NO USAR2'!$B$2:$R$397,11,False)</f>
        <v>8.7</v>
      </c>
      <c r="V217" s="69">
        <f>VLOOKUP($O217,'NO USAR2'!$B$2:$R$397,10,False)</f>
        <v>0.2</v>
      </c>
      <c r="W217" s="65">
        <f>VLOOKUP($O217,'NO USAR2'!$B$2:$R$397,12,False)</f>
        <v>4.8</v>
      </c>
      <c r="X217" s="65">
        <f>VLOOKUP($O217,'NO USAR2'!$B$2:$R$397,13,False)</f>
        <v>1.9</v>
      </c>
      <c r="Y217" s="65">
        <f>VLOOKUP($O217,'NO USAR2'!$B$2:$R$397,14,False)</f>
        <v>0.6</v>
      </c>
      <c r="Z217" s="70">
        <f>VLOOKUP($O217,'NO USAR2'!$B$2:$R$397,15,False)</f>
        <v>0.7</v>
      </c>
      <c r="AA217" s="65">
        <f>100*VLOOKUP($O217,'NO USAR2'!$B$2:$R$397,7,False)</f>
        <v>50.74626866</v>
      </c>
      <c r="AB217" s="65">
        <f>100*VLOOKUP($O217,'NO USAR2'!$B$2:$R$397,9,False)</f>
        <v>80.95238095</v>
      </c>
      <c r="AC217" s="65">
        <f>VLOOKUP($O217,'NO USAR2'!$B$2:$Q$397,16,False)</f>
        <v>1</v>
      </c>
      <c r="AD217" s="65">
        <f>VLOOKUP($O217,'NO USAR1'!$A$4:$L$399,2,False)*$U$19</f>
        <v>-2.197654236</v>
      </c>
      <c r="AE217" s="65">
        <f>VLOOKUP($O217,'NO USAR1'!$A$4:$L$399,3,False)*$V$19</f>
        <v>-1.41336001</v>
      </c>
      <c r="AF217" s="65">
        <f>VLOOKUP($O217,'NO USAR1'!$A$4:$L$399,4,False)*$W$19</f>
        <v>-0.5202691613</v>
      </c>
      <c r="AG217" s="65">
        <f>VLOOKUP($O217,'NO USAR1'!$A$4:$L$399,5,False)*$X$19</f>
        <v>-1.028396826</v>
      </c>
      <c r="AH217" s="65">
        <f>VLOOKUP($O217,'NO USAR1'!$A$4:$L$399,6,False)*$Y$19</f>
        <v>-1.651661175</v>
      </c>
      <c r="AI217" s="65">
        <f>VLOOKUP($O217,'NO USAR1'!$A$4:$L$399,7,False)*$Z$19</f>
        <v>0</v>
      </c>
      <c r="AJ217" s="65">
        <f>VLOOKUP($O217,'NO USAR1'!$A$4:$L$399,8,False)*$AA$19</f>
        <v>0</v>
      </c>
      <c r="AK217" s="70">
        <f>VLOOKUP($O217,'NO USAR1'!$A$4:$L$399,10,False)*$AB$19</f>
        <v>0.0654993857</v>
      </c>
      <c r="AL217" s="65">
        <f>VLOOKUP($O217,'NO USAR1'!$A$4:$L$399,12,False)*$AC$19</f>
        <v>0</v>
      </c>
      <c r="AM217" s="71">
        <f t="shared" si="2"/>
        <v>-2.197654236</v>
      </c>
      <c r="AN217" s="71">
        <f t="shared" si="3"/>
        <v>-3.849315411</v>
      </c>
    </row>
    <row r="218">
      <c r="B218" s="58"/>
      <c r="C218" s="58"/>
      <c r="D218" s="58"/>
      <c r="E218" s="58"/>
      <c r="F218" s="58"/>
      <c r="G218" s="58"/>
      <c r="H218" s="58"/>
      <c r="I218" s="58"/>
      <c r="J218" s="59"/>
      <c r="K218" s="60"/>
      <c r="L218" s="58"/>
      <c r="N218" s="63">
        <v>198.0</v>
      </c>
      <c r="O218" s="68" t="str">
        <f>IF('NO USAR2'!B189="",ROW('NO USAR2'!B189),'NO USAR2'!B189)</f>
        <v>Jaxson Hayes</v>
      </c>
      <c r="P218" s="68">
        <f>'NO USAR2'!E199</f>
        <v>67</v>
      </c>
      <c r="Q218" s="68" t="str">
        <f>IF('NO USAR2'!C189="",ROW('NO USAR2'!N204),'NO USAR2'!C189)</f>
        <v>PF/C</v>
      </c>
      <c r="R218" s="65">
        <f>VLOOKUP($O218,'NO USAR1'!$A$4:$L$399,2,False)+VLOOKUP($O218,'NO USAR1'!$A$4:$L$399,3,False)+VLOOKUP($O218,'NO USAR1'!$A$4:$L$399,4,False)+VLOOKUP($O218,'NO USAR1'!$A$4:$L$399,5,False)+VLOOKUP($O218,'NO USAR1'!$A$4:$L$399,6,False)+VLOOKUP($O218,'NO USAR1'!$A$4:$L$399,7,False)+VLOOKUP($O218,'NO USAR1'!$A$4:$L$399,8,False)+VLOOKUP($O218,'NO USAR1'!$A$4:$L$399,10,False)+VLOOKUP($O218,'NO USAR1'!$A$4:$L$399,12,False)*0</f>
        <v>-5.569815879</v>
      </c>
      <c r="S218" s="65">
        <f>VLOOKUP($O218,'NO USAR1'!$A$4:$L$399,2,False)*$U$19+VLOOKUP($O218,'NO USAR1'!$A$4:$L$399,3,False)*$V$19+VLOOKUP($O218,'NO USAR1'!$A$4:$L$399,4,False)*$W$19+VLOOKUP($O218,'NO USAR1'!$A$4:$L$399,5,False)*$X$19+VLOOKUP($O218,'NO USAR1'!$A$4:$L$399,6,False)*$Y$19+VLOOKUP($O218,'NO USAR1'!$A$4:$L$399,7,False)*$Z$19+VLOOKUP($O218,'NO USAR1'!$A$4:$L$399,8,False)*$AA$19+VLOOKUP($O218,'NO USAR1'!$A$4:$L$399,10,False)*$AB$19+VLOOKUP($O218,'NO USAR1'!$A$4:$L$399,12,False)*$AC$19+IF(Projections!$K$3,-AN218, IF(Projections!$J$3,-AM218,0))</f>
        <v>-8.00207551</v>
      </c>
      <c r="T218" s="65">
        <f t="shared" si="1"/>
        <v>-2.432259632</v>
      </c>
      <c r="U218" s="65">
        <f>VLOOKUP($O218,'NO USAR2'!$B$2:$R$397,11,False)</f>
        <v>8.9</v>
      </c>
      <c r="V218" s="69">
        <f>VLOOKUP($O218,'NO USAR2'!$B$2:$R$397,10,False)</f>
        <v>0.3</v>
      </c>
      <c r="W218" s="65">
        <f>VLOOKUP($O218,'NO USAR2'!$B$2:$R$397,12,False)</f>
        <v>4.4</v>
      </c>
      <c r="X218" s="65">
        <f>VLOOKUP($O218,'NO USAR2'!$B$2:$R$397,13,False)</f>
        <v>0.6</v>
      </c>
      <c r="Y218" s="65">
        <f>VLOOKUP($O218,'NO USAR2'!$B$2:$R$397,14,False)</f>
        <v>0.5</v>
      </c>
      <c r="Z218" s="70">
        <f>VLOOKUP($O218,'NO USAR2'!$B$2:$R$397,15,False)</f>
        <v>0.8</v>
      </c>
      <c r="AA218" s="65">
        <f>100*VLOOKUP($O218,'NO USAR2'!$B$2:$R$397,7,False)</f>
        <v>60.71428571</v>
      </c>
      <c r="AB218" s="65">
        <f>100*VLOOKUP($O218,'NO USAR2'!$B$2:$R$397,9,False)</f>
        <v>78.26086957</v>
      </c>
      <c r="AC218" s="65">
        <f>VLOOKUP($O218,'NO USAR2'!$B$2:$Q$397,16,False)</f>
        <v>0.8</v>
      </c>
      <c r="AD218" s="65">
        <f>VLOOKUP($O218,'NO USAR1'!$A$4:$L$399,2,False)*$U$19</f>
        <v>-2.144397266</v>
      </c>
      <c r="AE218" s="65">
        <f>VLOOKUP($O218,'NO USAR1'!$A$4:$L$399,3,False)*$V$19</f>
        <v>-1.313364454</v>
      </c>
      <c r="AF218" s="65">
        <f>VLOOKUP($O218,'NO USAR1'!$A$4:$L$399,4,False)*$W$19</f>
        <v>-0.6835553225</v>
      </c>
      <c r="AG218" s="65">
        <f>VLOOKUP($O218,'NO USAR1'!$A$4:$L$399,5,False)*$X$19</f>
        <v>-1.770298</v>
      </c>
      <c r="AH218" s="65">
        <f>VLOOKUP($O218,'NO USAR1'!$A$4:$L$399,6,False)*$Y$19</f>
        <v>-2.060461034</v>
      </c>
      <c r="AI218" s="65">
        <f>VLOOKUP($O218,'NO USAR1'!$A$4:$L$399,7,False)*$Z$19</f>
        <v>0</v>
      </c>
      <c r="AJ218" s="65">
        <f>VLOOKUP($O218,'NO USAR1'!$A$4:$L$399,8,False)*$AA$19</f>
        <v>0</v>
      </c>
      <c r="AK218" s="70">
        <f>VLOOKUP($O218,'NO USAR1'!$A$4:$L$399,10,False)*$AB$19</f>
        <v>-0.02999943396</v>
      </c>
      <c r="AL218" s="65">
        <f>VLOOKUP($O218,'NO USAR1'!$A$4:$L$399,12,False)*$AC$19</f>
        <v>0</v>
      </c>
      <c r="AM218" s="71">
        <f t="shared" si="2"/>
        <v>-2.144397266</v>
      </c>
      <c r="AN218" s="71">
        <f t="shared" si="3"/>
        <v>-4.2048583</v>
      </c>
    </row>
    <row r="219">
      <c r="B219" s="58"/>
      <c r="C219" s="58"/>
      <c r="D219" s="58"/>
      <c r="E219" s="58"/>
      <c r="F219" s="58"/>
      <c r="G219" s="58"/>
      <c r="H219" s="58"/>
      <c r="I219" s="58"/>
      <c r="J219" s="59"/>
      <c r="K219" s="60"/>
      <c r="L219" s="58"/>
      <c r="N219" s="63">
        <v>199.0</v>
      </c>
      <c r="O219" s="68" t="str">
        <f>IF('NO USAR2'!B196="",ROW('NO USAR2'!B196),'NO USAR2'!B196)</f>
        <v>Obi Toppin</v>
      </c>
      <c r="P219" s="68">
        <f>'NO USAR2'!E200</f>
        <v>72</v>
      </c>
      <c r="Q219" s="68" t="str">
        <f>IF('NO USAR2'!C196="",ROW('NO USAR2'!N211),'NO USAR2'!C196)</f>
        <v>PF</v>
      </c>
      <c r="R219" s="65">
        <f>VLOOKUP($O219,'NO USAR1'!$A$4:$L$399,2,False)+VLOOKUP($O219,'NO USAR1'!$A$4:$L$399,3,False)+VLOOKUP($O219,'NO USAR1'!$A$4:$L$399,4,False)+VLOOKUP($O219,'NO USAR1'!$A$4:$L$399,5,False)+VLOOKUP($O219,'NO USAR1'!$A$4:$L$399,6,False)+VLOOKUP($O219,'NO USAR1'!$A$4:$L$399,7,False)+VLOOKUP($O219,'NO USAR1'!$A$4:$L$399,8,False)+VLOOKUP($O219,'NO USAR1'!$A$4:$L$399,10,False)+VLOOKUP($O219,'NO USAR1'!$A$4:$L$399,12,False)*0</f>
        <v>-5.623007218</v>
      </c>
      <c r="S219" s="65">
        <f>VLOOKUP($O219,'NO USAR1'!$A$4:$L$399,2,False)*$U$19+VLOOKUP($O219,'NO USAR1'!$A$4:$L$399,3,False)*$V$19+VLOOKUP($O219,'NO USAR1'!$A$4:$L$399,4,False)*$W$19+VLOOKUP($O219,'NO USAR1'!$A$4:$L$399,5,False)*$X$19+VLOOKUP($O219,'NO USAR1'!$A$4:$L$399,6,False)*$Y$19+VLOOKUP($O219,'NO USAR1'!$A$4:$L$399,7,False)*$Z$19+VLOOKUP($O219,'NO USAR1'!$A$4:$L$399,8,False)*$AA$19+VLOOKUP($O219,'NO USAR1'!$A$4:$L$399,10,False)*$AB$19+VLOOKUP($O219,'NO USAR1'!$A$4:$L$399,12,False)*$AC$19+IF(Projections!$K$3,-AN219, IF(Projections!$J$3,-AM219,0))</f>
        <v>-6.966044891</v>
      </c>
      <c r="T219" s="65">
        <f t="shared" si="1"/>
        <v>-1.343037673</v>
      </c>
      <c r="U219" s="65">
        <f>VLOOKUP($O219,'NO USAR2'!$B$2:$R$397,11,False)</f>
        <v>10.9</v>
      </c>
      <c r="V219" s="69">
        <f>VLOOKUP($O219,'NO USAR2'!$B$2:$R$397,10,False)</f>
        <v>0.8</v>
      </c>
      <c r="W219" s="65">
        <f>VLOOKUP($O219,'NO USAR2'!$B$2:$R$397,12,False)</f>
        <v>4.6</v>
      </c>
      <c r="X219" s="65">
        <f>VLOOKUP($O219,'NO USAR2'!$B$2:$R$397,13,False)</f>
        <v>1.3</v>
      </c>
      <c r="Y219" s="65">
        <f>VLOOKUP($O219,'NO USAR2'!$B$2:$R$397,14,False)</f>
        <v>0.4</v>
      </c>
      <c r="Z219" s="70">
        <f>VLOOKUP($O219,'NO USAR2'!$B$2:$R$397,15,False)</f>
        <v>0.6</v>
      </c>
      <c r="AA219" s="65">
        <f>100*VLOOKUP($O219,'NO USAR2'!$B$2:$R$397,7,False)</f>
        <v>52.5</v>
      </c>
      <c r="AB219" s="65">
        <f>100*VLOOKUP($O219,'NO USAR2'!$B$2:$R$397,9,False)</f>
        <v>76.19047619</v>
      </c>
      <c r="AC219" s="65">
        <f>VLOOKUP($O219,'NO USAR2'!$B$2:$Q$397,16,False)</f>
        <v>1</v>
      </c>
      <c r="AD219" s="65">
        <f>VLOOKUP($O219,'NO USAR1'!$A$4:$L$399,2,False)*$U$19</f>
        <v>-1.611827564</v>
      </c>
      <c r="AE219" s="65">
        <f>VLOOKUP($O219,'NO USAR1'!$A$4:$L$399,3,False)*$V$19</f>
        <v>-0.8133866724</v>
      </c>
      <c r="AF219" s="65">
        <f>VLOOKUP($O219,'NO USAR1'!$A$4:$L$399,4,False)*$W$19</f>
        <v>-0.6019122419</v>
      </c>
      <c r="AG219" s="65">
        <f>VLOOKUP($O219,'NO USAR1'!$A$4:$L$399,5,False)*$X$19</f>
        <v>-1.370812753</v>
      </c>
      <c r="AH219" s="65">
        <f>VLOOKUP($O219,'NO USAR1'!$A$4:$L$399,6,False)*$Y$19</f>
        <v>-2.469260893</v>
      </c>
      <c r="AI219" s="65">
        <f>VLOOKUP($O219,'NO USAR1'!$A$4:$L$399,7,False)*$Z$19</f>
        <v>0</v>
      </c>
      <c r="AJ219" s="65">
        <f>VLOOKUP($O219,'NO USAR1'!$A$4:$L$399,8,False)*$AA$19</f>
        <v>0</v>
      </c>
      <c r="AK219" s="70">
        <f>VLOOKUP($O219,'NO USAR1'!$A$4:$L$399,10,False)*$AB$19</f>
        <v>-0.09884476693</v>
      </c>
      <c r="AL219" s="65">
        <f>VLOOKUP($O219,'NO USAR1'!$A$4:$L$399,12,False)*$AC$19</f>
        <v>0</v>
      </c>
      <c r="AM219" s="71">
        <f t="shared" si="2"/>
        <v>-2.469260893</v>
      </c>
      <c r="AN219" s="71">
        <f t="shared" si="3"/>
        <v>-4.081088457</v>
      </c>
    </row>
    <row r="220">
      <c r="B220" s="58"/>
      <c r="C220" s="58"/>
      <c r="D220" s="58"/>
      <c r="E220" s="58"/>
      <c r="F220" s="58"/>
      <c r="G220" s="58"/>
      <c r="H220" s="58"/>
      <c r="I220" s="58"/>
      <c r="J220" s="59"/>
      <c r="K220" s="60"/>
      <c r="L220" s="58"/>
      <c r="N220" s="2">
        <v>200.0</v>
      </c>
      <c r="O220" s="68" t="str">
        <f>IF('NO USAR2'!B199="",ROW('NO USAR2'!B199),'NO USAR2'!B199)</f>
        <v>Montrezl Harrell</v>
      </c>
      <c r="P220" s="68">
        <f>'NO USAR2'!E201</f>
        <v>73</v>
      </c>
      <c r="Q220" s="68" t="str">
        <f>IF('NO USAR2'!C199="",ROW('NO USAR2'!N214),'NO USAR2'!C199)</f>
        <v>PF/C</v>
      </c>
      <c r="R220" s="65">
        <f>VLOOKUP($O220,'NO USAR1'!$A$4:$L$399,2,False)+VLOOKUP($O220,'NO USAR1'!$A$4:$L$399,3,False)+VLOOKUP($O220,'NO USAR1'!$A$4:$L$399,4,False)+VLOOKUP($O220,'NO USAR1'!$A$4:$L$399,5,False)+VLOOKUP($O220,'NO USAR1'!$A$4:$L$399,6,False)+VLOOKUP($O220,'NO USAR1'!$A$4:$L$399,7,False)+VLOOKUP($O220,'NO USAR1'!$A$4:$L$399,8,False)+VLOOKUP($O220,'NO USAR1'!$A$4:$L$399,10,False)+VLOOKUP($O220,'NO USAR1'!$A$4:$L$399,12,False)*0</f>
        <v>-6.04341603</v>
      </c>
      <c r="S220" s="65">
        <f>VLOOKUP($O220,'NO USAR1'!$A$4:$L$399,2,False)*$U$19+VLOOKUP($O220,'NO USAR1'!$A$4:$L$399,3,False)*$V$19+VLOOKUP($O220,'NO USAR1'!$A$4:$L$399,4,False)*$W$19+VLOOKUP($O220,'NO USAR1'!$A$4:$L$399,5,False)*$X$19+VLOOKUP($O220,'NO USAR1'!$A$4:$L$399,6,False)*$Y$19+VLOOKUP($O220,'NO USAR1'!$A$4:$L$399,7,False)*$Z$19+VLOOKUP($O220,'NO USAR1'!$A$4:$L$399,8,False)*$AA$19+VLOOKUP($O220,'NO USAR1'!$A$4:$L$399,10,False)*$AB$19+VLOOKUP($O220,'NO USAR1'!$A$4:$L$399,12,False)*$AC$19+IF(Projections!$K$3,-AN220, IF(Projections!$J$3,-AM220,0))</f>
        <v>-8.022486896</v>
      </c>
      <c r="T220" s="65">
        <f t="shared" si="1"/>
        <v>-1.979070866</v>
      </c>
      <c r="U220" s="65">
        <f>VLOOKUP($O220,'NO USAR2'!$B$2:$R$397,11,False)</f>
        <v>11.8</v>
      </c>
      <c r="V220" s="69">
        <f>VLOOKUP($O220,'NO USAR2'!$B$2:$R$397,10,False)</f>
        <v>0</v>
      </c>
      <c r="W220" s="65">
        <f>VLOOKUP($O220,'NO USAR2'!$B$2:$R$397,12,False)</f>
        <v>4.6</v>
      </c>
      <c r="X220" s="65">
        <f>VLOOKUP($O220,'NO USAR2'!$B$2:$R$397,13,False)</f>
        <v>1.1</v>
      </c>
      <c r="Y220" s="65">
        <f>VLOOKUP($O220,'NO USAR2'!$B$2:$R$397,14,False)</f>
        <v>0.4</v>
      </c>
      <c r="Z220" s="70">
        <f>VLOOKUP($O220,'NO USAR2'!$B$2:$R$397,15,False)</f>
        <v>0.7</v>
      </c>
      <c r="AA220" s="65">
        <f>100*VLOOKUP($O220,'NO USAR2'!$B$2:$R$397,7,False)</f>
        <v>62.02531646</v>
      </c>
      <c r="AB220" s="65">
        <f>100*VLOOKUP($O220,'NO USAR2'!$B$2:$R$397,9,False)</f>
        <v>68.96551724</v>
      </c>
      <c r="AC220" s="65">
        <f>VLOOKUP($O220,'NO USAR2'!$B$2:$Q$397,16,False)</f>
        <v>1.1</v>
      </c>
      <c r="AD220" s="65">
        <f>VLOOKUP($O220,'NO USAR1'!$A$4:$L$399,2,False)*$U$19</f>
        <v>-1.372171198</v>
      </c>
      <c r="AE220" s="65">
        <f>VLOOKUP($O220,'NO USAR1'!$A$4:$L$399,3,False)*$V$19</f>
        <v>-1.613351122</v>
      </c>
      <c r="AF220" s="65">
        <f>VLOOKUP($O220,'NO USAR1'!$A$4:$L$399,4,False)*$W$19</f>
        <v>-0.6019122419</v>
      </c>
      <c r="AG220" s="65">
        <f>VLOOKUP($O220,'NO USAR1'!$A$4:$L$399,5,False)*$X$19</f>
        <v>-1.484951395</v>
      </c>
      <c r="AH220" s="65">
        <f>VLOOKUP($O220,'NO USAR1'!$A$4:$L$399,6,False)*$Y$19</f>
        <v>-2.469260893</v>
      </c>
      <c r="AI220" s="65">
        <f>VLOOKUP($O220,'NO USAR1'!$A$4:$L$399,7,False)*$Z$19</f>
        <v>0</v>
      </c>
      <c r="AJ220" s="65">
        <f>VLOOKUP($O220,'NO USAR1'!$A$4:$L$399,8,False)*$AA$19</f>
        <v>0</v>
      </c>
      <c r="AK220" s="70">
        <f>VLOOKUP($O220,'NO USAR1'!$A$4:$L$399,10,False)*$AB$19</f>
        <v>-0.4808400456</v>
      </c>
      <c r="AL220" s="65">
        <f>VLOOKUP($O220,'NO USAR1'!$A$4:$L$399,12,False)*$AC$19</f>
        <v>0</v>
      </c>
      <c r="AM220" s="71">
        <f t="shared" si="2"/>
        <v>-2.469260893</v>
      </c>
      <c r="AN220" s="71">
        <f t="shared" si="3"/>
        <v>-4.082612015</v>
      </c>
    </row>
    <row r="221">
      <c r="B221" s="58"/>
      <c r="C221" s="58"/>
      <c r="D221" s="58"/>
      <c r="E221" s="58"/>
      <c r="F221" s="58"/>
      <c r="G221" s="58"/>
      <c r="H221" s="58"/>
      <c r="I221" s="58"/>
      <c r="J221" s="59"/>
      <c r="K221" s="60"/>
      <c r="L221" s="58"/>
      <c r="N221" s="63"/>
      <c r="O221" s="68"/>
      <c r="P221" s="68"/>
      <c r="Q221" s="68"/>
      <c r="R221" s="65"/>
      <c r="S221" s="65"/>
      <c r="T221" s="65"/>
      <c r="U221" s="65"/>
      <c r="V221" s="69"/>
      <c r="W221" s="65"/>
      <c r="X221" s="65"/>
      <c r="Y221" s="65"/>
      <c r="Z221" s="70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70"/>
      <c r="AL221" s="65"/>
      <c r="AM221" s="65"/>
      <c r="AN221" s="65"/>
    </row>
    <row r="222">
      <c r="B222" s="58"/>
      <c r="C222" s="58"/>
      <c r="D222" s="58"/>
      <c r="E222" s="58"/>
      <c r="F222" s="58"/>
      <c r="G222" s="58"/>
      <c r="H222" s="58"/>
      <c r="I222" s="58"/>
      <c r="J222" s="59"/>
      <c r="K222" s="60"/>
      <c r="L222" s="58"/>
      <c r="O222" s="68"/>
      <c r="P222" s="68"/>
      <c r="Q222" s="68"/>
      <c r="R222" s="65"/>
      <c r="S222" s="65"/>
      <c r="T222" s="65"/>
      <c r="U222" s="65"/>
      <c r="V222" s="69"/>
      <c r="W222" s="65"/>
      <c r="X222" s="65"/>
      <c r="Y222" s="65"/>
      <c r="Z222" s="70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70"/>
      <c r="AL222" s="65"/>
      <c r="AM222" s="65"/>
      <c r="AN222" s="65"/>
    </row>
    <row r="223">
      <c r="B223" s="58"/>
      <c r="C223" s="58"/>
      <c r="D223" s="58"/>
      <c r="E223" s="58"/>
      <c r="F223" s="58"/>
      <c r="G223" s="58"/>
      <c r="H223" s="58"/>
      <c r="I223" s="58"/>
      <c r="J223" s="59"/>
      <c r="K223" s="60"/>
      <c r="L223" s="58"/>
      <c r="N223" s="63"/>
      <c r="O223" s="68"/>
      <c r="P223" s="68"/>
      <c r="Q223" s="68"/>
      <c r="R223" s="65"/>
      <c r="S223" s="65"/>
      <c r="T223" s="65"/>
      <c r="U223" s="65"/>
      <c r="V223" s="69"/>
      <c r="W223" s="65"/>
      <c r="X223" s="65"/>
      <c r="Y223" s="65"/>
      <c r="Z223" s="70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70"/>
      <c r="AL223" s="65"/>
      <c r="AM223" s="65"/>
      <c r="AN223" s="65"/>
    </row>
    <row r="224">
      <c r="B224" s="58"/>
      <c r="C224" s="58"/>
      <c r="D224" s="58"/>
      <c r="E224" s="58"/>
      <c r="F224" s="58"/>
      <c r="G224" s="58"/>
      <c r="H224" s="58"/>
      <c r="I224" s="58"/>
      <c r="J224" s="59"/>
      <c r="K224" s="60"/>
      <c r="L224" s="58"/>
      <c r="N224" s="63"/>
      <c r="O224" s="68"/>
      <c r="P224" s="68"/>
      <c r="Q224" s="68"/>
      <c r="R224" s="65"/>
      <c r="S224" s="65"/>
      <c r="T224" s="65"/>
      <c r="U224" s="65"/>
      <c r="V224" s="69"/>
      <c r="W224" s="65"/>
      <c r="X224" s="65"/>
      <c r="Y224" s="65"/>
      <c r="Z224" s="70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70"/>
      <c r="AL224" s="65"/>
      <c r="AM224" s="65"/>
      <c r="AN224" s="65"/>
    </row>
    <row r="225">
      <c r="B225" s="58"/>
      <c r="C225" s="58"/>
      <c r="D225" s="58"/>
      <c r="E225" s="58"/>
      <c r="F225" s="58"/>
      <c r="G225" s="58"/>
      <c r="H225" s="58"/>
      <c r="I225" s="58"/>
      <c r="J225" s="59"/>
      <c r="K225" s="60"/>
      <c r="L225" s="58"/>
      <c r="O225" s="68"/>
      <c r="P225" s="68"/>
      <c r="Q225" s="68"/>
      <c r="R225" s="65"/>
      <c r="S225" s="65"/>
      <c r="T225" s="65"/>
      <c r="U225" s="65"/>
      <c r="V225" s="69"/>
      <c r="W225" s="65"/>
      <c r="X225" s="65"/>
      <c r="Y225" s="65"/>
      <c r="Z225" s="70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70"/>
      <c r="AL225" s="65"/>
      <c r="AM225" s="65"/>
      <c r="AN225" s="65"/>
    </row>
    <row r="226">
      <c r="B226" s="58"/>
      <c r="C226" s="58"/>
      <c r="D226" s="58"/>
      <c r="E226" s="58"/>
      <c r="F226" s="58"/>
      <c r="G226" s="58"/>
      <c r="H226" s="58"/>
      <c r="I226" s="58"/>
      <c r="J226" s="59"/>
      <c r="K226" s="60"/>
      <c r="L226" s="58"/>
      <c r="N226" s="63"/>
      <c r="O226" s="68"/>
      <c r="P226" s="68"/>
      <c r="Q226" s="68"/>
      <c r="R226" s="65"/>
      <c r="S226" s="65"/>
      <c r="T226" s="65"/>
      <c r="U226" s="65"/>
      <c r="V226" s="69"/>
      <c r="W226" s="65"/>
      <c r="X226" s="65"/>
      <c r="Y226" s="65"/>
      <c r="Z226" s="70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70"/>
      <c r="AL226" s="65"/>
      <c r="AM226" s="65"/>
      <c r="AN226" s="65"/>
    </row>
    <row r="227">
      <c r="B227" s="58"/>
      <c r="C227" s="58"/>
      <c r="D227" s="58"/>
      <c r="E227" s="58"/>
      <c r="F227" s="58"/>
      <c r="G227" s="58"/>
      <c r="H227" s="58"/>
      <c r="I227" s="58"/>
      <c r="J227" s="59"/>
      <c r="K227" s="60"/>
      <c r="L227" s="58"/>
      <c r="N227" s="63"/>
      <c r="O227" s="68"/>
      <c r="P227" s="68"/>
      <c r="Q227" s="68"/>
      <c r="R227" s="65"/>
      <c r="S227" s="65"/>
      <c r="T227" s="65"/>
      <c r="U227" s="65"/>
      <c r="V227" s="69"/>
      <c r="W227" s="65"/>
      <c r="X227" s="65"/>
      <c r="Y227" s="65"/>
      <c r="Z227" s="70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70"/>
      <c r="AL227" s="65"/>
      <c r="AM227" s="65"/>
      <c r="AN227" s="65"/>
    </row>
    <row r="228">
      <c r="B228" s="58"/>
      <c r="C228" s="58"/>
      <c r="D228" s="58"/>
      <c r="E228" s="58"/>
      <c r="F228" s="58"/>
      <c r="G228" s="58"/>
      <c r="H228" s="58"/>
      <c r="I228" s="58"/>
      <c r="J228" s="59"/>
      <c r="K228" s="60"/>
      <c r="L228" s="58"/>
      <c r="O228" s="68"/>
      <c r="P228" s="68"/>
      <c r="Q228" s="68"/>
      <c r="R228" s="65"/>
      <c r="S228" s="65"/>
      <c r="T228" s="65"/>
      <c r="U228" s="65"/>
      <c r="V228" s="69"/>
      <c r="W228" s="65"/>
      <c r="X228" s="65"/>
      <c r="Y228" s="65"/>
      <c r="Z228" s="70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70"/>
      <c r="AL228" s="65"/>
      <c r="AM228" s="65"/>
      <c r="AN228" s="65"/>
    </row>
    <row r="229">
      <c r="B229" s="58"/>
      <c r="C229" s="58"/>
      <c r="D229" s="58"/>
      <c r="E229" s="58"/>
      <c r="F229" s="58"/>
      <c r="G229" s="58"/>
      <c r="H229" s="58"/>
      <c r="I229" s="58"/>
      <c r="J229" s="59"/>
      <c r="K229" s="60"/>
      <c r="L229" s="58"/>
      <c r="N229" s="63"/>
      <c r="O229" s="68"/>
      <c r="P229" s="68"/>
      <c r="Q229" s="68"/>
      <c r="R229" s="65"/>
      <c r="S229" s="65"/>
      <c r="T229" s="65"/>
      <c r="U229" s="65"/>
      <c r="V229" s="69"/>
      <c r="W229" s="65"/>
      <c r="X229" s="65"/>
      <c r="Y229" s="65"/>
      <c r="Z229" s="70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70"/>
      <c r="AL229" s="65"/>
      <c r="AM229" s="65"/>
      <c r="AN229" s="65"/>
    </row>
    <row r="230">
      <c r="B230" s="58"/>
      <c r="C230" s="58"/>
      <c r="D230" s="58"/>
      <c r="E230" s="58"/>
      <c r="F230" s="58"/>
      <c r="G230" s="58"/>
      <c r="H230" s="58"/>
      <c r="I230" s="58"/>
      <c r="J230" s="59"/>
      <c r="K230" s="60"/>
      <c r="L230" s="58"/>
      <c r="N230" s="63"/>
      <c r="O230" s="68"/>
      <c r="P230" s="68"/>
      <c r="Q230" s="68"/>
      <c r="R230" s="65"/>
      <c r="S230" s="65"/>
      <c r="T230" s="65"/>
      <c r="U230" s="65"/>
      <c r="V230" s="69"/>
      <c r="W230" s="65"/>
      <c r="X230" s="65"/>
      <c r="Y230" s="65"/>
      <c r="Z230" s="70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70"/>
      <c r="AL230" s="65"/>
      <c r="AM230" s="65"/>
      <c r="AN230" s="65"/>
    </row>
    <row r="231">
      <c r="B231" s="58"/>
      <c r="C231" s="58"/>
      <c r="D231" s="58"/>
      <c r="E231" s="58"/>
      <c r="F231" s="58"/>
      <c r="G231" s="58"/>
      <c r="H231" s="58"/>
      <c r="I231" s="58"/>
      <c r="J231" s="59"/>
      <c r="K231" s="60"/>
      <c r="L231" s="58"/>
      <c r="O231" s="68"/>
      <c r="P231" s="68"/>
      <c r="Q231" s="68"/>
      <c r="R231" s="65"/>
      <c r="S231" s="65"/>
      <c r="T231" s="65"/>
      <c r="U231" s="65"/>
      <c r="V231" s="69"/>
      <c r="W231" s="65"/>
      <c r="X231" s="65"/>
      <c r="Y231" s="65"/>
      <c r="Z231" s="70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70"/>
      <c r="AL231" s="65"/>
      <c r="AM231" s="65"/>
      <c r="AN231" s="65"/>
    </row>
    <row r="232">
      <c r="B232" s="58"/>
      <c r="C232" s="58"/>
      <c r="D232" s="58"/>
      <c r="E232" s="58"/>
      <c r="F232" s="58"/>
      <c r="G232" s="58"/>
      <c r="H232" s="58"/>
      <c r="I232" s="58"/>
      <c r="J232" s="59"/>
      <c r="K232" s="60"/>
      <c r="L232" s="58"/>
      <c r="N232" s="63"/>
      <c r="O232" s="68"/>
      <c r="P232" s="68"/>
      <c r="Q232" s="68"/>
      <c r="R232" s="65"/>
      <c r="S232" s="65"/>
      <c r="T232" s="65"/>
      <c r="U232" s="65"/>
      <c r="V232" s="69"/>
      <c r="W232" s="65"/>
      <c r="X232" s="65"/>
      <c r="Y232" s="65"/>
      <c r="Z232" s="70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70"/>
      <c r="AL232" s="65"/>
      <c r="AM232" s="65"/>
      <c r="AN232" s="65"/>
    </row>
    <row r="233">
      <c r="B233" s="58"/>
      <c r="C233" s="58"/>
      <c r="D233" s="58"/>
      <c r="E233" s="58"/>
      <c r="F233" s="58"/>
      <c r="G233" s="58"/>
      <c r="H233" s="58"/>
      <c r="I233" s="58"/>
      <c r="J233" s="59"/>
      <c r="K233" s="60"/>
      <c r="L233" s="58"/>
      <c r="N233" s="63"/>
      <c r="O233" s="68"/>
      <c r="P233" s="68"/>
      <c r="Q233" s="68"/>
      <c r="R233" s="65"/>
      <c r="S233" s="65"/>
      <c r="T233" s="65"/>
      <c r="U233" s="65"/>
      <c r="V233" s="69"/>
      <c r="W233" s="65"/>
      <c r="X233" s="65"/>
      <c r="Y233" s="65"/>
      <c r="Z233" s="70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70"/>
      <c r="AL233" s="65"/>
      <c r="AM233" s="65"/>
      <c r="AN233" s="65"/>
    </row>
    <row r="234">
      <c r="B234" s="58"/>
      <c r="C234" s="58"/>
      <c r="D234" s="58"/>
      <c r="E234" s="58"/>
      <c r="F234" s="58"/>
      <c r="G234" s="58"/>
      <c r="H234" s="58"/>
      <c r="I234" s="58"/>
      <c r="J234" s="59"/>
      <c r="K234" s="60"/>
      <c r="L234" s="58"/>
      <c r="O234" s="68"/>
      <c r="P234" s="68"/>
      <c r="Q234" s="68"/>
      <c r="R234" s="65"/>
      <c r="S234" s="65"/>
      <c r="T234" s="65"/>
      <c r="U234" s="65"/>
      <c r="V234" s="69"/>
      <c r="W234" s="65"/>
      <c r="X234" s="65"/>
      <c r="Y234" s="65"/>
      <c r="Z234" s="70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70"/>
      <c r="AL234" s="65"/>
      <c r="AM234" s="65"/>
      <c r="AN234" s="65"/>
    </row>
    <row r="235">
      <c r="B235" s="58"/>
      <c r="C235" s="58"/>
      <c r="D235" s="58"/>
      <c r="E235" s="58"/>
      <c r="F235" s="58"/>
      <c r="G235" s="58"/>
      <c r="H235" s="58"/>
      <c r="I235" s="58"/>
      <c r="J235" s="59"/>
      <c r="K235" s="60"/>
      <c r="L235" s="58"/>
      <c r="N235" s="63"/>
      <c r="O235" s="68"/>
      <c r="P235" s="68"/>
      <c r="Q235" s="68"/>
      <c r="R235" s="65"/>
      <c r="S235" s="65"/>
      <c r="T235" s="65"/>
      <c r="U235" s="65"/>
      <c r="V235" s="69"/>
      <c r="W235" s="65"/>
      <c r="X235" s="65"/>
      <c r="Y235" s="65"/>
      <c r="Z235" s="70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70"/>
      <c r="AL235" s="65"/>
      <c r="AM235" s="65"/>
      <c r="AN235" s="65"/>
    </row>
    <row r="236">
      <c r="B236" s="58"/>
      <c r="C236" s="58"/>
      <c r="D236" s="58"/>
      <c r="E236" s="58"/>
      <c r="F236" s="58"/>
      <c r="G236" s="58"/>
      <c r="H236" s="58"/>
      <c r="I236" s="58"/>
      <c r="J236" s="59"/>
      <c r="K236" s="60"/>
      <c r="L236" s="58"/>
      <c r="N236" s="63"/>
      <c r="O236" s="68"/>
      <c r="P236" s="68"/>
      <c r="Q236" s="68"/>
      <c r="R236" s="65"/>
      <c r="S236" s="65"/>
      <c r="T236" s="65"/>
      <c r="U236" s="65"/>
      <c r="V236" s="69"/>
      <c r="W236" s="65"/>
      <c r="X236" s="65"/>
      <c r="Y236" s="65"/>
      <c r="Z236" s="70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70"/>
      <c r="AL236" s="65"/>
      <c r="AM236" s="65"/>
      <c r="AN236" s="65"/>
    </row>
    <row r="237">
      <c r="B237" s="58"/>
      <c r="C237" s="58"/>
      <c r="D237" s="58"/>
      <c r="E237" s="58"/>
      <c r="F237" s="58"/>
      <c r="G237" s="58"/>
      <c r="H237" s="58"/>
      <c r="I237" s="58"/>
      <c r="J237" s="59"/>
      <c r="K237" s="60"/>
      <c r="L237" s="58"/>
      <c r="O237" s="68"/>
      <c r="P237" s="68"/>
      <c r="Q237" s="68"/>
      <c r="R237" s="65"/>
      <c r="S237" s="65"/>
      <c r="T237" s="65"/>
      <c r="U237" s="65"/>
      <c r="V237" s="69"/>
      <c r="W237" s="65"/>
      <c r="X237" s="65"/>
      <c r="Y237" s="65"/>
      <c r="Z237" s="70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70"/>
      <c r="AL237" s="65"/>
      <c r="AM237" s="65"/>
      <c r="AN237" s="65"/>
    </row>
    <row r="238">
      <c r="B238" s="58"/>
      <c r="C238" s="58"/>
      <c r="D238" s="58"/>
      <c r="E238" s="58"/>
      <c r="F238" s="58"/>
      <c r="G238" s="58"/>
      <c r="H238" s="58"/>
      <c r="I238" s="58"/>
      <c r="J238" s="59"/>
      <c r="K238" s="60"/>
      <c r="L238" s="58"/>
      <c r="N238" s="63"/>
      <c r="O238" s="68"/>
      <c r="P238" s="68"/>
      <c r="Q238" s="68"/>
      <c r="R238" s="65"/>
      <c r="S238" s="65"/>
      <c r="T238" s="65"/>
      <c r="U238" s="65"/>
      <c r="V238" s="69"/>
      <c r="W238" s="65"/>
      <c r="X238" s="65"/>
      <c r="Y238" s="65"/>
      <c r="Z238" s="70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70"/>
      <c r="AL238" s="65"/>
      <c r="AM238" s="65"/>
      <c r="AN238" s="65"/>
    </row>
    <row r="239">
      <c r="B239" s="58"/>
      <c r="C239" s="58"/>
      <c r="D239" s="58"/>
      <c r="E239" s="58"/>
      <c r="F239" s="58"/>
      <c r="G239" s="58"/>
      <c r="H239" s="58"/>
      <c r="I239" s="58"/>
      <c r="J239" s="59"/>
      <c r="K239" s="60"/>
      <c r="L239" s="58"/>
      <c r="N239" s="63"/>
      <c r="O239" s="68"/>
      <c r="P239" s="68"/>
      <c r="Q239" s="68"/>
      <c r="R239" s="65"/>
      <c r="S239" s="65"/>
      <c r="T239" s="65"/>
      <c r="U239" s="65"/>
      <c r="V239" s="69"/>
      <c r="W239" s="65"/>
      <c r="X239" s="65"/>
      <c r="Y239" s="65"/>
      <c r="Z239" s="70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70"/>
      <c r="AL239" s="65"/>
      <c r="AM239" s="65"/>
      <c r="AN239" s="65"/>
    </row>
    <row r="240">
      <c r="B240" s="58"/>
      <c r="C240" s="58"/>
      <c r="D240" s="58"/>
      <c r="E240" s="58"/>
      <c r="F240" s="58"/>
      <c r="G240" s="58"/>
      <c r="H240" s="58"/>
      <c r="I240" s="58"/>
      <c r="J240" s="59"/>
      <c r="K240" s="60"/>
      <c r="L240" s="58"/>
      <c r="O240" s="68"/>
      <c r="P240" s="68"/>
      <c r="Q240" s="68"/>
      <c r="R240" s="65"/>
      <c r="S240" s="65"/>
      <c r="T240" s="65"/>
      <c r="U240" s="65"/>
      <c r="V240" s="69"/>
      <c r="W240" s="65"/>
      <c r="X240" s="65"/>
      <c r="Y240" s="65"/>
      <c r="Z240" s="70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70"/>
      <c r="AL240" s="65"/>
      <c r="AM240" s="65"/>
      <c r="AN240" s="65"/>
    </row>
    <row r="241">
      <c r="B241" s="58"/>
      <c r="C241" s="58"/>
      <c r="D241" s="58"/>
      <c r="E241" s="58"/>
      <c r="F241" s="58"/>
      <c r="G241" s="58"/>
      <c r="H241" s="58"/>
      <c r="I241" s="58"/>
      <c r="J241" s="59"/>
      <c r="K241" s="60"/>
      <c r="L241" s="58"/>
      <c r="N241" s="63"/>
      <c r="O241" s="68"/>
      <c r="P241" s="68"/>
      <c r="Q241" s="68"/>
      <c r="R241" s="65"/>
      <c r="S241" s="65"/>
      <c r="T241" s="65"/>
      <c r="U241" s="65"/>
      <c r="V241" s="69"/>
      <c r="W241" s="65"/>
      <c r="X241" s="65"/>
      <c r="Y241" s="65"/>
      <c r="Z241" s="70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70"/>
      <c r="AL241" s="65"/>
      <c r="AM241" s="65"/>
      <c r="AN241" s="65"/>
    </row>
    <row r="242">
      <c r="B242" s="58"/>
      <c r="C242" s="58"/>
      <c r="D242" s="58"/>
      <c r="E242" s="58"/>
      <c r="F242" s="58"/>
      <c r="G242" s="58"/>
      <c r="H242" s="58"/>
      <c r="I242" s="58"/>
      <c r="J242" s="59"/>
      <c r="K242" s="60"/>
      <c r="L242" s="58"/>
      <c r="N242" s="63"/>
      <c r="O242" s="68"/>
      <c r="P242" s="68"/>
      <c r="Q242" s="68"/>
      <c r="R242" s="65"/>
      <c r="S242" s="65"/>
      <c r="T242" s="65"/>
      <c r="U242" s="65"/>
      <c r="V242" s="69"/>
      <c r="W242" s="65"/>
      <c r="X242" s="65"/>
      <c r="Y242" s="65"/>
      <c r="Z242" s="70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70"/>
      <c r="AL242" s="65"/>
      <c r="AM242" s="65"/>
      <c r="AN242" s="65"/>
    </row>
    <row r="243">
      <c r="B243" s="58"/>
      <c r="C243" s="58"/>
      <c r="D243" s="58"/>
      <c r="E243" s="58"/>
      <c r="F243" s="58"/>
      <c r="G243" s="58"/>
      <c r="H243" s="58"/>
      <c r="I243" s="58"/>
      <c r="J243" s="59"/>
      <c r="K243" s="60"/>
      <c r="L243" s="58"/>
      <c r="O243" s="68"/>
      <c r="P243" s="68"/>
      <c r="Q243" s="68"/>
      <c r="R243" s="65"/>
      <c r="S243" s="65"/>
      <c r="T243" s="65"/>
      <c r="U243" s="65"/>
      <c r="V243" s="69"/>
      <c r="W243" s="65"/>
      <c r="X243" s="65"/>
      <c r="Y243" s="65"/>
      <c r="Z243" s="70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70"/>
      <c r="AL243" s="65"/>
      <c r="AM243" s="65"/>
      <c r="AN243" s="65"/>
    </row>
    <row r="244">
      <c r="B244" s="58"/>
      <c r="C244" s="58"/>
      <c r="D244" s="58"/>
      <c r="E244" s="58"/>
      <c r="F244" s="58"/>
      <c r="G244" s="58"/>
      <c r="H244" s="58"/>
      <c r="I244" s="58"/>
      <c r="J244" s="59"/>
      <c r="K244" s="60"/>
      <c r="L244" s="58"/>
      <c r="N244" s="63"/>
      <c r="O244" s="68"/>
      <c r="P244" s="68"/>
      <c r="Q244" s="68"/>
      <c r="R244" s="65"/>
      <c r="S244" s="65"/>
      <c r="T244" s="65"/>
      <c r="U244" s="65"/>
      <c r="V244" s="69"/>
      <c r="W244" s="65"/>
      <c r="X244" s="65"/>
      <c r="Y244" s="65"/>
      <c r="Z244" s="70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70"/>
      <c r="AL244" s="65"/>
      <c r="AM244" s="65"/>
      <c r="AN244" s="65"/>
    </row>
    <row r="245">
      <c r="B245" s="58"/>
      <c r="C245" s="58"/>
      <c r="D245" s="58"/>
      <c r="E245" s="58"/>
      <c r="F245" s="58"/>
      <c r="G245" s="58"/>
      <c r="H245" s="58"/>
      <c r="I245" s="58"/>
      <c r="J245" s="59"/>
      <c r="K245" s="60"/>
      <c r="L245" s="58"/>
      <c r="N245" s="63"/>
      <c r="O245" s="68"/>
      <c r="P245" s="68"/>
      <c r="Q245" s="68"/>
      <c r="R245" s="65"/>
      <c r="S245" s="65"/>
      <c r="T245" s="65"/>
      <c r="U245" s="65"/>
      <c r="V245" s="69"/>
      <c r="W245" s="65"/>
      <c r="X245" s="65"/>
      <c r="Y245" s="65"/>
      <c r="Z245" s="70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70"/>
      <c r="AL245" s="65"/>
      <c r="AM245" s="65"/>
      <c r="AN245" s="65"/>
    </row>
    <row r="246">
      <c r="B246" s="58"/>
      <c r="C246" s="58"/>
      <c r="D246" s="58"/>
      <c r="E246" s="58"/>
      <c r="F246" s="58"/>
      <c r="G246" s="58"/>
      <c r="H246" s="58"/>
      <c r="I246" s="58"/>
      <c r="J246" s="59"/>
      <c r="K246" s="60"/>
      <c r="L246" s="58"/>
      <c r="O246" s="68"/>
      <c r="P246" s="68"/>
      <c r="Q246" s="68"/>
      <c r="R246" s="65"/>
      <c r="S246" s="65"/>
      <c r="T246" s="65"/>
      <c r="U246" s="65"/>
      <c r="V246" s="69"/>
      <c r="W246" s="65"/>
      <c r="X246" s="65"/>
      <c r="Y246" s="65"/>
      <c r="Z246" s="70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70"/>
      <c r="AL246" s="65"/>
      <c r="AM246" s="65"/>
      <c r="AN246" s="65"/>
    </row>
    <row r="247">
      <c r="B247" s="58"/>
      <c r="C247" s="58"/>
      <c r="D247" s="58"/>
      <c r="E247" s="58"/>
      <c r="F247" s="58"/>
      <c r="G247" s="58"/>
      <c r="H247" s="58"/>
      <c r="I247" s="58"/>
      <c r="J247" s="59"/>
      <c r="K247" s="60"/>
      <c r="L247" s="58"/>
      <c r="N247" s="63"/>
      <c r="O247" s="68"/>
      <c r="P247" s="68"/>
      <c r="Q247" s="68"/>
      <c r="R247" s="65"/>
      <c r="S247" s="65"/>
      <c r="T247" s="65"/>
      <c r="U247" s="65"/>
      <c r="V247" s="69"/>
      <c r="W247" s="65"/>
      <c r="X247" s="65"/>
      <c r="Y247" s="65"/>
      <c r="Z247" s="70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70"/>
      <c r="AL247" s="65"/>
      <c r="AM247" s="65"/>
      <c r="AN247" s="65"/>
    </row>
    <row r="248">
      <c r="B248" s="58"/>
      <c r="C248" s="58"/>
      <c r="D248" s="58"/>
      <c r="E248" s="58"/>
      <c r="F248" s="58"/>
      <c r="G248" s="58"/>
      <c r="H248" s="58"/>
      <c r="I248" s="58"/>
      <c r="J248" s="59"/>
      <c r="K248" s="60"/>
      <c r="L248" s="58"/>
      <c r="N248" s="63"/>
      <c r="O248" s="68"/>
      <c r="P248" s="68"/>
      <c r="Q248" s="68"/>
      <c r="R248" s="65"/>
      <c r="S248" s="65"/>
      <c r="T248" s="65"/>
      <c r="U248" s="65"/>
      <c r="V248" s="69"/>
      <c r="W248" s="65"/>
      <c r="X248" s="65"/>
      <c r="Y248" s="65"/>
      <c r="Z248" s="70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70"/>
      <c r="AL248" s="65"/>
      <c r="AM248" s="65"/>
      <c r="AN248" s="65"/>
    </row>
    <row r="249">
      <c r="B249" s="58"/>
      <c r="C249" s="58"/>
      <c r="D249" s="58"/>
      <c r="E249" s="58"/>
      <c r="F249" s="58"/>
      <c r="G249" s="58"/>
      <c r="H249" s="58"/>
      <c r="I249" s="58"/>
      <c r="J249" s="59"/>
      <c r="K249" s="60"/>
      <c r="L249" s="58"/>
      <c r="O249" s="68"/>
      <c r="P249" s="68"/>
      <c r="Q249" s="68"/>
      <c r="R249" s="65"/>
      <c r="S249" s="65"/>
      <c r="T249" s="65"/>
      <c r="U249" s="65"/>
      <c r="V249" s="69"/>
      <c r="W249" s="65"/>
      <c r="X249" s="65"/>
      <c r="Y249" s="65"/>
      <c r="Z249" s="70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70"/>
      <c r="AL249" s="65"/>
      <c r="AM249" s="65"/>
      <c r="AN249" s="65"/>
    </row>
    <row r="250">
      <c r="B250" s="58"/>
      <c r="C250" s="58"/>
      <c r="D250" s="58"/>
      <c r="E250" s="58"/>
      <c r="F250" s="58"/>
      <c r="G250" s="58"/>
      <c r="H250" s="58"/>
      <c r="I250" s="58"/>
      <c r="J250" s="59"/>
      <c r="K250" s="60"/>
      <c r="L250" s="58"/>
      <c r="N250" s="63"/>
      <c r="O250" s="68"/>
      <c r="P250" s="68"/>
      <c r="Q250" s="68"/>
      <c r="R250" s="65"/>
      <c r="S250" s="65"/>
      <c r="T250" s="65"/>
      <c r="U250" s="65"/>
      <c r="V250" s="69"/>
      <c r="W250" s="65"/>
      <c r="X250" s="65"/>
      <c r="Y250" s="65"/>
      <c r="Z250" s="70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70"/>
      <c r="AL250" s="65"/>
      <c r="AM250" s="65"/>
      <c r="AN250" s="65"/>
    </row>
    <row r="251">
      <c r="B251" s="58"/>
      <c r="C251" s="58"/>
      <c r="D251" s="58"/>
      <c r="E251" s="58"/>
      <c r="F251" s="58"/>
      <c r="G251" s="58"/>
      <c r="H251" s="58"/>
      <c r="I251" s="58"/>
      <c r="J251" s="59"/>
      <c r="K251" s="60"/>
      <c r="L251" s="58"/>
      <c r="N251" s="63"/>
      <c r="O251" s="68"/>
      <c r="P251" s="68"/>
      <c r="Q251" s="68"/>
      <c r="R251" s="65"/>
      <c r="S251" s="65"/>
      <c r="T251" s="65"/>
      <c r="U251" s="65"/>
      <c r="V251" s="69"/>
      <c r="W251" s="65"/>
      <c r="X251" s="65"/>
      <c r="Y251" s="65"/>
      <c r="Z251" s="70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70"/>
      <c r="AL251" s="65"/>
      <c r="AM251" s="65"/>
      <c r="AN251" s="65"/>
    </row>
    <row r="252">
      <c r="B252" s="58"/>
      <c r="C252" s="58"/>
      <c r="D252" s="58"/>
      <c r="E252" s="58"/>
      <c r="F252" s="58"/>
      <c r="G252" s="58"/>
      <c r="H252" s="58"/>
      <c r="I252" s="58"/>
      <c r="J252" s="59"/>
      <c r="K252" s="60"/>
      <c r="L252" s="58"/>
      <c r="O252" s="68"/>
      <c r="P252" s="68"/>
      <c r="Q252" s="68"/>
      <c r="R252" s="65"/>
      <c r="S252" s="65"/>
      <c r="T252" s="65"/>
      <c r="U252" s="65"/>
      <c r="V252" s="69"/>
      <c r="W252" s="65"/>
      <c r="X252" s="65"/>
      <c r="Y252" s="65"/>
      <c r="Z252" s="70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70"/>
      <c r="AL252" s="65"/>
      <c r="AM252" s="65"/>
      <c r="AN252" s="65"/>
    </row>
    <row r="253">
      <c r="B253" s="58"/>
      <c r="C253" s="58"/>
      <c r="D253" s="58"/>
      <c r="E253" s="58"/>
      <c r="F253" s="58"/>
      <c r="G253" s="58"/>
      <c r="H253" s="58"/>
      <c r="I253" s="58"/>
      <c r="J253" s="59"/>
      <c r="K253" s="60"/>
      <c r="L253" s="58"/>
      <c r="N253" s="63"/>
      <c r="O253" s="68"/>
      <c r="P253" s="68"/>
      <c r="Q253" s="68"/>
      <c r="R253" s="65"/>
      <c r="S253" s="65"/>
      <c r="T253" s="65"/>
      <c r="U253" s="65"/>
      <c r="V253" s="69"/>
      <c r="W253" s="65"/>
      <c r="X253" s="65"/>
      <c r="Y253" s="65"/>
      <c r="Z253" s="70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70"/>
      <c r="AL253" s="65"/>
      <c r="AM253" s="65"/>
      <c r="AN253" s="65"/>
    </row>
    <row r="254">
      <c r="B254" s="58"/>
      <c r="C254" s="58"/>
      <c r="D254" s="58"/>
      <c r="E254" s="58"/>
      <c r="F254" s="58"/>
      <c r="G254" s="58"/>
      <c r="H254" s="58"/>
      <c r="I254" s="58"/>
      <c r="J254" s="59"/>
      <c r="K254" s="60"/>
      <c r="L254" s="58"/>
      <c r="N254" s="63"/>
      <c r="O254" s="68"/>
      <c r="P254" s="68"/>
      <c r="Q254" s="68"/>
      <c r="R254" s="65"/>
      <c r="S254" s="65"/>
      <c r="T254" s="65"/>
      <c r="U254" s="65"/>
      <c r="V254" s="69"/>
      <c r="W254" s="65"/>
      <c r="X254" s="65"/>
      <c r="Y254" s="65"/>
      <c r="Z254" s="70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70"/>
      <c r="AL254" s="65"/>
      <c r="AM254" s="65"/>
      <c r="AN254" s="65"/>
    </row>
    <row r="255">
      <c r="B255" s="58"/>
      <c r="C255" s="58"/>
      <c r="D255" s="58"/>
      <c r="E255" s="58"/>
      <c r="F255" s="58"/>
      <c r="G255" s="58"/>
      <c r="H255" s="58"/>
      <c r="I255" s="58"/>
      <c r="J255" s="59"/>
      <c r="K255" s="60"/>
      <c r="L255" s="58"/>
      <c r="O255" s="68"/>
      <c r="P255" s="68"/>
      <c r="Q255" s="68"/>
      <c r="R255" s="65"/>
      <c r="S255" s="65"/>
      <c r="T255" s="65"/>
      <c r="U255" s="65"/>
      <c r="V255" s="69"/>
      <c r="W255" s="65"/>
      <c r="X255" s="65"/>
      <c r="Y255" s="65"/>
      <c r="Z255" s="70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70"/>
      <c r="AL255" s="65"/>
      <c r="AM255" s="65"/>
      <c r="AN255" s="65"/>
    </row>
    <row r="256">
      <c r="B256" s="58"/>
      <c r="C256" s="58"/>
      <c r="D256" s="58"/>
      <c r="E256" s="58"/>
      <c r="F256" s="58"/>
      <c r="G256" s="58"/>
      <c r="H256" s="58"/>
      <c r="I256" s="58"/>
      <c r="J256" s="59"/>
      <c r="K256" s="60"/>
      <c r="L256" s="58"/>
      <c r="N256" s="63"/>
      <c r="O256" s="68"/>
      <c r="P256" s="68"/>
      <c r="Q256" s="68"/>
      <c r="R256" s="65"/>
      <c r="S256" s="65"/>
      <c r="T256" s="65"/>
      <c r="U256" s="65"/>
      <c r="V256" s="69"/>
      <c r="W256" s="65"/>
      <c r="X256" s="65"/>
      <c r="Y256" s="65"/>
      <c r="Z256" s="70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70"/>
      <c r="AL256" s="65"/>
      <c r="AM256" s="65"/>
      <c r="AN256" s="65"/>
    </row>
    <row r="257">
      <c r="B257" s="58"/>
      <c r="C257" s="58"/>
      <c r="D257" s="58"/>
      <c r="E257" s="58"/>
      <c r="F257" s="58"/>
      <c r="G257" s="58"/>
      <c r="H257" s="58"/>
      <c r="I257" s="58"/>
      <c r="J257" s="59"/>
      <c r="K257" s="60"/>
      <c r="L257" s="58"/>
      <c r="N257" s="63"/>
      <c r="O257" s="68"/>
      <c r="P257" s="68"/>
      <c r="Q257" s="68"/>
      <c r="R257" s="65"/>
      <c r="S257" s="65"/>
      <c r="T257" s="65"/>
      <c r="U257" s="65"/>
      <c r="V257" s="69"/>
      <c r="W257" s="65"/>
      <c r="X257" s="65"/>
      <c r="Y257" s="65"/>
      <c r="Z257" s="70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70"/>
      <c r="AL257" s="65"/>
      <c r="AM257" s="65"/>
      <c r="AN257" s="65"/>
    </row>
    <row r="258">
      <c r="B258" s="58"/>
      <c r="C258" s="58"/>
      <c r="D258" s="58"/>
      <c r="E258" s="58"/>
      <c r="F258" s="58"/>
      <c r="G258" s="58"/>
      <c r="H258" s="58"/>
      <c r="I258" s="58"/>
      <c r="J258" s="59"/>
      <c r="K258" s="60"/>
      <c r="L258" s="58"/>
      <c r="O258" s="68"/>
      <c r="P258" s="68"/>
      <c r="Q258" s="68"/>
      <c r="R258" s="65"/>
      <c r="S258" s="65"/>
      <c r="T258" s="65"/>
      <c r="U258" s="65"/>
      <c r="V258" s="69"/>
      <c r="W258" s="65"/>
      <c r="X258" s="65"/>
      <c r="Y258" s="65"/>
      <c r="Z258" s="70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70"/>
      <c r="AL258" s="65"/>
      <c r="AM258" s="65"/>
      <c r="AN258" s="65"/>
    </row>
    <row r="259">
      <c r="B259" s="58"/>
      <c r="C259" s="58"/>
      <c r="D259" s="58"/>
      <c r="E259" s="58"/>
      <c r="F259" s="58"/>
      <c r="G259" s="58"/>
      <c r="H259" s="58"/>
      <c r="I259" s="58"/>
      <c r="J259" s="59"/>
      <c r="K259" s="60"/>
      <c r="L259" s="58"/>
      <c r="N259" s="63"/>
      <c r="O259" s="68"/>
      <c r="P259" s="68"/>
      <c r="Q259" s="68"/>
      <c r="R259" s="65"/>
      <c r="S259" s="65"/>
      <c r="T259" s="65"/>
      <c r="U259" s="65"/>
      <c r="V259" s="69"/>
      <c r="W259" s="65"/>
      <c r="X259" s="65"/>
      <c r="Y259" s="65"/>
      <c r="Z259" s="70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70"/>
      <c r="AL259" s="65"/>
      <c r="AM259" s="65"/>
      <c r="AN259" s="65"/>
    </row>
    <row r="260">
      <c r="B260" s="58"/>
      <c r="C260" s="58"/>
      <c r="D260" s="58"/>
      <c r="E260" s="58"/>
      <c r="F260" s="58"/>
      <c r="G260" s="58"/>
      <c r="H260" s="58"/>
      <c r="I260" s="58"/>
      <c r="J260" s="59"/>
      <c r="K260" s="60"/>
      <c r="L260" s="58"/>
      <c r="N260" s="63"/>
      <c r="O260" s="68"/>
      <c r="P260" s="68"/>
      <c r="Q260" s="68"/>
      <c r="R260" s="65"/>
      <c r="S260" s="65"/>
      <c r="T260" s="65"/>
      <c r="U260" s="65"/>
      <c r="V260" s="69"/>
      <c r="W260" s="65"/>
      <c r="X260" s="65"/>
      <c r="Y260" s="65"/>
      <c r="Z260" s="70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70"/>
      <c r="AL260" s="65"/>
      <c r="AM260" s="65"/>
      <c r="AN260" s="65"/>
    </row>
    <row r="261">
      <c r="B261" s="58"/>
      <c r="C261" s="58"/>
      <c r="D261" s="58"/>
      <c r="E261" s="58"/>
      <c r="F261" s="58"/>
      <c r="G261" s="58"/>
      <c r="H261" s="58"/>
      <c r="I261" s="58"/>
      <c r="J261" s="59"/>
      <c r="K261" s="60"/>
      <c r="L261" s="58"/>
      <c r="O261" s="68"/>
      <c r="P261" s="68"/>
      <c r="Q261" s="68"/>
      <c r="R261" s="65"/>
      <c r="S261" s="65"/>
      <c r="T261" s="65"/>
      <c r="U261" s="65"/>
      <c r="V261" s="69"/>
      <c r="W261" s="65"/>
      <c r="X261" s="65"/>
      <c r="Y261" s="65"/>
      <c r="Z261" s="70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70"/>
      <c r="AL261" s="65"/>
      <c r="AM261" s="65"/>
      <c r="AN261" s="65"/>
    </row>
    <row r="262">
      <c r="B262" s="58"/>
      <c r="C262" s="58"/>
      <c r="D262" s="58"/>
      <c r="E262" s="58"/>
      <c r="F262" s="58"/>
      <c r="G262" s="58"/>
      <c r="H262" s="58"/>
      <c r="I262" s="58"/>
      <c r="J262" s="59"/>
      <c r="K262" s="60"/>
      <c r="L262" s="58"/>
      <c r="N262" s="63"/>
      <c r="O262" s="68"/>
      <c r="P262" s="68"/>
      <c r="Q262" s="68"/>
      <c r="R262" s="65"/>
      <c r="S262" s="65"/>
      <c r="T262" s="65"/>
      <c r="U262" s="65"/>
      <c r="V262" s="69"/>
      <c r="W262" s="65"/>
      <c r="X262" s="65"/>
      <c r="Y262" s="65"/>
      <c r="Z262" s="70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70"/>
      <c r="AL262" s="65"/>
      <c r="AM262" s="65"/>
      <c r="AN262" s="65"/>
    </row>
    <row r="263">
      <c r="B263" s="58"/>
      <c r="C263" s="58"/>
      <c r="D263" s="58"/>
      <c r="E263" s="58"/>
      <c r="F263" s="58"/>
      <c r="G263" s="58"/>
      <c r="H263" s="58"/>
      <c r="I263" s="58"/>
      <c r="J263" s="59"/>
      <c r="K263" s="60"/>
      <c r="L263" s="58"/>
      <c r="N263" s="63"/>
      <c r="O263" s="68"/>
      <c r="P263" s="68"/>
      <c r="Q263" s="68"/>
      <c r="R263" s="65"/>
      <c r="S263" s="65"/>
      <c r="T263" s="65"/>
      <c r="U263" s="65"/>
      <c r="V263" s="69"/>
      <c r="W263" s="65"/>
      <c r="X263" s="65"/>
      <c r="Y263" s="65"/>
      <c r="Z263" s="70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70"/>
      <c r="AL263" s="65"/>
      <c r="AM263" s="65"/>
      <c r="AN263" s="65"/>
    </row>
    <row r="264">
      <c r="B264" s="58"/>
      <c r="C264" s="58"/>
      <c r="D264" s="58"/>
      <c r="E264" s="58"/>
      <c r="F264" s="58"/>
      <c r="G264" s="58"/>
      <c r="H264" s="58"/>
      <c r="I264" s="58"/>
      <c r="J264" s="59"/>
      <c r="K264" s="60"/>
      <c r="L264" s="58"/>
      <c r="O264" s="68"/>
      <c r="P264" s="68"/>
      <c r="Q264" s="68"/>
      <c r="R264" s="65"/>
      <c r="S264" s="65"/>
      <c r="T264" s="65"/>
      <c r="U264" s="65"/>
      <c r="V264" s="69"/>
      <c r="W264" s="65"/>
      <c r="X264" s="65"/>
      <c r="Y264" s="65"/>
      <c r="Z264" s="70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70"/>
      <c r="AL264" s="65"/>
      <c r="AM264" s="65"/>
      <c r="AN264" s="65"/>
    </row>
    <row r="265">
      <c r="B265" s="58"/>
      <c r="C265" s="58"/>
      <c r="D265" s="58"/>
      <c r="E265" s="58"/>
      <c r="F265" s="58"/>
      <c r="G265" s="58"/>
      <c r="H265" s="58"/>
      <c r="I265" s="58"/>
      <c r="J265" s="59"/>
      <c r="K265" s="60"/>
      <c r="L265" s="58"/>
      <c r="N265" s="63"/>
      <c r="O265" s="68"/>
      <c r="P265" s="68"/>
      <c r="Q265" s="68"/>
      <c r="R265" s="65"/>
      <c r="S265" s="65"/>
      <c r="T265" s="65"/>
      <c r="U265" s="65"/>
      <c r="V265" s="69"/>
      <c r="W265" s="65"/>
      <c r="X265" s="65"/>
      <c r="Y265" s="65"/>
      <c r="Z265" s="70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70"/>
      <c r="AL265" s="65"/>
      <c r="AM265" s="65"/>
      <c r="AN265" s="65"/>
    </row>
    <row r="266">
      <c r="B266" s="58"/>
      <c r="C266" s="58"/>
      <c r="D266" s="58"/>
      <c r="E266" s="58"/>
      <c r="F266" s="58"/>
      <c r="G266" s="58"/>
      <c r="H266" s="58"/>
      <c r="I266" s="58"/>
      <c r="J266" s="59"/>
      <c r="K266" s="60"/>
      <c r="L266" s="58"/>
      <c r="N266" s="63"/>
      <c r="O266" s="68"/>
      <c r="P266" s="68"/>
      <c r="Q266" s="68"/>
      <c r="R266" s="65"/>
      <c r="S266" s="65"/>
      <c r="T266" s="65"/>
      <c r="U266" s="65"/>
      <c r="V266" s="69"/>
      <c r="W266" s="65"/>
      <c r="X266" s="65"/>
      <c r="Y266" s="65"/>
      <c r="Z266" s="70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70"/>
      <c r="AL266" s="65"/>
      <c r="AM266" s="65"/>
      <c r="AN266" s="65"/>
    </row>
    <row r="267">
      <c r="B267" s="58"/>
      <c r="C267" s="58"/>
      <c r="D267" s="58"/>
      <c r="E267" s="58"/>
      <c r="F267" s="58"/>
      <c r="G267" s="58"/>
      <c r="H267" s="58"/>
      <c r="I267" s="58"/>
      <c r="J267" s="59"/>
      <c r="K267" s="60"/>
      <c r="L267" s="58"/>
      <c r="O267" s="68"/>
      <c r="P267" s="68"/>
      <c r="Q267" s="68"/>
      <c r="R267" s="65"/>
      <c r="S267" s="65"/>
      <c r="T267" s="65"/>
      <c r="U267" s="65"/>
      <c r="V267" s="69"/>
      <c r="W267" s="65"/>
      <c r="X267" s="65"/>
      <c r="Y267" s="65"/>
      <c r="Z267" s="70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70"/>
      <c r="AL267" s="65"/>
      <c r="AM267" s="65"/>
      <c r="AN267" s="65"/>
    </row>
    <row r="268">
      <c r="B268" s="58"/>
      <c r="C268" s="58"/>
      <c r="D268" s="58"/>
      <c r="E268" s="58"/>
      <c r="F268" s="58"/>
      <c r="G268" s="58"/>
      <c r="H268" s="58"/>
      <c r="I268" s="58"/>
      <c r="J268" s="59"/>
      <c r="K268" s="60"/>
      <c r="L268" s="58"/>
      <c r="N268" s="63"/>
      <c r="O268" s="68"/>
      <c r="P268" s="68"/>
      <c r="Q268" s="68"/>
      <c r="R268" s="65"/>
      <c r="S268" s="65"/>
      <c r="T268" s="65"/>
      <c r="U268" s="65"/>
      <c r="V268" s="69"/>
      <c r="W268" s="65"/>
      <c r="X268" s="65"/>
      <c r="Y268" s="65"/>
      <c r="Z268" s="70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70"/>
      <c r="AL268" s="65"/>
      <c r="AM268" s="65"/>
      <c r="AN268" s="65"/>
    </row>
    <row r="269">
      <c r="B269" s="58"/>
      <c r="C269" s="58"/>
      <c r="D269" s="58"/>
      <c r="E269" s="58"/>
      <c r="F269" s="58"/>
      <c r="G269" s="58"/>
      <c r="H269" s="58"/>
      <c r="I269" s="58"/>
      <c r="J269" s="59"/>
      <c r="K269" s="60"/>
      <c r="L269" s="58"/>
      <c r="N269" s="63"/>
      <c r="O269" s="68"/>
      <c r="P269" s="68"/>
      <c r="Q269" s="68"/>
      <c r="R269" s="65"/>
      <c r="S269" s="65"/>
      <c r="T269" s="65"/>
      <c r="U269" s="65"/>
      <c r="V269" s="69"/>
      <c r="W269" s="65"/>
      <c r="X269" s="65"/>
      <c r="Y269" s="65"/>
      <c r="Z269" s="70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70"/>
      <c r="AL269" s="65"/>
      <c r="AM269" s="65"/>
      <c r="AN269" s="65"/>
    </row>
    <row r="270">
      <c r="B270" s="58"/>
      <c r="C270" s="58"/>
      <c r="D270" s="58"/>
      <c r="E270" s="58"/>
      <c r="F270" s="58"/>
      <c r="G270" s="58"/>
      <c r="H270" s="58"/>
      <c r="I270" s="58"/>
      <c r="J270" s="59"/>
      <c r="K270" s="60"/>
      <c r="L270" s="58"/>
      <c r="O270" s="68"/>
      <c r="P270" s="68"/>
      <c r="Q270" s="68"/>
      <c r="R270" s="65"/>
      <c r="S270" s="65"/>
      <c r="T270" s="65"/>
      <c r="U270" s="65"/>
      <c r="V270" s="69"/>
      <c r="W270" s="65"/>
      <c r="X270" s="65"/>
      <c r="Y270" s="65"/>
      <c r="Z270" s="70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70"/>
      <c r="AL270" s="65"/>
      <c r="AM270" s="65"/>
      <c r="AN270" s="65"/>
    </row>
    <row r="271">
      <c r="B271" s="58"/>
      <c r="C271" s="58"/>
      <c r="D271" s="58"/>
      <c r="E271" s="58"/>
      <c r="F271" s="58"/>
      <c r="G271" s="58"/>
      <c r="H271" s="58"/>
      <c r="I271" s="58"/>
      <c r="J271" s="59"/>
      <c r="K271" s="60"/>
      <c r="L271" s="58"/>
      <c r="N271" s="63"/>
      <c r="O271" s="68"/>
      <c r="P271" s="68"/>
      <c r="Q271" s="68"/>
      <c r="R271" s="65"/>
      <c r="S271" s="65"/>
      <c r="T271" s="65"/>
      <c r="U271" s="65"/>
      <c r="V271" s="69"/>
      <c r="W271" s="65"/>
      <c r="X271" s="65"/>
      <c r="Y271" s="65"/>
      <c r="Z271" s="70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70"/>
      <c r="AL271" s="65"/>
      <c r="AM271" s="65"/>
      <c r="AN271" s="65"/>
    </row>
    <row r="272">
      <c r="B272" s="58"/>
      <c r="C272" s="58"/>
      <c r="D272" s="58"/>
      <c r="E272" s="58"/>
      <c r="F272" s="58"/>
      <c r="G272" s="58"/>
      <c r="H272" s="58"/>
      <c r="I272" s="58"/>
      <c r="J272" s="59"/>
      <c r="K272" s="60"/>
      <c r="L272" s="58"/>
      <c r="N272" s="63"/>
      <c r="O272" s="68"/>
      <c r="P272" s="68"/>
      <c r="Q272" s="68"/>
      <c r="R272" s="65"/>
      <c r="S272" s="65"/>
      <c r="T272" s="65"/>
      <c r="U272" s="65"/>
      <c r="V272" s="69"/>
      <c r="W272" s="65"/>
      <c r="X272" s="65"/>
      <c r="Y272" s="65"/>
      <c r="Z272" s="70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70"/>
      <c r="AL272" s="65"/>
      <c r="AM272" s="65"/>
      <c r="AN272" s="65"/>
    </row>
    <row r="273">
      <c r="B273" s="58"/>
      <c r="C273" s="58"/>
      <c r="D273" s="58"/>
      <c r="E273" s="58"/>
      <c r="F273" s="58"/>
      <c r="G273" s="58"/>
      <c r="H273" s="58"/>
      <c r="I273" s="58"/>
      <c r="J273" s="59"/>
      <c r="K273" s="60"/>
      <c r="L273" s="58"/>
      <c r="O273" s="68"/>
      <c r="P273" s="68"/>
      <c r="Q273" s="68"/>
      <c r="R273" s="65"/>
      <c r="S273" s="65"/>
      <c r="T273" s="65"/>
      <c r="U273" s="65"/>
      <c r="V273" s="69"/>
      <c r="W273" s="65"/>
      <c r="X273" s="65"/>
      <c r="Y273" s="65"/>
      <c r="Z273" s="70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70"/>
      <c r="AL273" s="65"/>
      <c r="AM273" s="65"/>
      <c r="AN273" s="65"/>
    </row>
    <row r="274">
      <c r="B274" s="58"/>
      <c r="C274" s="58"/>
      <c r="D274" s="58"/>
      <c r="E274" s="58"/>
      <c r="F274" s="58"/>
      <c r="G274" s="58"/>
      <c r="H274" s="58"/>
      <c r="I274" s="58"/>
      <c r="J274" s="59"/>
      <c r="K274" s="60"/>
      <c r="L274" s="58"/>
      <c r="N274" s="63"/>
      <c r="O274" s="68"/>
      <c r="P274" s="68"/>
      <c r="Q274" s="68"/>
      <c r="R274" s="65"/>
      <c r="S274" s="65"/>
      <c r="T274" s="65"/>
      <c r="U274" s="65"/>
      <c r="V274" s="69"/>
      <c r="W274" s="65"/>
      <c r="X274" s="65"/>
      <c r="Y274" s="65"/>
      <c r="Z274" s="70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70"/>
      <c r="AL274" s="65"/>
      <c r="AM274" s="65"/>
      <c r="AN274" s="65"/>
    </row>
    <row r="275">
      <c r="B275" s="58"/>
      <c r="C275" s="58"/>
      <c r="D275" s="58"/>
      <c r="E275" s="58"/>
      <c r="F275" s="58"/>
      <c r="G275" s="58"/>
      <c r="H275" s="58"/>
      <c r="I275" s="58"/>
      <c r="J275" s="59"/>
      <c r="K275" s="60"/>
      <c r="L275" s="58"/>
      <c r="N275" s="63"/>
      <c r="O275" s="68"/>
      <c r="P275" s="68"/>
      <c r="Q275" s="68"/>
      <c r="R275" s="65"/>
      <c r="S275" s="65"/>
      <c r="T275" s="65"/>
      <c r="U275" s="65"/>
      <c r="V275" s="69"/>
      <c r="W275" s="65"/>
      <c r="X275" s="65"/>
      <c r="Y275" s="65"/>
      <c r="Z275" s="70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70"/>
      <c r="AL275" s="65"/>
      <c r="AM275" s="65"/>
      <c r="AN275" s="65"/>
    </row>
    <row r="276">
      <c r="B276" s="58"/>
      <c r="C276" s="58"/>
      <c r="D276" s="58"/>
      <c r="E276" s="58"/>
      <c r="F276" s="58"/>
      <c r="G276" s="58"/>
      <c r="H276" s="58"/>
      <c r="I276" s="58"/>
      <c r="J276" s="59"/>
      <c r="K276" s="60"/>
      <c r="L276" s="58"/>
      <c r="O276" s="68"/>
      <c r="P276" s="68"/>
      <c r="Q276" s="68"/>
      <c r="R276" s="65"/>
      <c r="S276" s="65"/>
      <c r="T276" s="65"/>
      <c r="U276" s="65"/>
      <c r="V276" s="69"/>
      <c r="W276" s="65"/>
      <c r="X276" s="65"/>
      <c r="Y276" s="65"/>
      <c r="Z276" s="70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70"/>
      <c r="AL276" s="65"/>
      <c r="AM276" s="65"/>
      <c r="AN276" s="65"/>
    </row>
    <row r="277">
      <c r="B277" s="58"/>
      <c r="C277" s="58"/>
      <c r="D277" s="58"/>
      <c r="E277" s="58"/>
      <c r="F277" s="58"/>
      <c r="G277" s="58"/>
      <c r="H277" s="58"/>
      <c r="I277" s="58"/>
      <c r="J277" s="59"/>
      <c r="K277" s="60"/>
      <c r="L277" s="58"/>
      <c r="N277" s="63"/>
      <c r="O277" s="68"/>
      <c r="P277" s="68"/>
      <c r="Q277" s="68"/>
      <c r="R277" s="65"/>
      <c r="S277" s="65"/>
      <c r="T277" s="65"/>
      <c r="U277" s="65"/>
      <c r="V277" s="69"/>
      <c r="W277" s="65"/>
      <c r="X277" s="65"/>
      <c r="Y277" s="65"/>
      <c r="Z277" s="70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70"/>
      <c r="AL277" s="65"/>
      <c r="AM277" s="65"/>
      <c r="AN277" s="65"/>
    </row>
    <row r="278">
      <c r="B278" s="58"/>
      <c r="C278" s="58"/>
      <c r="D278" s="58"/>
      <c r="E278" s="58"/>
      <c r="F278" s="58"/>
      <c r="G278" s="58"/>
      <c r="H278" s="58"/>
      <c r="I278" s="58"/>
      <c r="J278" s="59"/>
      <c r="K278" s="60"/>
      <c r="L278" s="58"/>
      <c r="O278" s="68"/>
      <c r="P278" s="68"/>
      <c r="Q278" s="68"/>
      <c r="R278" s="65"/>
      <c r="S278" s="65"/>
      <c r="T278" s="65"/>
      <c r="U278" s="65"/>
      <c r="V278" s="69"/>
      <c r="W278" s="65"/>
      <c r="X278" s="65"/>
      <c r="Y278" s="65"/>
      <c r="Z278" s="70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70"/>
      <c r="AL278" s="65"/>
      <c r="AM278" s="65"/>
      <c r="AN278" s="65"/>
    </row>
    <row r="279">
      <c r="B279" s="58"/>
      <c r="C279" s="58"/>
      <c r="D279" s="58"/>
      <c r="E279" s="58"/>
      <c r="F279" s="58"/>
      <c r="G279" s="58"/>
      <c r="H279" s="58"/>
      <c r="I279" s="58"/>
      <c r="J279" s="59"/>
      <c r="K279" s="60"/>
      <c r="L279" s="58"/>
      <c r="O279" s="68"/>
      <c r="P279" s="68"/>
      <c r="Q279" s="68"/>
      <c r="R279" s="65"/>
      <c r="S279" s="65"/>
      <c r="T279" s="65"/>
      <c r="U279" s="65"/>
      <c r="V279" s="69"/>
      <c r="W279" s="65"/>
      <c r="X279" s="65"/>
      <c r="Y279" s="65"/>
      <c r="Z279" s="70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70"/>
      <c r="AL279" s="65"/>
      <c r="AM279" s="65"/>
      <c r="AN279" s="65"/>
    </row>
    <row r="280">
      <c r="B280" s="58"/>
      <c r="C280" s="58"/>
      <c r="D280" s="58"/>
      <c r="E280" s="58"/>
      <c r="F280" s="58"/>
      <c r="G280" s="58"/>
      <c r="H280" s="58"/>
      <c r="I280" s="58"/>
      <c r="J280" s="59"/>
      <c r="K280" s="60"/>
      <c r="L280" s="58"/>
      <c r="N280" s="63"/>
      <c r="O280" s="68"/>
      <c r="P280" s="68"/>
      <c r="Q280" s="68"/>
      <c r="R280" s="65"/>
      <c r="S280" s="65"/>
      <c r="T280" s="65"/>
      <c r="U280" s="65"/>
      <c r="V280" s="69"/>
      <c r="W280" s="65"/>
      <c r="X280" s="65"/>
      <c r="Y280" s="65"/>
      <c r="Z280" s="70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70"/>
      <c r="AL280" s="65"/>
      <c r="AM280" s="65"/>
      <c r="AN280" s="65"/>
    </row>
    <row r="281">
      <c r="B281" s="58"/>
      <c r="C281" s="58"/>
      <c r="D281" s="58"/>
      <c r="E281" s="58"/>
      <c r="F281" s="58"/>
      <c r="G281" s="58"/>
      <c r="H281" s="58"/>
      <c r="I281" s="58"/>
      <c r="J281" s="59"/>
      <c r="K281" s="60"/>
      <c r="L281" s="58"/>
      <c r="O281" s="68"/>
      <c r="P281" s="68"/>
      <c r="Q281" s="68"/>
      <c r="R281" s="65"/>
      <c r="S281" s="65"/>
      <c r="T281" s="65"/>
      <c r="U281" s="65"/>
      <c r="V281" s="69"/>
      <c r="W281" s="65"/>
      <c r="X281" s="65"/>
      <c r="Y281" s="65"/>
      <c r="Z281" s="70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70"/>
      <c r="AL281" s="65"/>
      <c r="AM281" s="65"/>
      <c r="AN281" s="65"/>
    </row>
    <row r="282">
      <c r="B282" s="58"/>
      <c r="C282" s="58"/>
      <c r="D282" s="58"/>
      <c r="E282" s="58"/>
      <c r="F282" s="58"/>
      <c r="G282" s="58"/>
      <c r="H282" s="58"/>
      <c r="I282" s="58"/>
      <c r="J282" s="59"/>
      <c r="K282" s="60"/>
      <c r="L282" s="58"/>
      <c r="O282" s="68"/>
      <c r="P282" s="68"/>
      <c r="Q282" s="68"/>
      <c r="R282" s="65"/>
      <c r="S282" s="65"/>
      <c r="T282" s="65"/>
      <c r="U282" s="65"/>
      <c r="V282" s="69"/>
      <c r="W282" s="65"/>
      <c r="X282" s="65"/>
      <c r="Y282" s="65"/>
      <c r="Z282" s="70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70"/>
      <c r="AL282" s="65"/>
      <c r="AM282" s="65"/>
      <c r="AN282" s="65"/>
    </row>
    <row r="283">
      <c r="B283" s="58"/>
      <c r="C283" s="58"/>
      <c r="D283" s="58"/>
      <c r="E283" s="58"/>
      <c r="F283" s="58"/>
      <c r="G283" s="58"/>
      <c r="H283" s="58"/>
      <c r="I283" s="58"/>
      <c r="J283" s="59"/>
      <c r="K283" s="60"/>
      <c r="L283" s="58"/>
      <c r="N283" s="63"/>
      <c r="O283" s="68"/>
      <c r="P283" s="68"/>
      <c r="Q283" s="68"/>
      <c r="R283" s="65"/>
      <c r="S283" s="65"/>
      <c r="T283" s="65"/>
      <c r="U283" s="65"/>
      <c r="V283" s="69"/>
      <c r="W283" s="65"/>
      <c r="X283" s="65"/>
      <c r="Y283" s="65"/>
      <c r="Z283" s="70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70"/>
      <c r="AL283" s="65"/>
      <c r="AM283" s="65"/>
      <c r="AN283" s="65"/>
    </row>
    <row r="284">
      <c r="B284" s="58"/>
      <c r="C284" s="58"/>
      <c r="D284" s="58"/>
      <c r="E284" s="58"/>
      <c r="F284" s="58"/>
      <c r="G284" s="58"/>
      <c r="H284" s="58"/>
      <c r="I284" s="58"/>
      <c r="J284" s="59"/>
      <c r="K284" s="60"/>
      <c r="L284" s="58"/>
      <c r="O284" s="68"/>
      <c r="P284" s="68"/>
      <c r="Q284" s="68"/>
      <c r="R284" s="65"/>
      <c r="S284" s="65"/>
      <c r="T284" s="65"/>
      <c r="U284" s="65"/>
      <c r="V284" s="69"/>
      <c r="W284" s="65"/>
      <c r="X284" s="65"/>
      <c r="Y284" s="65"/>
      <c r="Z284" s="70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70"/>
      <c r="AL284" s="65"/>
      <c r="AM284" s="65"/>
      <c r="AN284" s="65"/>
    </row>
    <row r="285">
      <c r="B285" s="58"/>
      <c r="C285" s="58"/>
      <c r="D285" s="58"/>
      <c r="E285" s="58"/>
      <c r="F285" s="58"/>
      <c r="G285" s="58"/>
      <c r="H285" s="58"/>
      <c r="I285" s="58"/>
      <c r="J285" s="59"/>
      <c r="K285" s="60"/>
      <c r="L285" s="58"/>
      <c r="N285" s="63"/>
      <c r="O285" s="68"/>
      <c r="P285" s="68"/>
      <c r="Q285" s="68"/>
      <c r="R285" s="65"/>
      <c r="S285" s="65"/>
      <c r="T285" s="65"/>
      <c r="U285" s="65"/>
      <c r="V285" s="69"/>
      <c r="W285" s="65"/>
      <c r="X285" s="65"/>
      <c r="Y285" s="65"/>
      <c r="Z285" s="70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70"/>
      <c r="AL285" s="65"/>
      <c r="AM285" s="65"/>
      <c r="AN285" s="65"/>
    </row>
    <row r="286">
      <c r="B286" s="58"/>
      <c r="C286" s="58"/>
      <c r="D286" s="58"/>
      <c r="E286" s="58"/>
      <c r="F286" s="58"/>
      <c r="G286" s="58"/>
      <c r="H286" s="58"/>
      <c r="I286" s="58"/>
      <c r="J286" s="59"/>
      <c r="K286" s="60"/>
      <c r="L286" s="58"/>
      <c r="O286" s="68"/>
      <c r="P286" s="68"/>
      <c r="Q286" s="68"/>
      <c r="R286" s="65"/>
      <c r="S286" s="65"/>
      <c r="T286" s="65"/>
      <c r="U286" s="65"/>
      <c r="V286" s="69"/>
      <c r="W286" s="65"/>
      <c r="X286" s="65"/>
      <c r="Y286" s="65"/>
      <c r="Z286" s="70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70"/>
      <c r="AL286" s="65"/>
      <c r="AM286" s="65"/>
      <c r="AN286" s="65"/>
    </row>
    <row r="287">
      <c r="B287" s="58"/>
      <c r="C287" s="58"/>
      <c r="D287" s="58"/>
      <c r="E287" s="58"/>
      <c r="F287" s="58"/>
      <c r="G287" s="58"/>
      <c r="H287" s="58"/>
      <c r="I287" s="58"/>
      <c r="J287" s="59"/>
      <c r="K287" s="60"/>
      <c r="L287" s="58"/>
      <c r="O287" s="68"/>
      <c r="P287" s="68"/>
      <c r="Q287" s="68"/>
      <c r="R287" s="65"/>
      <c r="S287" s="65"/>
      <c r="T287" s="65"/>
      <c r="U287" s="65"/>
      <c r="V287" s="69"/>
      <c r="W287" s="65"/>
      <c r="X287" s="65"/>
      <c r="Y287" s="65"/>
      <c r="Z287" s="70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70"/>
      <c r="AL287" s="65"/>
      <c r="AM287" s="65"/>
      <c r="AN287" s="65"/>
    </row>
    <row r="288">
      <c r="B288" s="58"/>
      <c r="C288" s="58"/>
      <c r="D288" s="58"/>
      <c r="E288" s="58"/>
      <c r="F288" s="58"/>
      <c r="G288" s="58"/>
      <c r="H288" s="58"/>
      <c r="I288" s="58"/>
      <c r="J288" s="59"/>
      <c r="K288" s="60"/>
      <c r="L288" s="58"/>
      <c r="N288" s="63"/>
      <c r="O288" s="68"/>
      <c r="P288" s="68"/>
      <c r="Q288" s="68"/>
      <c r="R288" s="65"/>
      <c r="S288" s="65"/>
      <c r="T288" s="65"/>
      <c r="U288" s="65"/>
      <c r="V288" s="69"/>
      <c r="W288" s="65"/>
      <c r="X288" s="65"/>
      <c r="Y288" s="65"/>
      <c r="Z288" s="70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70"/>
      <c r="AL288" s="65"/>
      <c r="AM288" s="65"/>
      <c r="AN288" s="65"/>
    </row>
    <row r="289">
      <c r="B289" s="58"/>
      <c r="C289" s="58"/>
      <c r="D289" s="58"/>
      <c r="E289" s="58"/>
      <c r="F289" s="58"/>
      <c r="G289" s="58"/>
      <c r="H289" s="58"/>
      <c r="I289" s="58"/>
      <c r="J289" s="59"/>
      <c r="K289" s="60"/>
      <c r="L289" s="58"/>
      <c r="O289" s="68"/>
      <c r="P289" s="68"/>
      <c r="Q289" s="68"/>
      <c r="R289" s="65"/>
      <c r="S289" s="65"/>
      <c r="T289" s="65"/>
      <c r="U289" s="65"/>
      <c r="V289" s="69"/>
      <c r="W289" s="65"/>
      <c r="X289" s="65"/>
      <c r="Y289" s="65"/>
      <c r="Z289" s="70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70"/>
      <c r="AL289" s="65"/>
      <c r="AM289" s="65"/>
      <c r="AN289" s="65"/>
    </row>
    <row r="290">
      <c r="B290" s="58"/>
      <c r="C290" s="58"/>
      <c r="D290" s="58"/>
      <c r="E290" s="58"/>
      <c r="F290" s="58"/>
      <c r="G290" s="58"/>
      <c r="H290" s="58"/>
      <c r="I290" s="58"/>
      <c r="J290" s="59"/>
      <c r="K290" s="60"/>
      <c r="L290" s="58"/>
      <c r="O290" s="68"/>
      <c r="P290" s="68"/>
      <c r="Q290" s="68"/>
      <c r="R290" s="65"/>
      <c r="S290" s="65"/>
      <c r="T290" s="65"/>
      <c r="U290" s="65"/>
      <c r="V290" s="69"/>
      <c r="W290" s="65"/>
      <c r="X290" s="65"/>
      <c r="Y290" s="65"/>
      <c r="Z290" s="70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70"/>
      <c r="AL290" s="65"/>
      <c r="AM290" s="65"/>
      <c r="AN290" s="65"/>
    </row>
    <row r="291">
      <c r="B291" s="58"/>
      <c r="C291" s="58"/>
      <c r="D291" s="58"/>
      <c r="E291" s="58"/>
      <c r="F291" s="58"/>
      <c r="G291" s="58"/>
      <c r="H291" s="58"/>
      <c r="I291" s="58"/>
      <c r="J291" s="59"/>
      <c r="K291" s="60"/>
      <c r="L291" s="58"/>
      <c r="N291" s="63"/>
      <c r="O291" s="68"/>
      <c r="P291" s="68"/>
      <c r="Q291" s="68"/>
      <c r="R291" s="65"/>
      <c r="S291" s="65"/>
      <c r="T291" s="65"/>
      <c r="U291" s="65"/>
      <c r="V291" s="69"/>
      <c r="W291" s="65"/>
      <c r="X291" s="65"/>
      <c r="Y291" s="65"/>
      <c r="Z291" s="70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70"/>
      <c r="AL291" s="65"/>
      <c r="AM291" s="65"/>
      <c r="AN291" s="65"/>
    </row>
    <row r="292">
      <c r="B292" s="58"/>
      <c r="C292" s="58"/>
      <c r="D292" s="58"/>
      <c r="E292" s="58"/>
      <c r="F292" s="58"/>
      <c r="G292" s="58"/>
      <c r="H292" s="58"/>
      <c r="I292" s="58"/>
      <c r="J292" s="59"/>
      <c r="K292" s="60"/>
      <c r="L292" s="58"/>
      <c r="O292" s="68"/>
      <c r="P292" s="68"/>
      <c r="Q292" s="68"/>
      <c r="R292" s="65"/>
      <c r="S292" s="65"/>
      <c r="T292" s="65"/>
      <c r="U292" s="65"/>
      <c r="V292" s="69"/>
      <c r="W292" s="65"/>
      <c r="X292" s="65"/>
      <c r="Y292" s="65"/>
      <c r="Z292" s="70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70"/>
      <c r="AL292" s="65"/>
      <c r="AM292" s="65"/>
      <c r="AN292" s="65"/>
    </row>
    <row r="293">
      <c r="B293" s="58"/>
      <c r="C293" s="58"/>
      <c r="D293" s="58"/>
      <c r="E293" s="58"/>
      <c r="F293" s="58"/>
      <c r="G293" s="58"/>
      <c r="H293" s="58"/>
      <c r="I293" s="58"/>
      <c r="J293" s="59"/>
      <c r="K293" s="60"/>
      <c r="L293" s="58"/>
      <c r="O293" s="68"/>
      <c r="P293" s="68"/>
      <c r="Q293" s="68"/>
      <c r="R293" s="65"/>
      <c r="S293" s="65"/>
      <c r="T293" s="65"/>
      <c r="U293" s="65"/>
      <c r="V293" s="69"/>
      <c r="W293" s="65"/>
      <c r="X293" s="65"/>
      <c r="Y293" s="65"/>
      <c r="Z293" s="70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70"/>
      <c r="AL293" s="65"/>
      <c r="AM293" s="65"/>
      <c r="AN293" s="65"/>
    </row>
    <row r="294">
      <c r="B294" s="58"/>
      <c r="C294" s="58"/>
      <c r="D294" s="58"/>
      <c r="E294" s="58"/>
      <c r="F294" s="58"/>
      <c r="G294" s="58"/>
      <c r="H294" s="58"/>
      <c r="I294" s="58"/>
      <c r="J294" s="59"/>
      <c r="K294" s="60"/>
      <c r="L294" s="58"/>
      <c r="N294" s="63"/>
      <c r="O294" s="68"/>
      <c r="P294" s="68"/>
      <c r="Q294" s="68"/>
      <c r="R294" s="65"/>
      <c r="S294" s="65"/>
      <c r="T294" s="65"/>
      <c r="U294" s="65"/>
      <c r="V294" s="69"/>
      <c r="W294" s="65"/>
      <c r="X294" s="65"/>
      <c r="Y294" s="65"/>
      <c r="Z294" s="70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70"/>
      <c r="AL294" s="65"/>
      <c r="AM294" s="65"/>
      <c r="AN294" s="65"/>
    </row>
    <row r="295">
      <c r="B295" s="58"/>
      <c r="C295" s="58"/>
      <c r="D295" s="58"/>
      <c r="E295" s="58"/>
      <c r="F295" s="58"/>
      <c r="G295" s="58"/>
      <c r="H295" s="58"/>
      <c r="I295" s="58"/>
      <c r="J295" s="59"/>
      <c r="K295" s="60"/>
      <c r="L295" s="58"/>
      <c r="O295" s="68"/>
      <c r="P295" s="68"/>
      <c r="Q295" s="68"/>
      <c r="R295" s="65"/>
      <c r="S295" s="65"/>
      <c r="T295" s="65"/>
      <c r="U295" s="65"/>
      <c r="V295" s="69"/>
      <c r="W295" s="65"/>
      <c r="X295" s="65"/>
      <c r="Y295" s="65"/>
      <c r="Z295" s="70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70"/>
      <c r="AL295" s="65"/>
      <c r="AM295" s="65"/>
      <c r="AN295" s="65"/>
    </row>
    <row r="296">
      <c r="B296" s="58"/>
      <c r="C296" s="58"/>
      <c r="D296" s="58"/>
      <c r="E296" s="58"/>
      <c r="F296" s="58"/>
      <c r="G296" s="58"/>
      <c r="H296" s="58"/>
      <c r="I296" s="58"/>
      <c r="J296" s="59"/>
      <c r="K296" s="60"/>
      <c r="L296" s="58"/>
      <c r="O296" s="68"/>
      <c r="P296" s="68"/>
      <c r="Q296" s="68"/>
      <c r="R296" s="65"/>
      <c r="S296" s="65"/>
      <c r="T296" s="65"/>
      <c r="U296" s="65"/>
      <c r="V296" s="69"/>
      <c r="W296" s="65"/>
      <c r="X296" s="65"/>
      <c r="Y296" s="65"/>
      <c r="Z296" s="70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70"/>
      <c r="AL296" s="65"/>
      <c r="AM296" s="65"/>
      <c r="AN296" s="65"/>
    </row>
    <row r="297">
      <c r="B297" s="58"/>
      <c r="C297" s="58"/>
      <c r="D297" s="58"/>
      <c r="E297" s="58"/>
      <c r="F297" s="58"/>
      <c r="G297" s="58"/>
      <c r="H297" s="58"/>
      <c r="I297" s="58"/>
      <c r="J297" s="59"/>
      <c r="K297" s="60"/>
      <c r="L297" s="58"/>
      <c r="N297" s="63"/>
      <c r="O297" s="68"/>
      <c r="P297" s="68"/>
      <c r="Q297" s="68"/>
      <c r="R297" s="65"/>
      <c r="S297" s="65"/>
      <c r="T297" s="65"/>
      <c r="U297" s="65"/>
      <c r="V297" s="69"/>
      <c r="W297" s="65"/>
      <c r="X297" s="65"/>
      <c r="Y297" s="65"/>
      <c r="Z297" s="70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70"/>
      <c r="AL297" s="65"/>
      <c r="AM297" s="65"/>
      <c r="AN297" s="65"/>
    </row>
    <row r="298">
      <c r="B298" s="58"/>
      <c r="C298" s="58"/>
      <c r="D298" s="58"/>
      <c r="E298" s="58"/>
      <c r="F298" s="58"/>
      <c r="G298" s="58"/>
      <c r="H298" s="58"/>
      <c r="I298" s="58"/>
      <c r="J298" s="59"/>
      <c r="K298" s="60"/>
      <c r="L298" s="58"/>
      <c r="O298" s="68"/>
      <c r="P298" s="68"/>
      <c r="Q298" s="68"/>
      <c r="R298" s="65"/>
      <c r="S298" s="65"/>
      <c r="T298" s="65"/>
      <c r="U298" s="65"/>
      <c r="V298" s="69"/>
      <c r="W298" s="65"/>
      <c r="X298" s="65"/>
      <c r="Y298" s="65"/>
      <c r="Z298" s="70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70"/>
      <c r="AL298" s="65"/>
      <c r="AM298" s="65"/>
      <c r="AN298" s="65"/>
    </row>
    <row r="299">
      <c r="B299" s="58"/>
      <c r="C299" s="58"/>
      <c r="D299" s="58"/>
      <c r="E299" s="58"/>
      <c r="F299" s="58"/>
      <c r="G299" s="58"/>
      <c r="H299" s="58"/>
      <c r="I299" s="58"/>
      <c r="J299" s="59"/>
      <c r="K299" s="60"/>
      <c r="L299" s="58"/>
      <c r="O299" s="68"/>
      <c r="P299" s="68"/>
      <c r="Q299" s="68"/>
      <c r="R299" s="65"/>
      <c r="S299" s="65"/>
      <c r="T299" s="65"/>
      <c r="U299" s="65"/>
      <c r="V299" s="69"/>
      <c r="W299" s="65"/>
      <c r="X299" s="65"/>
      <c r="Y299" s="65"/>
      <c r="Z299" s="70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70"/>
      <c r="AL299" s="65"/>
      <c r="AM299" s="65"/>
      <c r="AN299" s="65"/>
    </row>
    <row r="300">
      <c r="B300" s="58"/>
      <c r="C300" s="58"/>
      <c r="D300" s="58"/>
      <c r="E300" s="58"/>
      <c r="F300" s="58"/>
      <c r="G300" s="58"/>
      <c r="H300" s="58"/>
      <c r="I300" s="58"/>
      <c r="J300" s="59"/>
      <c r="K300" s="60"/>
      <c r="L300" s="58"/>
      <c r="N300" s="63"/>
      <c r="O300" s="68"/>
      <c r="P300" s="68"/>
      <c r="Q300" s="68"/>
      <c r="R300" s="65"/>
      <c r="S300" s="65"/>
      <c r="T300" s="65"/>
      <c r="U300" s="65"/>
      <c r="V300" s="69"/>
      <c r="W300" s="65"/>
      <c r="X300" s="65"/>
      <c r="Y300" s="65"/>
      <c r="Z300" s="70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70"/>
      <c r="AL300" s="65"/>
      <c r="AM300" s="65"/>
      <c r="AN300" s="65"/>
    </row>
    <row r="301">
      <c r="B301" s="58"/>
      <c r="C301" s="58"/>
      <c r="D301" s="58"/>
      <c r="E301" s="58"/>
      <c r="F301" s="58"/>
      <c r="G301" s="58"/>
      <c r="H301" s="58"/>
      <c r="I301" s="58"/>
      <c r="J301" s="59"/>
      <c r="K301" s="60"/>
      <c r="L301" s="58"/>
      <c r="O301" s="68"/>
      <c r="P301" s="68"/>
      <c r="Q301" s="68"/>
      <c r="R301" s="65"/>
      <c r="S301" s="65"/>
      <c r="T301" s="65"/>
      <c r="U301" s="65"/>
      <c r="V301" s="69"/>
      <c r="W301" s="65"/>
      <c r="X301" s="65"/>
      <c r="Y301" s="65"/>
      <c r="Z301" s="70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70"/>
      <c r="AL301" s="65"/>
      <c r="AM301" s="65"/>
      <c r="AN301" s="65"/>
    </row>
    <row r="302">
      <c r="B302" s="58"/>
      <c r="C302" s="58"/>
      <c r="D302" s="58"/>
      <c r="E302" s="58"/>
      <c r="F302" s="58"/>
      <c r="G302" s="58"/>
      <c r="H302" s="58"/>
      <c r="I302" s="58"/>
      <c r="J302" s="59"/>
      <c r="K302" s="60"/>
      <c r="L302" s="58"/>
      <c r="O302" s="68"/>
      <c r="P302" s="68"/>
      <c r="Q302" s="68"/>
      <c r="R302" s="65"/>
      <c r="S302" s="65"/>
      <c r="T302" s="65"/>
      <c r="U302" s="65"/>
      <c r="V302" s="69"/>
      <c r="W302" s="65"/>
      <c r="X302" s="65"/>
      <c r="Y302" s="65"/>
      <c r="Z302" s="70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70"/>
      <c r="AL302" s="65"/>
      <c r="AM302" s="65"/>
      <c r="AN302" s="65"/>
    </row>
    <row r="303">
      <c r="B303" s="58"/>
      <c r="C303" s="58"/>
      <c r="D303" s="58"/>
      <c r="E303" s="58"/>
      <c r="F303" s="58"/>
      <c r="G303" s="58"/>
      <c r="H303" s="58"/>
      <c r="I303" s="58"/>
      <c r="J303" s="59"/>
      <c r="K303" s="60"/>
      <c r="L303" s="58"/>
      <c r="N303" s="63"/>
      <c r="O303" s="68"/>
      <c r="P303" s="68"/>
      <c r="Q303" s="68"/>
      <c r="R303" s="65"/>
      <c r="S303" s="65"/>
      <c r="T303" s="65"/>
      <c r="U303" s="65"/>
      <c r="V303" s="69"/>
      <c r="W303" s="65"/>
      <c r="X303" s="65"/>
      <c r="Y303" s="65"/>
      <c r="Z303" s="70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70"/>
      <c r="AL303" s="65"/>
      <c r="AM303" s="65"/>
      <c r="AN303" s="65"/>
    </row>
    <row r="304">
      <c r="B304" s="58"/>
      <c r="C304" s="58"/>
      <c r="D304" s="58"/>
      <c r="E304" s="58"/>
      <c r="F304" s="58"/>
      <c r="G304" s="58"/>
      <c r="H304" s="58"/>
      <c r="I304" s="58"/>
      <c r="J304" s="59"/>
      <c r="K304" s="60"/>
      <c r="L304" s="58"/>
      <c r="O304" s="68"/>
      <c r="P304" s="68"/>
      <c r="Q304" s="68"/>
      <c r="R304" s="65"/>
      <c r="S304" s="65"/>
      <c r="T304" s="65"/>
      <c r="U304" s="65"/>
      <c r="V304" s="69"/>
      <c r="W304" s="65"/>
      <c r="X304" s="65"/>
      <c r="Y304" s="65"/>
      <c r="Z304" s="70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70"/>
      <c r="AL304" s="65"/>
      <c r="AM304" s="65"/>
      <c r="AN304" s="65"/>
    </row>
    <row r="305">
      <c r="B305" s="58"/>
      <c r="C305" s="58"/>
      <c r="D305" s="58"/>
      <c r="E305" s="58"/>
      <c r="F305" s="58"/>
      <c r="G305" s="58"/>
      <c r="H305" s="58"/>
      <c r="I305" s="58"/>
      <c r="J305" s="59"/>
      <c r="K305" s="60"/>
      <c r="L305" s="58"/>
      <c r="O305" s="68"/>
      <c r="P305" s="68"/>
      <c r="Q305" s="68"/>
      <c r="R305" s="65"/>
      <c r="S305" s="65"/>
      <c r="T305" s="65"/>
      <c r="U305" s="65"/>
      <c r="V305" s="69"/>
      <c r="W305" s="65"/>
      <c r="X305" s="65"/>
      <c r="Y305" s="65"/>
      <c r="Z305" s="70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70"/>
      <c r="AL305" s="65"/>
      <c r="AM305" s="65"/>
      <c r="AN305" s="65"/>
    </row>
    <row r="306">
      <c r="B306" s="58"/>
      <c r="C306" s="58"/>
      <c r="D306" s="58"/>
      <c r="E306" s="58"/>
      <c r="F306" s="58"/>
      <c r="G306" s="58"/>
      <c r="H306" s="58"/>
      <c r="I306" s="58"/>
      <c r="J306" s="59"/>
      <c r="K306" s="60"/>
      <c r="L306" s="58"/>
      <c r="N306" s="63"/>
      <c r="O306" s="68"/>
      <c r="P306" s="68"/>
      <c r="Q306" s="68"/>
      <c r="R306" s="65"/>
      <c r="S306" s="65"/>
      <c r="T306" s="65"/>
      <c r="U306" s="65"/>
      <c r="V306" s="69"/>
      <c r="W306" s="65"/>
      <c r="X306" s="65"/>
      <c r="Y306" s="65"/>
      <c r="Z306" s="70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70"/>
      <c r="AL306" s="65"/>
      <c r="AM306" s="65"/>
      <c r="AN306" s="65"/>
    </row>
    <row r="307">
      <c r="B307" s="58"/>
      <c r="C307" s="58"/>
      <c r="D307" s="58"/>
      <c r="E307" s="58"/>
      <c r="F307" s="58"/>
      <c r="G307" s="58"/>
      <c r="H307" s="58"/>
      <c r="I307" s="58"/>
      <c r="J307" s="59"/>
      <c r="K307" s="60"/>
      <c r="L307" s="58"/>
      <c r="O307" s="68"/>
      <c r="P307" s="68"/>
      <c r="Q307" s="68"/>
      <c r="R307" s="65"/>
      <c r="S307" s="65"/>
      <c r="T307" s="65"/>
      <c r="U307" s="65"/>
      <c r="V307" s="69"/>
      <c r="W307" s="65"/>
      <c r="X307" s="65"/>
      <c r="Y307" s="65"/>
      <c r="Z307" s="70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70"/>
      <c r="AL307" s="65"/>
      <c r="AM307" s="65"/>
      <c r="AN307" s="65"/>
    </row>
    <row r="308">
      <c r="B308" s="58"/>
      <c r="C308" s="58"/>
      <c r="D308" s="58"/>
      <c r="E308" s="58"/>
      <c r="F308" s="58"/>
      <c r="G308" s="58"/>
      <c r="H308" s="58"/>
      <c r="I308" s="58"/>
      <c r="J308" s="59"/>
      <c r="K308" s="60"/>
      <c r="L308" s="58"/>
      <c r="O308" s="68"/>
      <c r="P308" s="68"/>
      <c r="Q308" s="68"/>
      <c r="R308" s="65"/>
      <c r="S308" s="65"/>
      <c r="T308" s="65"/>
      <c r="U308" s="65"/>
      <c r="V308" s="69"/>
      <c r="W308" s="65"/>
      <c r="X308" s="65"/>
      <c r="Y308" s="65"/>
      <c r="Z308" s="70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70"/>
      <c r="AL308" s="65"/>
      <c r="AM308" s="65"/>
      <c r="AN308" s="65"/>
    </row>
    <row r="309">
      <c r="B309" s="58"/>
      <c r="C309" s="58"/>
      <c r="D309" s="58"/>
      <c r="E309" s="58"/>
      <c r="F309" s="58"/>
      <c r="G309" s="58"/>
      <c r="H309" s="58"/>
      <c r="I309" s="58"/>
      <c r="J309" s="59"/>
      <c r="K309" s="60"/>
      <c r="L309" s="58"/>
      <c r="N309" s="63"/>
      <c r="O309" s="68"/>
      <c r="P309" s="68"/>
      <c r="Q309" s="68"/>
      <c r="R309" s="65"/>
      <c r="S309" s="65"/>
      <c r="T309" s="65"/>
      <c r="U309" s="65"/>
      <c r="V309" s="69"/>
      <c r="W309" s="65"/>
      <c r="X309" s="65"/>
      <c r="Y309" s="65"/>
      <c r="Z309" s="70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70"/>
      <c r="AL309" s="65"/>
      <c r="AM309" s="65"/>
      <c r="AN309" s="65"/>
    </row>
    <row r="310">
      <c r="B310" s="58"/>
      <c r="C310" s="58"/>
      <c r="D310" s="58"/>
      <c r="E310" s="58"/>
      <c r="F310" s="58"/>
      <c r="G310" s="58"/>
      <c r="H310" s="58"/>
      <c r="I310" s="58"/>
      <c r="J310" s="59"/>
      <c r="K310" s="60"/>
      <c r="L310" s="58"/>
      <c r="O310" s="68"/>
      <c r="P310" s="68"/>
      <c r="Q310" s="68"/>
      <c r="R310" s="65"/>
      <c r="S310" s="65"/>
      <c r="T310" s="65"/>
      <c r="U310" s="65"/>
      <c r="V310" s="69"/>
      <c r="W310" s="65"/>
      <c r="X310" s="65"/>
      <c r="Y310" s="65"/>
      <c r="Z310" s="70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70"/>
      <c r="AL310" s="65"/>
      <c r="AM310" s="65"/>
      <c r="AN310" s="65"/>
    </row>
    <row r="311">
      <c r="B311" s="58"/>
      <c r="C311" s="58"/>
      <c r="D311" s="58"/>
      <c r="E311" s="58"/>
      <c r="F311" s="58"/>
      <c r="G311" s="58"/>
      <c r="H311" s="58"/>
      <c r="I311" s="58"/>
      <c r="J311" s="59"/>
      <c r="K311" s="60"/>
      <c r="L311" s="58"/>
      <c r="O311" s="68"/>
      <c r="P311" s="68"/>
      <c r="Q311" s="68"/>
      <c r="R311" s="65"/>
      <c r="S311" s="65"/>
      <c r="T311" s="65"/>
      <c r="U311" s="65"/>
      <c r="V311" s="69"/>
      <c r="W311" s="65"/>
      <c r="X311" s="65"/>
      <c r="Y311" s="65"/>
      <c r="Z311" s="70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70"/>
      <c r="AL311" s="65"/>
      <c r="AM311" s="65"/>
      <c r="AN311" s="65"/>
    </row>
    <row r="312">
      <c r="B312" s="58"/>
      <c r="C312" s="58"/>
      <c r="D312" s="58"/>
      <c r="E312" s="58"/>
      <c r="F312" s="58"/>
      <c r="G312" s="58"/>
      <c r="H312" s="58"/>
      <c r="I312" s="58"/>
      <c r="J312" s="59"/>
      <c r="K312" s="60"/>
      <c r="L312" s="58"/>
      <c r="N312" s="63"/>
      <c r="O312" s="68"/>
      <c r="P312" s="68"/>
      <c r="Q312" s="68"/>
      <c r="R312" s="65"/>
      <c r="S312" s="65"/>
      <c r="T312" s="65"/>
      <c r="U312" s="65"/>
      <c r="V312" s="69"/>
      <c r="W312" s="65"/>
      <c r="X312" s="65"/>
      <c r="Y312" s="65"/>
      <c r="Z312" s="70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70"/>
      <c r="AL312" s="65"/>
      <c r="AM312" s="65"/>
      <c r="AN312" s="65"/>
    </row>
    <row r="313">
      <c r="B313" s="58"/>
      <c r="C313" s="58"/>
      <c r="D313" s="58"/>
      <c r="E313" s="58"/>
      <c r="F313" s="58"/>
      <c r="G313" s="58"/>
      <c r="H313" s="58"/>
      <c r="I313" s="58"/>
      <c r="J313" s="59"/>
      <c r="K313" s="60"/>
      <c r="L313" s="58"/>
      <c r="O313" s="68"/>
      <c r="P313" s="68"/>
      <c r="Q313" s="68"/>
      <c r="R313" s="65"/>
      <c r="S313" s="65"/>
      <c r="T313" s="65"/>
      <c r="U313" s="65"/>
      <c r="V313" s="69"/>
      <c r="W313" s="65"/>
      <c r="X313" s="65"/>
      <c r="Y313" s="65"/>
      <c r="Z313" s="70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70"/>
      <c r="AL313" s="65"/>
      <c r="AM313" s="65"/>
      <c r="AN313" s="65"/>
    </row>
    <row r="314">
      <c r="B314" s="58"/>
      <c r="C314" s="58"/>
      <c r="D314" s="58"/>
      <c r="E314" s="58"/>
      <c r="F314" s="58"/>
      <c r="G314" s="58"/>
      <c r="H314" s="58"/>
      <c r="I314" s="58"/>
      <c r="J314" s="59"/>
      <c r="K314" s="60"/>
      <c r="L314" s="58"/>
      <c r="O314" s="68"/>
      <c r="P314" s="68"/>
      <c r="Q314" s="68"/>
      <c r="R314" s="65"/>
      <c r="S314" s="65"/>
      <c r="T314" s="65"/>
      <c r="U314" s="65"/>
      <c r="V314" s="69"/>
      <c r="W314" s="65"/>
      <c r="X314" s="65"/>
      <c r="Y314" s="65"/>
      <c r="Z314" s="70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70"/>
      <c r="AL314" s="65"/>
      <c r="AM314" s="65"/>
      <c r="AN314" s="65"/>
    </row>
    <row r="315">
      <c r="B315" s="58"/>
      <c r="C315" s="58"/>
      <c r="D315" s="58"/>
      <c r="E315" s="58"/>
      <c r="F315" s="58"/>
      <c r="G315" s="58"/>
      <c r="H315" s="58"/>
      <c r="I315" s="58"/>
      <c r="J315" s="59"/>
      <c r="K315" s="60"/>
      <c r="L315" s="58"/>
      <c r="N315" s="63"/>
      <c r="O315" s="68"/>
      <c r="P315" s="68"/>
      <c r="Q315" s="68"/>
      <c r="R315" s="65"/>
      <c r="S315" s="65"/>
      <c r="T315" s="65"/>
      <c r="U315" s="65"/>
      <c r="V315" s="69"/>
      <c r="W315" s="65"/>
      <c r="X315" s="65"/>
      <c r="Y315" s="65"/>
      <c r="Z315" s="70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70"/>
      <c r="AL315" s="65"/>
      <c r="AM315" s="65"/>
      <c r="AN315" s="65"/>
    </row>
    <row r="316">
      <c r="B316" s="58"/>
      <c r="C316" s="58"/>
      <c r="D316" s="58"/>
      <c r="E316" s="58"/>
      <c r="F316" s="58"/>
      <c r="G316" s="58"/>
      <c r="H316" s="58"/>
      <c r="I316" s="58"/>
      <c r="J316" s="59"/>
      <c r="K316" s="60"/>
      <c r="L316" s="58"/>
      <c r="O316" s="68"/>
      <c r="P316" s="68"/>
      <c r="Q316" s="68"/>
      <c r="R316" s="65"/>
      <c r="S316" s="65"/>
      <c r="T316" s="65"/>
      <c r="U316" s="65"/>
      <c r="V316" s="69"/>
      <c r="W316" s="65"/>
      <c r="X316" s="65"/>
      <c r="Y316" s="65"/>
      <c r="Z316" s="70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70"/>
      <c r="AL316" s="65"/>
      <c r="AM316" s="65"/>
      <c r="AN316" s="65"/>
    </row>
    <row r="317">
      <c r="B317" s="58"/>
      <c r="C317" s="58"/>
      <c r="D317" s="58"/>
      <c r="E317" s="58"/>
      <c r="F317" s="58"/>
      <c r="G317" s="58"/>
      <c r="H317" s="58"/>
      <c r="I317" s="58"/>
      <c r="J317" s="59"/>
      <c r="K317" s="60"/>
      <c r="L317" s="58"/>
      <c r="O317" s="68"/>
      <c r="P317" s="68"/>
      <c r="Q317" s="68"/>
      <c r="R317" s="65"/>
      <c r="S317" s="65"/>
      <c r="T317" s="65"/>
      <c r="U317" s="65"/>
      <c r="V317" s="69"/>
      <c r="W317" s="65"/>
      <c r="X317" s="65"/>
      <c r="Y317" s="65"/>
      <c r="Z317" s="70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70"/>
      <c r="AL317" s="65"/>
      <c r="AM317" s="65"/>
      <c r="AN317" s="65"/>
    </row>
    <row r="318">
      <c r="B318" s="58"/>
      <c r="C318" s="58"/>
      <c r="D318" s="58"/>
      <c r="E318" s="58"/>
      <c r="F318" s="58"/>
      <c r="G318" s="58"/>
      <c r="H318" s="58"/>
      <c r="I318" s="58"/>
      <c r="J318" s="59"/>
      <c r="K318" s="60"/>
      <c r="L318" s="58"/>
      <c r="N318" s="63"/>
      <c r="O318" s="68"/>
      <c r="P318" s="68"/>
      <c r="Q318" s="68"/>
      <c r="R318" s="65"/>
      <c r="S318" s="65"/>
      <c r="T318" s="65"/>
      <c r="U318" s="65"/>
      <c r="V318" s="69"/>
      <c r="W318" s="65"/>
      <c r="X318" s="65"/>
      <c r="Y318" s="65"/>
      <c r="Z318" s="70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70"/>
      <c r="AL318" s="65"/>
      <c r="AM318" s="65"/>
      <c r="AN318" s="65"/>
    </row>
    <row r="319">
      <c r="B319" s="58"/>
      <c r="C319" s="58"/>
      <c r="D319" s="58"/>
      <c r="E319" s="58"/>
      <c r="F319" s="58"/>
      <c r="G319" s="58"/>
      <c r="H319" s="58"/>
      <c r="I319" s="58"/>
      <c r="J319" s="59"/>
      <c r="K319" s="60"/>
      <c r="L319" s="58"/>
      <c r="O319" s="68"/>
      <c r="P319" s="68"/>
      <c r="Q319" s="68"/>
      <c r="R319" s="65"/>
      <c r="S319" s="65"/>
      <c r="T319" s="65"/>
      <c r="U319" s="65"/>
      <c r="V319" s="69"/>
      <c r="W319" s="65"/>
      <c r="X319" s="65"/>
      <c r="Y319" s="65"/>
      <c r="Z319" s="70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70"/>
      <c r="AL319" s="65"/>
      <c r="AM319" s="65"/>
      <c r="AN319" s="65"/>
    </row>
    <row r="320">
      <c r="B320" s="58"/>
      <c r="C320" s="58"/>
      <c r="D320" s="58"/>
      <c r="E320" s="58"/>
      <c r="F320" s="58"/>
      <c r="G320" s="58"/>
      <c r="H320" s="58"/>
      <c r="I320" s="58"/>
      <c r="J320" s="59"/>
      <c r="K320" s="60"/>
      <c r="L320" s="58"/>
      <c r="O320" s="68"/>
      <c r="P320" s="68"/>
      <c r="Q320" s="68"/>
      <c r="R320" s="65"/>
      <c r="S320" s="65"/>
      <c r="T320" s="65"/>
      <c r="U320" s="65"/>
      <c r="V320" s="69"/>
      <c r="W320" s="65"/>
      <c r="X320" s="65"/>
      <c r="Y320" s="65"/>
      <c r="Z320" s="70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70"/>
      <c r="AL320" s="65"/>
      <c r="AM320" s="65"/>
      <c r="AN320" s="65"/>
    </row>
    <row r="321">
      <c r="B321" s="58"/>
      <c r="C321" s="58"/>
      <c r="D321" s="58"/>
      <c r="E321" s="58"/>
      <c r="F321" s="58"/>
      <c r="G321" s="58"/>
      <c r="H321" s="58"/>
      <c r="I321" s="58"/>
      <c r="J321" s="59"/>
      <c r="K321" s="60"/>
      <c r="L321" s="58"/>
      <c r="N321" s="63"/>
      <c r="O321" s="68"/>
      <c r="P321" s="68"/>
      <c r="Q321" s="68"/>
      <c r="R321" s="65"/>
      <c r="S321" s="65"/>
      <c r="T321" s="65"/>
      <c r="U321" s="65"/>
      <c r="V321" s="69"/>
      <c r="W321" s="65"/>
      <c r="X321" s="65"/>
      <c r="Y321" s="65"/>
      <c r="Z321" s="70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70"/>
      <c r="AL321" s="65"/>
      <c r="AM321" s="65"/>
      <c r="AN321" s="65"/>
    </row>
    <row r="322">
      <c r="B322" s="58"/>
      <c r="C322" s="58"/>
      <c r="D322" s="58"/>
      <c r="E322" s="58"/>
      <c r="F322" s="58"/>
      <c r="G322" s="58"/>
      <c r="H322" s="58"/>
      <c r="I322" s="58"/>
      <c r="J322" s="59"/>
      <c r="K322" s="60"/>
      <c r="L322" s="58"/>
      <c r="O322" s="68"/>
      <c r="P322" s="68"/>
      <c r="Q322" s="68"/>
      <c r="R322" s="65"/>
      <c r="S322" s="65"/>
      <c r="T322" s="65"/>
      <c r="U322" s="65"/>
      <c r="V322" s="69"/>
      <c r="W322" s="65"/>
      <c r="X322" s="65"/>
      <c r="Y322" s="65"/>
      <c r="Z322" s="70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70"/>
      <c r="AL322" s="65"/>
      <c r="AM322" s="65"/>
      <c r="AN322" s="65"/>
    </row>
    <row r="323">
      <c r="B323" s="58"/>
      <c r="C323" s="58"/>
      <c r="D323" s="58"/>
      <c r="E323" s="58"/>
      <c r="F323" s="58"/>
      <c r="G323" s="58"/>
      <c r="H323" s="58"/>
      <c r="I323" s="58"/>
      <c r="J323" s="59"/>
      <c r="K323" s="60"/>
      <c r="L323" s="58"/>
      <c r="O323" s="68"/>
      <c r="P323" s="68"/>
      <c r="Q323" s="68"/>
      <c r="R323" s="65"/>
      <c r="S323" s="65"/>
      <c r="T323" s="65"/>
      <c r="U323" s="65"/>
      <c r="V323" s="69"/>
      <c r="W323" s="65"/>
      <c r="X323" s="65"/>
      <c r="Y323" s="65"/>
      <c r="Z323" s="70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70"/>
      <c r="AL323" s="65"/>
      <c r="AM323" s="65"/>
      <c r="AN323" s="65"/>
    </row>
    <row r="324">
      <c r="B324" s="58"/>
      <c r="C324" s="58"/>
      <c r="D324" s="58"/>
      <c r="E324" s="58"/>
      <c r="F324" s="58"/>
      <c r="G324" s="58"/>
      <c r="H324" s="58"/>
      <c r="I324" s="58"/>
      <c r="J324" s="59"/>
      <c r="K324" s="60"/>
      <c r="L324" s="58"/>
      <c r="N324" s="63"/>
      <c r="O324" s="68"/>
      <c r="P324" s="68"/>
      <c r="Q324" s="68"/>
      <c r="R324" s="65"/>
      <c r="S324" s="65"/>
      <c r="T324" s="65"/>
      <c r="U324" s="65"/>
      <c r="V324" s="69"/>
      <c r="W324" s="65"/>
      <c r="X324" s="65"/>
      <c r="Y324" s="65"/>
      <c r="Z324" s="70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70"/>
      <c r="AL324" s="65"/>
      <c r="AM324" s="65"/>
      <c r="AN324" s="65"/>
    </row>
    <row r="325">
      <c r="B325" s="58"/>
      <c r="C325" s="58"/>
      <c r="D325" s="58"/>
      <c r="E325" s="58"/>
      <c r="F325" s="58"/>
      <c r="G325" s="58"/>
      <c r="H325" s="58"/>
      <c r="I325" s="58"/>
      <c r="J325" s="59"/>
      <c r="K325" s="60"/>
      <c r="L325" s="58"/>
      <c r="O325" s="68"/>
      <c r="P325" s="68"/>
      <c r="Q325" s="68"/>
      <c r="R325" s="65"/>
      <c r="S325" s="65"/>
      <c r="T325" s="65"/>
      <c r="U325" s="65"/>
      <c r="V325" s="69"/>
      <c r="W325" s="65"/>
      <c r="X325" s="65"/>
      <c r="Y325" s="65"/>
      <c r="Z325" s="70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70"/>
      <c r="AL325" s="65"/>
      <c r="AM325" s="65"/>
      <c r="AN325" s="65"/>
    </row>
    <row r="326">
      <c r="B326" s="58"/>
      <c r="C326" s="58"/>
      <c r="D326" s="58"/>
      <c r="E326" s="58"/>
      <c r="F326" s="58"/>
      <c r="G326" s="58"/>
      <c r="H326" s="58"/>
      <c r="I326" s="58"/>
      <c r="J326" s="59"/>
      <c r="K326" s="60"/>
      <c r="L326" s="58"/>
      <c r="O326" s="68"/>
      <c r="P326" s="68"/>
      <c r="Q326" s="68"/>
      <c r="R326" s="65"/>
      <c r="S326" s="65"/>
      <c r="T326" s="65"/>
      <c r="U326" s="65"/>
      <c r="V326" s="69"/>
      <c r="W326" s="65"/>
      <c r="X326" s="65"/>
      <c r="Y326" s="65"/>
      <c r="Z326" s="70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70"/>
      <c r="AL326" s="65"/>
      <c r="AM326" s="65"/>
      <c r="AN326" s="65"/>
    </row>
    <row r="327">
      <c r="B327" s="58"/>
      <c r="C327" s="58"/>
      <c r="D327" s="58"/>
      <c r="E327" s="58"/>
      <c r="F327" s="58"/>
      <c r="G327" s="58"/>
      <c r="H327" s="58"/>
      <c r="I327" s="58"/>
      <c r="J327" s="59"/>
      <c r="K327" s="60"/>
      <c r="L327" s="58"/>
      <c r="N327" s="63"/>
      <c r="O327" s="68"/>
      <c r="P327" s="68"/>
      <c r="Q327" s="68"/>
      <c r="R327" s="65"/>
      <c r="S327" s="65"/>
      <c r="T327" s="65"/>
      <c r="U327" s="65"/>
      <c r="V327" s="69"/>
      <c r="W327" s="65"/>
      <c r="X327" s="65"/>
      <c r="Y327" s="65"/>
      <c r="Z327" s="70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70"/>
      <c r="AL327" s="65"/>
      <c r="AM327" s="65"/>
      <c r="AN327" s="65"/>
    </row>
    <row r="328">
      <c r="B328" s="58"/>
      <c r="C328" s="58"/>
      <c r="D328" s="58"/>
      <c r="E328" s="58"/>
      <c r="F328" s="58"/>
      <c r="G328" s="58"/>
      <c r="H328" s="58"/>
      <c r="I328" s="58"/>
      <c r="J328" s="59"/>
      <c r="K328" s="60"/>
      <c r="L328" s="58"/>
      <c r="O328" s="68"/>
      <c r="P328" s="68"/>
      <c r="Q328" s="68"/>
      <c r="R328" s="65"/>
      <c r="S328" s="65"/>
      <c r="T328" s="65"/>
      <c r="U328" s="65"/>
      <c r="V328" s="69"/>
      <c r="W328" s="65"/>
      <c r="X328" s="65"/>
      <c r="Y328" s="65"/>
      <c r="Z328" s="70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70"/>
      <c r="AL328" s="65"/>
      <c r="AM328" s="65"/>
      <c r="AN328" s="65"/>
    </row>
    <row r="329">
      <c r="B329" s="58"/>
      <c r="C329" s="58"/>
      <c r="D329" s="58"/>
      <c r="E329" s="58"/>
      <c r="F329" s="58"/>
      <c r="G329" s="58"/>
      <c r="H329" s="58"/>
      <c r="I329" s="58"/>
      <c r="J329" s="59"/>
      <c r="K329" s="60"/>
      <c r="L329" s="58"/>
      <c r="O329" s="68"/>
      <c r="P329" s="68"/>
      <c r="Q329" s="68"/>
      <c r="R329" s="65"/>
      <c r="S329" s="65"/>
      <c r="T329" s="65"/>
      <c r="U329" s="65"/>
      <c r="V329" s="69"/>
      <c r="W329" s="65"/>
      <c r="X329" s="65"/>
      <c r="Y329" s="65"/>
      <c r="Z329" s="70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70"/>
      <c r="AL329" s="65"/>
      <c r="AM329" s="65"/>
      <c r="AN329" s="65"/>
    </row>
    <row r="330">
      <c r="B330" s="58"/>
      <c r="C330" s="58"/>
      <c r="D330" s="58"/>
      <c r="E330" s="58"/>
      <c r="F330" s="58"/>
      <c r="G330" s="58"/>
      <c r="H330" s="58"/>
      <c r="I330" s="58"/>
      <c r="J330" s="59"/>
      <c r="K330" s="60"/>
      <c r="L330" s="58"/>
      <c r="N330" s="63"/>
      <c r="O330" s="68"/>
      <c r="P330" s="68"/>
      <c r="Q330" s="68"/>
      <c r="R330" s="65"/>
      <c r="S330" s="65"/>
      <c r="T330" s="65"/>
      <c r="U330" s="65"/>
      <c r="V330" s="69"/>
      <c r="W330" s="65"/>
      <c r="X330" s="65"/>
      <c r="Y330" s="65"/>
      <c r="Z330" s="70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70"/>
      <c r="AL330" s="65"/>
      <c r="AM330" s="65"/>
      <c r="AN330" s="65"/>
    </row>
    <row r="331">
      <c r="B331" s="58"/>
      <c r="C331" s="58"/>
      <c r="D331" s="58"/>
      <c r="E331" s="58"/>
      <c r="F331" s="58"/>
      <c r="G331" s="58"/>
      <c r="H331" s="58"/>
      <c r="I331" s="58"/>
      <c r="J331" s="59"/>
      <c r="K331" s="60"/>
      <c r="L331" s="58"/>
      <c r="O331" s="68"/>
      <c r="P331" s="68"/>
      <c r="Q331" s="68"/>
      <c r="R331" s="65"/>
      <c r="S331" s="65"/>
      <c r="T331" s="65"/>
      <c r="U331" s="65"/>
      <c r="V331" s="69"/>
      <c r="W331" s="65"/>
      <c r="X331" s="65"/>
      <c r="Y331" s="65"/>
      <c r="Z331" s="70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70"/>
      <c r="AL331" s="65"/>
      <c r="AM331" s="65"/>
      <c r="AN331" s="65"/>
    </row>
    <row r="332">
      <c r="B332" s="58"/>
      <c r="C332" s="58"/>
      <c r="D332" s="58"/>
      <c r="E332" s="58"/>
      <c r="F332" s="58"/>
      <c r="G332" s="58"/>
      <c r="H332" s="58"/>
      <c r="I332" s="58"/>
      <c r="J332" s="59"/>
      <c r="K332" s="60"/>
      <c r="L332" s="58"/>
      <c r="O332" s="68"/>
      <c r="P332" s="68"/>
      <c r="Q332" s="68"/>
      <c r="R332" s="65"/>
      <c r="S332" s="65"/>
      <c r="T332" s="65"/>
      <c r="U332" s="65"/>
      <c r="V332" s="69"/>
      <c r="W332" s="65"/>
      <c r="X332" s="65"/>
      <c r="Y332" s="65"/>
      <c r="Z332" s="70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70"/>
      <c r="AL332" s="65"/>
      <c r="AM332" s="65"/>
      <c r="AN332" s="65"/>
    </row>
    <row r="333">
      <c r="B333" s="58"/>
      <c r="C333" s="58"/>
      <c r="D333" s="58"/>
      <c r="E333" s="58"/>
      <c r="F333" s="58"/>
      <c r="G333" s="58"/>
      <c r="H333" s="58"/>
      <c r="I333" s="58"/>
      <c r="J333" s="59"/>
      <c r="K333" s="60"/>
      <c r="L333" s="58"/>
      <c r="N333" s="63"/>
      <c r="O333" s="68"/>
      <c r="P333" s="68"/>
      <c r="Q333" s="68"/>
      <c r="R333" s="65"/>
      <c r="S333" s="65"/>
      <c r="T333" s="65"/>
      <c r="U333" s="65"/>
      <c r="V333" s="69"/>
      <c r="W333" s="65"/>
      <c r="X333" s="65"/>
      <c r="Y333" s="65"/>
      <c r="Z333" s="70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70"/>
      <c r="AL333" s="65"/>
      <c r="AM333" s="65"/>
      <c r="AN333" s="65"/>
    </row>
    <row r="334">
      <c r="B334" s="58"/>
      <c r="C334" s="58"/>
      <c r="D334" s="58"/>
      <c r="E334" s="58"/>
      <c r="F334" s="58"/>
      <c r="G334" s="58"/>
      <c r="H334" s="58"/>
      <c r="I334" s="58"/>
      <c r="J334" s="59"/>
      <c r="K334" s="60"/>
      <c r="L334" s="58"/>
      <c r="O334" s="68"/>
      <c r="P334" s="68"/>
      <c r="Q334" s="68"/>
      <c r="R334" s="65"/>
      <c r="S334" s="65"/>
      <c r="T334" s="65"/>
      <c r="U334" s="65"/>
      <c r="V334" s="69"/>
      <c r="W334" s="65"/>
      <c r="X334" s="65"/>
      <c r="Y334" s="65"/>
      <c r="Z334" s="70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70"/>
      <c r="AL334" s="65"/>
      <c r="AM334" s="65"/>
      <c r="AN334" s="65"/>
    </row>
    <row r="335">
      <c r="B335" s="58"/>
      <c r="C335" s="58"/>
      <c r="D335" s="58"/>
      <c r="E335" s="58"/>
      <c r="F335" s="58"/>
      <c r="G335" s="58"/>
      <c r="H335" s="58"/>
      <c r="I335" s="58"/>
      <c r="J335" s="59"/>
      <c r="K335" s="60"/>
      <c r="L335" s="58"/>
      <c r="O335" s="68"/>
      <c r="P335" s="68"/>
      <c r="Q335" s="68"/>
      <c r="R335" s="65"/>
      <c r="S335" s="65"/>
      <c r="T335" s="65"/>
      <c r="U335" s="65"/>
      <c r="V335" s="69"/>
      <c r="W335" s="65"/>
      <c r="X335" s="65"/>
      <c r="Y335" s="65"/>
      <c r="Z335" s="70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70"/>
      <c r="AL335" s="65"/>
      <c r="AM335" s="65"/>
      <c r="AN335" s="65"/>
    </row>
    <row r="336">
      <c r="B336" s="58"/>
      <c r="C336" s="58"/>
      <c r="D336" s="58"/>
      <c r="E336" s="58"/>
      <c r="F336" s="58"/>
      <c r="G336" s="58"/>
      <c r="H336" s="58"/>
      <c r="I336" s="58"/>
      <c r="J336" s="59"/>
      <c r="K336" s="60"/>
      <c r="L336" s="58"/>
      <c r="N336" s="63"/>
      <c r="O336" s="68"/>
      <c r="P336" s="68"/>
      <c r="Q336" s="68"/>
      <c r="R336" s="65"/>
      <c r="S336" s="65"/>
      <c r="T336" s="65"/>
      <c r="U336" s="65"/>
      <c r="V336" s="69"/>
      <c r="W336" s="65"/>
      <c r="X336" s="65"/>
      <c r="Y336" s="65"/>
      <c r="Z336" s="70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70"/>
      <c r="AL336" s="65"/>
      <c r="AM336" s="65"/>
      <c r="AN336" s="65"/>
    </row>
    <row r="337">
      <c r="B337" s="58"/>
      <c r="C337" s="58"/>
      <c r="D337" s="58"/>
      <c r="E337" s="58"/>
      <c r="F337" s="58"/>
      <c r="G337" s="58"/>
      <c r="H337" s="58"/>
      <c r="I337" s="58"/>
      <c r="J337" s="59"/>
      <c r="K337" s="60"/>
      <c r="L337" s="58"/>
      <c r="O337" s="68"/>
      <c r="P337" s="68"/>
      <c r="Q337" s="68"/>
      <c r="R337" s="65"/>
      <c r="S337" s="65"/>
      <c r="T337" s="65"/>
      <c r="U337" s="65"/>
      <c r="V337" s="69"/>
      <c r="W337" s="65"/>
      <c r="X337" s="65"/>
      <c r="Y337" s="65"/>
      <c r="Z337" s="70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70"/>
      <c r="AL337" s="65"/>
      <c r="AM337" s="65"/>
      <c r="AN337" s="65"/>
    </row>
    <row r="338">
      <c r="B338" s="58"/>
      <c r="C338" s="58"/>
      <c r="D338" s="58"/>
      <c r="E338" s="58"/>
      <c r="F338" s="58"/>
      <c r="G338" s="58"/>
      <c r="H338" s="58"/>
      <c r="I338" s="58"/>
      <c r="J338" s="59"/>
      <c r="K338" s="60"/>
      <c r="L338" s="58"/>
      <c r="O338" s="68"/>
      <c r="P338" s="68"/>
      <c r="Q338" s="68"/>
      <c r="R338" s="65"/>
      <c r="S338" s="65"/>
      <c r="T338" s="65"/>
      <c r="U338" s="65"/>
      <c r="V338" s="69"/>
      <c r="W338" s="65"/>
      <c r="X338" s="65"/>
      <c r="Y338" s="65"/>
      <c r="Z338" s="70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70"/>
      <c r="AL338" s="65"/>
      <c r="AM338" s="65"/>
      <c r="AN338" s="65"/>
    </row>
    <row r="339">
      <c r="B339" s="58"/>
      <c r="C339" s="58"/>
      <c r="D339" s="58"/>
      <c r="E339" s="58"/>
      <c r="F339" s="58"/>
      <c r="G339" s="58"/>
      <c r="H339" s="58"/>
      <c r="I339" s="58"/>
      <c r="J339" s="59"/>
      <c r="K339" s="60"/>
      <c r="L339" s="58"/>
      <c r="N339" s="63"/>
      <c r="O339" s="68"/>
      <c r="P339" s="68"/>
      <c r="Q339" s="68"/>
      <c r="R339" s="65"/>
      <c r="S339" s="65"/>
      <c r="T339" s="65"/>
      <c r="U339" s="65"/>
      <c r="V339" s="69"/>
      <c r="W339" s="65"/>
      <c r="X339" s="65"/>
      <c r="Y339" s="65"/>
      <c r="Z339" s="70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70"/>
      <c r="AL339" s="65"/>
      <c r="AM339" s="65"/>
      <c r="AN339" s="65"/>
    </row>
    <row r="340">
      <c r="B340" s="58"/>
      <c r="C340" s="58"/>
      <c r="D340" s="58"/>
      <c r="E340" s="58"/>
      <c r="F340" s="58"/>
      <c r="G340" s="58"/>
      <c r="H340" s="58"/>
      <c r="I340" s="58"/>
      <c r="J340" s="59"/>
      <c r="K340" s="60"/>
      <c r="L340" s="58"/>
      <c r="O340" s="68"/>
      <c r="P340" s="68"/>
      <c r="Q340" s="68"/>
      <c r="R340" s="65"/>
      <c r="S340" s="65"/>
      <c r="T340" s="65"/>
      <c r="U340" s="65"/>
      <c r="V340" s="69"/>
      <c r="W340" s="65"/>
      <c r="X340" s="65"/>
      <c r="Y340" s="65"/>
      <c r="Z340" s="70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70"/>
      <c r="AL340" s="65"/>
      <c r="AM340" s="65"/>
      <c r="AN340" s="65"/>
    </row>
    <row r="341">
      <c r="B341" s="58"/>
      <c r="C341" s="58"/>
      <c r="D341" s="58"/>
      <c r="E341" s="58"/>
      <c r="F341" s="58"/>
      <c r="G341" s="58"/>
      <c r="H341" s="58"/>
      <c r="I341" s="58"/>
      <c r="J341" s="59"/>
      <c r="K341" s="60"/>
      <c r="L341" s="58"/>
      <c r="O341" s="68"/>
      <c r="P341" s="68"/>
      <c r="Q341" s="68"/>
      <c r="R341" s="65"/>
      <c r="S341" s="65"/>
      <c r="T341" s="65"/>
      <c r="U341" s="65"/>
      <c r="V341" s="69"/>
      <c r="W341" s="65"/>
      <c r="X341" s="65"/>
      <c r="Y341" s="65"/>
      <c r="Z341" s="70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70"/>
      <c r="AL341" s="65"/>
      <c r="AM341" s="65"/>
      <c r="AN341" s="65"/>
    </row>
    <row r="342">
      <c r="B342" s="58"/>
      <c r="C342" s="58"/>
      <c r="D342" s="58"/>
      <c r="E342" s="58"/>
      <c r="F342" s="58"/>
      <c r="G342" s="58"/>
      <c r="H342" s="58"/>
      <c r="I342" s="58"/>
      <c r="J342" s="59"/>
      <c r="K342" s="60"/>
      <c r="L342" s="58"/>
      <c r="N342" s="63"/>
      <c r="O342" s="68"/>
      <c r="P342" s="68"/>
      <c r="Q342" s="68"/>
      <c r="R342" s="65"/>
      <c r="S342" s="65"/>
      <c r="T342" s="65"/>
      <c r="U342" s="65"/>
      <c r="V342" s="69"/>
      <c r="W342" s="65"/>
      <c r="X342" s="65"/>
      <c r="Y342" s="65"/>
      <c r="Z342" s="70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70"/>
      <c r="AL342" s="65"/>
      <c r="AM342" s="65"/>
      <c r="AN342" s="65"/>
    </row>
    <row r="343">
      <c r="B343" s="58"/>
      <c r="C343" s="58"/>
      <c r="D343" s="58"/>
      <c r="E343" s="58"/>
      <c r="F343" s="58"/>
      <c r="G343" s="58"/>
      <c r="H343" s="58"/>
      <c r="I343" s="58"/>
      <c r="J343" s="59"/>
      <c r="K343" s="60"/>
      <c r="L343" s="58"/>
      <c r="O343" s="68"/>
      <c r="P343" s="68"/>
      <c r="Q343" s="68"/>
      <c r="R343" s="65"/>
      <c r="S343" s="65"/>
      <c r="T343" s="65"/>
      <c r="U343" s="65"/>
      <c r="V343" s="69"/>
      <c r="W343" s="65"/>
      <c r="X343" s="65"/>
      <c r="Y343" s="65"/>
      <c r="Z343" s="70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70"/>
      <c r="AL343" s="65"/>
      <c r="AM343" s="65"/>
      <c r="AN343" s="65"/>
    </row>
    <row r="344">
      <c r="B344" s="58"/>
      <c r="C344" s="58"/>
      <c r="D344" s="58"/>
      <c r="E344" s="58"/>
      <c r="F344" s="58"/>
      <c r="G344" s="58"/>
      <c r="H344" s="58"/>
      <c r="I344" s="58"/>
      <c r="J344" s="59"/>
      <c r="K344" s="60"/>
      <c r="L344" s="58"/>
      <c r="O344" s="68"/>
      <c r="P344" s="68"/>
      <c r="Q344" s="68"/>
      <c r="R344" s="65"/>
      <c r="S344" s="65"/>
      <c r="T344" s="65"/>
      <c r="U344" s="65"/>
      <c r="V344" s="69"/>
      <c r="W344" s="65"/>
      <c r="X344" s="65"/>
      <c r="Y344" s="65"/>
      <c r="Z344" s="70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70"/>
      <c r="AL344" s="65"/>
      <c r="AM344" s="65"/>
      <c r="AN344" s="65"/>
    </row>
    <row r="345">
      <c r="B345" s="58"/>
      <c r="C345" s="58"/>
      <c r="D345" s="58"/>
      <c r="E345" s="58"/>
      <c r="F345" s="58"/>
      <c r="G345" s="58"/>
      <c r="H345" s="58"/>
      <c r="I345" s="58"/>
      <c r="J345" s="59"/>
      <c r="K345" s="60"/>
      <c r="L345" s="58"/>
      <c r="N345" s="63"/>
      <c r="O345" s="68"/>
      <c r="P345" s="68"/>
      <c r="Q345" s="68"/>
      <c r="R345" s="65"/>
      <c r="S345" s="65"/>
      <c r="T345" s="65"/>
      <c r="U345" s="65"/>
      <c r="V345" s="69"/>
      <c r="W345" s="65"/>
      <c r="X345" s="65"/>
      <c r="Y345" s="65"/>
      <c r="Z345" s="70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70"/>
      <c r="AL345" s="65"/>
      <c r="AM345" s="65"/>
      <c r="AN345" s="65"/>
    </row>
    <row r="346">
      <c r="B346" s="58"/>
      <c r="C346" s="58"/>
      <c r="D346" s="58"/>
      <c r="E346" s="58"/>
      <c r="F346" s="58"/>
      <c r="G346" s="58"/>
      <c r="H346" s="58"/>
      <c r="I346" s="58"/>
      <c r="J346" s="59"/>
      <c r="K346" s="60"/>
      <c r="L346" s="58"/>
      <c r="O346" s="68"/>
      <c r="P346" s="68"/>
      <c r="Q346" s="68"/>
      <c r="R346" s="65"/>
      <c r="S346" s="65"/>
      <c r="T346" s="65"/>
      <c r="U346" s="65"/>
      <c r="V346" s="69"/>
      <c r="W346" s="65"/>
      <c r="X346" s="65"/>
      <c r="Y346" s="65"/>
      <c r="Z346" s="70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70"/>
      <c r="AL346" s="65"/>
      <c r="AM346" s="65"/>
      <c r="AN346" s="65"/>
    </row>
    <row r="347">
      <c r="B347" s="58"/>
      <c r="C347" s="58"/>
      <c r="D347" s="58"/>
      <c r="E347" s="58"/>
      <c r="F347" s="58"/>
      <c r="G347" s="58"/>
      <c r="H347" s="58"/>
      <c r="I347" s="58"/>
      <c r="J347" s="59"/>
      <c r="K347" s="60"/>
      <c r="L347" s="58"/>
      <c r="O347" s="68"/>
      <c r="P347" s="68"/>
      <c r="Q347" s="68"/>
      <c r="R347" s="65"/>
      <c r="S347" s="65"/>
      <c r="T347" s="65"/>
      <c r="U347" s="65"/>
      <c r="V347" s="69"/>
      <c r="W347" s="65"/>
      <c r="X347" s="65"/>
      <c r="Y347" s="65"/>
      <c r="Z347" s="70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70"/>
      <c r="AL347" s="65"/>
      <c r="AM347" s="65"/>
      <c r="AN347" s="65"/>
    </row>
    <row r="348">
      <c r="B348" s="58"/>
      <c r="C348" s="58"/>
      <c r="D348" s="58"/>
      <c r="E348" s="58"/>
      <c r="F348" s="58"/>
      <c r="G348" s="58"/>
      <c r="H348" s="58"/>
      <c r="I348" s="58"/>
      <c r="J348" s="59"/>
      <c r="K348" s="60"/>
      <c r="L348" s="58"/>
      <c r="N348" s="63"/>
      <c r="O348" s="68"/>
      <c r="P348" s="68"/>
      <c r="Q348" s="68"/>
      <c r="R348" s="65"/>
      <c r="S348" s="65"/>
      <c r="T348" s="65"/>
      <c r="U348" s="65"/>
      <c r="V348" s="69"/>
      <c r="W348" s="65"/>
      <c r="X348" s="65"/>
      <c r="Y348" s="65"/>
      <c r="Z348" s="70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70"/>
      <c r="AL348" s="65"/>
      <c r="AM348" s="65"/>
      <c r="AN348" s="65"/>
    </row>
    <row r="349">
      <c r="B349" s="58"/>
      <c r="C349" s="58"/>
      <c r="D349" s="58"/>
      <c r="E349" s="58"/>
      <c r="F349" s="58"/>
      <c r="G349" s="58"/>
      <c r="H349" s="58"/>
      <c r="I349" s="58"/>
      <c r="J349" s="59"/>
      <c r="K349" s="60"/>
      <c r="L349" s="58"/>
      <c r="O349" s="68"/>
      <c r="P349" s="68"/>
      <c r="Q349" s="68"/>
      <c r="R349" s="65"/>
      <c r="S349" s="65"/>
      <c r="T349" s="65"/>
      <c r="U349" s="65"/>
      <c r="V349" s="69"/>
      <c r="W349" s="65"/>
      <c r="X349" s="65"/>
      <c r="Y349" s="65"/>
      <c r="Z349" s="70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70"/>
      <c r="AL349" s="65"/>
      <c r="AM349" s="65"/>
      <c r="AN349" s="65"/>
    </row>
    <row r="350">
      <c r="B350" s="58"/>
      <c r="C350" s="58"/>
      <c r="D350" s="58"/>
      <c r="E350" s="58"/>
      <c r="F350" s="58"/>
      <c r="G350" s="58"/>
      <c r="H350" s="58"/>
      <c r="I350" s="58"/>
      <c r="J350" s="59"/>
      <c r="K350" s="60"/>
      <c r="L350" s="58"/>
      <c r="O350" s="68"/>
      <c r="P350" s="68"/>
      <c r="Q350" s="68"/>
      <c r="R350" s="65"/>
      <c r="S350" s="65"/>
      <c r="T350" s="65"/>
      <c r="U350" s="65"/>
      <c r="V350" s="69"/>
      <c r="W350" s="65"/>
      <c r="X350" s="65"/>
      <c r="Y350" s="65"/>
      <c r="Z350" s="70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70"/>
      <c r="AL350" s="65"/>
      <c r="AM350" s="65"/>
      <c r="AN350" s="65"/>
    </row>
    <row r="351">
      <c r="B351" s="58"/>
      <c r="C351" s="58"/>
      <c r="D351" s="58"/>
      <c r="E351" s="58"/>
      <c r="F351" s="58"/>
      <c r="G351" s="58"/>
      <c r="H351" s="58"/>
      <c r="I351" s="58"/>
      <c r="J351" s="59"/>
      <c r="K351" s="60"/>
      <c r="L351" s="58"/>
      <c r="N351" s="63"/>
      <c r="O351" s="68"/>
      <c r="P351" s="68"/>
      <c r="Q351" s="68"/>
      <c r="R351" s="65"/>
      <c r="S351" s="65"/>
      <c r="T351" s="65"/>
      <c r="U351" s="65"/>
      <c r="V351" s="69"/>
      <c r="W351" s="65"/>
      <c r="X351" s="65"/>
      <c r="Y351" s="65"/>
      <c r="Z351" s="70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70"/>
      <c r="AL351" s="65"/>
      <c r="AM351" s="65"/>
      <c r="AN351" s="65"/>
    </row>
    <row r="352">
      <c r="B352" s="58"/>
      <c r="C352" s="58"/>
      <c r="D352" s="58"/>
      <c r="E352" s="58"/>
      <c r="F352" s="58"/>
      <c r="G352" s="58"/>
      <c r="H352" s="58"/>
      <c r="I352" s="58"/>
      <c r="J352" s="59"/>
      <c r="K352" s="60"/>
      <c r="L352" s="58"/>
      <c r="O352" s="68"/>
      <c r="P352" s="68"/>
      <c r="Q352" s="68"/>
      <c r="R352" s="65"/>
      <c r="S352" s="65"/>
      <c r="T352" s="65"/>
      <c r="U352" s="65"/>
      <c r="V352" s="69"/>
      <c r="W352" s="65"/>
      <c r="X352" s="65"/>
      <c r="Y352" s="65"/>
      <c r="Z352" s="70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70"/>
      <c r="AL352" s="65"/>
      <c r="AM352" s="65"/>
      <c r="AN352" s="65"/>
    </row>
    <row r="353">
      <c r="B353" s="58"/>
      <c r="C353" s="58"/>
      <c r="D353" s="58"/>
      <c r="E353" s="58"/>
      <c r="F353" s="58"/>
      <c r="G353" s="58"/>
      <c r="H353" s="58"/>
      <c r="I353" s="58"/>
      <c r="J353" s="59"/>
      <c r="K353" s="60"/>
      <c r="L353" s="58"/>
      <c r="O353" s="68"/>
      <c r="P353" s="68"/>
      <c r="Q353" s="68"/>
      <c r="R353" s="65"/>
      <c r="S353" s="65"/>
      <c r="T353" s="65"/>
      <c r="U353" s="65"/>
      <c r="V353" s="69"/>
      <c r="W353" s="65"/>
      <c r="X353" s="65"/>
      <c r="Y353" s="65"/>
      <c r="Z353" s="70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70"/>
      <c r="AL353" s="65"/>
      <c r="AM353" s="65"/>
      <c r="AN353" s="65"/>
    </row>
    <row r="354">
      <c r="B354" s="58"/>
      <c r="C354" s="58"/>
      <c r="D354" s="58"/>
      <c r="E354" s="58"/>
      <c r="F354" s="58"/>
      <c r="G354" s="58"/>
      <c r="H354" s="58"/>
      <c r="I354" s="58"/>
      <c r="J354" s="59"/>
      <c r="K354" s="60"/>
      <c r="L354" s="58"/>
      <c r="N354" s="63"/>
      <c r="O354" s="68"/>
      <c r="P354" s="68"/>
      <c r="Q354" s="68"/>
      <c r="R354" s="65"/>
      <c r="S354" s="65"/>
      <c r="T354" s="65"/>
      <c r="U354" s="65"/>
      <c r="V354" s="69"/>
      <c r="W354" s="65"/>
      <c r="X354" s="65"/>
      <c r="Y354" s="65"/>
      <c r="Z354" s="70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70"/>
      <c r="AL354" s="65"/>
      <c r="AM354" s="65"/>
      <c r="AN354" s="65"/>
    </row>
    <row r="355">
      <c r="B355" s="58"/>
      <c r="C355" s="58"/>
      <c r="D355" s="58"/>
      <c r="E355" s="58"/>
      <c r="F355" s="58"/>
      <c r="G355" s="58"/>
      <c r="H355" s="58"/>
      <c r="I355" s="58"/>
      <c r="J355" s="59"/>
      <c r="K355" s="60"/>
      <c r="L355" s="58"/>
      <c r="O355" s="68"/>
      <c r="P355" s="68"/>
      <c r="Q355" s="68"/>
      <c r="R355" s="65"/>
      <c r="S355" s="65"/>
      <c r="T355" s="65"/>
      <c r="U355" s="65"/>
      <c r="V355" s="69"/>
      <c r="W355" s="65"/>
      <c r="X355" s="65"/>
      <c r="Y355" s="65"/>
      <c r="Z355" s="70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70"/>
      <c r="AL355" s="65"/>
      <c r="AM355" s="65"/>
      <c r="AN355" s="65"/>
    </row>
    <row r="356">
      <c r="B356" s="58"/>
      <c r="C356" s="58"/>
      <c r="D356" s="58"/>
      <c r="E356" s="58"/>
      <c r="F356" s="58"/>
      <c r="G356" s="58"/>
      <c r="H356" s="58"/>
      <c r="I356" s="58"/>
      <c r="J356" s="59"/>
      <c r="K356" s="60"/>
      <c r="L356" s="58"/>
      <c r="N356" s="63"/>
      <c r="O356" s="68"/>
      <c r="P356" s="68"/>
      <c r="Q356" s="68"/>
      <c r="R356" s="65"/>
      <c r="S356" s="65"/>
      <c r="T356" s="65"/>
      <c r="U356" s="65"/>
      <c r="V356" s="69"/>
      <c r="W356" s="65"/>
      <c r="X356" s="65"/>
      <c r="Y356" s="65"/>
      <c r="Z356" s="70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70"/>
      <c r="AL356" s="65"/>
      <c r="AM356" s="65"/>
      <c r="AN356" s="65"/>
    </row>
    <row r="357">
      <c r="B357" s="58"/>
      <c r="C357" s="58"/>
      <c r="D357" s="58"/>
      <c r="E357" s="58"/>
      <c r="F357" s="58"/>
      <c r="G357" s="58"/>
      <c r="H357" s="58"/>
      <c r="I357" s="58"/>
      <c r="J357" s="59"/>
      <c r="K357" s="60"/>
      <c r="L357" s="58"/>
      <c r="O357" s="68"/>
      <c r="P357" s="68"/>
      <c r="Q357" s="68"/>
      <c r="R357" s="65"/>
      <c r="S357" s="65"/>
      <c r="T357" s="65"/>
      <c r="U357" s="65"/>
      <c r="V357" s="69"/>
      <c r="W357" s="65"/>
      <c r="X357" s="65"/>
      <c r="Y357" s="65"/>
      <c r="Z357" s="70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70"/>
      <c r="AL357" s="65"/>
      <c r="AM357" s="65"/>
      <c r="AN357" s="65"/>
    </row>
    <row r="358">
      <c r="B358" s="58"/>
      <c r="C358" s="58"/>
      <c r="D358" s="58"/>
      <c r="E358" s="58"/>
      <c r="F358" s="58"/>
      <c r="G358" s="58"/>
      <c r="H358" s="58"/>
      <c r="I358" s="58"/>
      <c r="J358" s="59"/>
      <c r="K358" s="60"/>
      <c r="L358" s="58"/>
      <c r="O358" s="68"/>
      <c r="P358" s="68"/>
      <c r="Q358" s="68"/>
      <c r="R358" s="65"/>
      <c r="S358" s="65"/>
      <c r="T358" s="65"/>
      <c r="U358" s="65"/>
      <c r="V358" s="69"/>
      <c r="W358" s="65"/>
      <c r="X358" s="65"/>
      <c r="Y358" s="65"/>
      <c r="Z358" s="70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70"/>
      <c r="AL358" s="65"/>
      <c r="AM358" s="65"/>
      <c r="AN358" s="65"/>
    </row>
    <row r="359">
      <c r="B359" s="58"/>
      <c r="C359" s="58"/>
      <c r="D359" s="58"/>
      <c r="E359" s="58"/>
      <c r="F359" s="58"/>
      <c r="G359" s="58"/>
      <c r="H359" s="58"/>
      <c r="I359" s="58"/>
      <c r="J359" s="59"/>
      <c r="K359" s="60"/>
      <c r="L359" s="58"/>
      <c r="N359" s="63"/>
      <c r="O359" s="68"/>
      <c r="P359" s="68"/>
      <c r="Q359" s="68"/>
      <c r="R359" s="65"/>
      <c r="S359" s="65"/>
      <c r="T359" s="65"/>
      <c r="U359" s="65"/>
      <c r="V359" s="69"/>
      <c r="W359" s="65"/>
      <c r="X359" s="65"/>
      <c r="Y359" s="65"/>
      <c r="Z359" s="70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70"/>
      <c r="AL359" s="65"/>
      <c r="AM359" s="65"/>
      <c r="AN359" s="65"/>
    </row>
    <row r="360">
      <c r="B360" s="58"/>
      <c r="C360" s="58"/>
      <c r="D360" s="58"/>
      <c r="E360" s="58"/>
      <c r="F360" s="58"/>
      <c r="G360" s="58"/>
      <c r="H360" s="58"/>
      <c r="I360" s="58"/>
      <c r="J360" s="59"/>
      <c r="K360" s="60"/>
      <c r="L360" s="58"/>
      <c r="O360" s="68"/>
      <c r="P360" s="68"/>
      <c r="Q360" s="68"/>
      <c r="R360" s="65"/>
      <c r="S360" s="65"/>
      <c r="T360" s="65"/>
      <c r="U360" s="65"/>
      <c r="V360" s="69"/>
      <c r="W360" s="65"/>
      <c r="X360" s="65"/>
      <c r="Y360" s="65"/>
      <c r="Z360" s="70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70"/>
      <c r="AL360" s="65"/>
      <c r="AM360" s="65"/>
      <c r="AN360" s="65"/>
    </row>
    <row r="361">
      <c r="B361" s="58"/>
      <c r="C361" s="58"/>
      <c r="D361" s="58"/>
      <c r="E361" s="58"/>
      <c r="F361" s="58"/>
      <c r="G361" s="58"/>
      <c r="H361" s="58"/>
      <c r="I361" s="58"/>
      <c r="J361" s="59"/>
      <c r="K361" s="60"/>
      <c r="L361" s="58"/>
      <c r="O361" s="68"/>
      <c r="P361" s="68"/>
      <c r="Q361" s="68"/>
      <c r="R361" s="65"/>
      <c r="S361" s="65"/>
      <c r="T361" s="65"/>
      <c r="U361" s="65"/>
      <c r="V361" s="69"/>
      <c r="W361" s="65"/>
      <c r="X361" s="65"/>
      <c r="Y361" s="65"/>
      <c r="Z361" s="70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70"/>
      <c r="AL361" s="65"/>
      <c r="AM361" s="65"/>
      <c r="AN361" s="65"/>
    </row>
    <row r="362">
      <c r="B362" s="58"/>
      <c r="C362" s="58"/>
      <c r="D362" s="58"/>
      <c r="E362" s="58"/>
      <c r="F362" s="58"/>
      <c r="G362" s="58"/>
      <c r="H362" s="58"/>
      <c r="I362" s="58"/>
      <c r="J362" s="59"/>
      <c r="K362" s="60"/>
      <c r="L362" s="58"/>
      <c r="N362" s="63"/>
      <c r="O362" s="68"/>
      <c r="P362" s="68"/>
      <c r="Q362" s="68"/>
      <c r="R362" s="65"/>
      <c r="S362" s="65"/>
      <c r="T362" s="65"/>
      <c r="U362" s="65"/>
      <c r="V362" s="69"/>
      <c r="W362" s="65"/>
      <c r="X362" s="65"/>
      <c r="Y362" s="65"/>
      <c r="Z362" s="70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70"/>
      <c r="AL362" s="65"/>
      <c r="AM362" s="65"/>
      <c r="AN362" s="65"/>
    </row>
    <row r="363">
      <c r="B363" s="58"/>
      <c r="C363" s="58"/>
      <c r="D363" s="58"/>
      <c r="E363" s="58"/>
      <c r="F363" s="58"/>
      <c r="G363" s="58"/>
      <c r="H363" s="58"/>
      <c r="I363" s="58"/>
      <c r="J363" s="59"/>
      <c r="K363" s="60"/>
      <c r="L363" s="58"/>
      <c r="O363" s="68"/>
      <c r="P363" s="68"/>
      <c r="Q363" s="68"/>
      <c r="R363" s="65"/>
      <c r="S363" s="65"/>
      <c r="T363" s="65"/>
      <c r="U363" s="65"/>
      <c r="V363" s="69"/>
      <c r="W363" s="65"/>
      <c r="X363" s="65"/>
      <c r="Y363" s="65"/>
      <c r="Z363" s="70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70"/>
      <c r="AL363" s="65"/>
      <c r="AM363" s="65"/>
      <c r="AN363" s="65"/>
    </row>
    <row r="364">
      <c r="B364" s="58"/>
      <c r="C364" s="58"/>
      <c r="D364" s="58"/>
      <c r="E364" s="58"/>
      <c r="F364" s="58"/>
      <c r="G364" s="58"/>
      <c r="H364" s="58"/>
      <c r="I364" s="58"/>
      <c r="J364" s="59"/>
      <c r="K364" s="60"/>
      <c r="L364" s="58"/>
      <c r="O364" s="68"/>
      <c r="P364" s="68"/>
      <c r="Q364" s="68"/>
      <c r="R364" s="65"/>
      <c r="S364" s="65"/>
      <c r="T364" s="65"/>
      <c r="U364" s="65"/>
      <c r="V364" s="69"/>
      <c r="W364" s="65"/>
      <c r="X364" s="65"/>
      <c r="Y364" s="65"/>
      <c r="Z364" s="70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70"/>
      <c r="AL364" s="65"/>
      <c r="AM364" s="65"/>
      <c r="AN364" s="65"/>
    </row>
    <row r="365">
      <c r="B365" s="58"/>
      <c r="C365" s="58"/>
      <c r="D365" s="58"/>
      <c r="E365" s="58"/>
      <c r="F365" s="58"/>
      <c r="G365" s="58"/>
      <c r="H365" s="58"/>
      <c r="I365" s="58"/>
      <c r="J365" s="59"/>
      <c r="K365" s="60"/>
      <c r="L365" s="58"/>
      <c r="N365" s="63"/>
      <c r="O365" s="68"/>
      <c r="P365" s="68"/>
      <c r="Q365" s="68"/>
      <c r="R365" s="65"/>
      <c r="S365" s="65"/>
      <c r="T365" s="65"/>
      <c r="U365" s="65"/>
      <c r="V365" s="69"/>
      <c r="W365" s="65"/>
      <c r="X365" s="65"/>
      <c r="Y365" s="65"/>
      <c r="Z365" s="70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70"/>
      <c r="AL365" s="65"/>
      <c r="AM365" s="65"/>
      <c r="AN365" s="65"/>
    </row>
    <row r="366">
      <c r="B366" s="58"/>
      <c r="C366" s="58"/>
      <c r="D366" s="58"/>
      <c r="E366" s="58"/>
      <c r="F366" s="58"/>
      <c r="G366" s="58"/>
      <c r="H366" s="58"/>
      <c r="I366" s="58"/>
      <c r="J366" s="59"/>
      <c r="K366" s="60"/>
      <c r="L366" s="58"/>
      <c r="O366" s="68"/>
      <c r="P366" s="68"/>
      <c r="Q366" s="68"/>
      <c r="R366" s="65"/>
      <c r="S366" s="65"/>
      <c r="T366" s="65"/>
      <c r="U366" s="65"/>
      <c r="V366" s="69"/>
      <c r="W366" s="65"/>
      <c r="X366" s="65"/>
      <c r="Y366" s="65"/>
      <c r="Z366" s="70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70"/>
      <c r="AL366" s="65"/>
      <c r="AM366" s="65"/>
      <c r="AN366" s="65"/>
    </row>
    <row r="367">
      <c r="B367" s="58"/>
      <c r="C367" s="58"/>
      <c r="D367" s="58"/>
      <c r="E367" s="58"/>
      <c r="F367" s="58"/>
      <c r="G367" s="58"/>
      <c r="H367" s="58"/>
      <c r="I367" s="58"/>
      <c r="J367" s="59"/>
      <c r="K367" s="60"/>
      <c r="L367" s="58"/>
      <c r="O367" s="68"/>
      <c r="P367" s="68"/>
      <c r="Q367" s="68"/>
      <c r="R367" s="65"/>
      <c r="S367" s="65"/>
      <c r="T367" s="65"/>
      <c r="U367" s="65"/>
      <c r="V367" s="69"/>
      <c r="W367" s="65"/>
      <c r="X367" s="65"/>
      <c r="Y367" s="65"/>
      <c r="Z367" s="70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70"/>
      <c r="AL367" s="65"/>
      <c r="AM367" s="65"/>
      <c r="AN367" s="65"/>
    </row>
    <row r="368">
      <c r="B368" s="58"/>
      <c r="C368" s="58"/>
      <c r="D368" s="58"/>
      <c r="E368" s="58"/>
      <c r="F368" s="58"/>
      <c r="G368" s="58"/>
      <c r="H368" s="58"/>
      <c r="I368" s="58"/>
      <c r="J368" s="59"/>
      <c r="K368" s="60"/>
      <c r="L368" s="58"/>
      <c r="N368" s="63"/>
      <c r="O368" s="68"/>
      <c r="P368" s="68"/>
      <c r="Q368" s="68"/>
      <c r="R368" s="65"/>
      <c r="S368" s="65"/>
      <c r="T368" s="65"/>
      <c r="U368" s="65"/>
      <c r="V368" s="69"/>
      <c r="W368" s="65"/>
      <c r="X368" s="65"/>
      <c r="Y368" s="65"/>
      <c r="Z368" s="70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70"/>
      <c r="AL368" s="65"/>
      <c r="AM368" s="65"/>
      <c r="AN368" s="65"/>
    </row>
    <row r="369">
      <c r="B369" s="58"/>
      <c r="C369" s="58"/>
      <c r="D369" s="58"/>
      <c r="E369" s="58"/>
      <c r="F369" s="58"/>
      <c r="G369" s="58"/>
      <c r="H369" s="58"/>
      <c r="I369" s="58"/>
      <c r="J369" s="59"/>
      <c r="K369" s="60"/>
      <c r="L369" s="58"/>
      <c r="O369" s="68"/>
      <c r="P369" s="68"/>
      <c r="Q369" s="68"/>
      <c r="R369" s="65"/>
      <c r="S369" s="65"/>
      <c r="T369" s="65"/>
      <c r="U369" s="65"/>
      <c r="V369" s="69"/>
      <c r="W369" s="65"/>
      <c r="X369" s="65"/>
      <c r="Y369" s="65"/>
      <c r="Z369" s="70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70"/>
      <c r="AL369" s="65"/>
      <c r="AM369" s="65"/>
      <c r="AN369" s="65"/>
    </row>
    <row r="370">
      <c r="B370" s="58"/>
      <c r="C370" s="58"/>
      <c r="D370" s="58"/>
      <c r="E370" s="58"/>
      <c r="F370" s="58"/>
      <c r="G370" s="58"/>
      <c r="H370" s="58"/>
      <c r="I370" s="58"/>
      <c r="J370" s="59"/>
      <c r="K370" s="60"/>
      <c r="L370" s="58"/>
      <c r="O370" s="68"/>
      <c r="P370" s="68"/>
      <c r="Q370" s="68"/>
      <c r="R370" s="65"/>
      <c r="S370" s="65"/>
      <c r="T370" s="65"/>
      <c r="U370" s="65"/>
      <c r="V370" s="69"/>
      <c r="W370" s="65"/>
      <c r="X370" s="65"/>
      <c r="Y370" s="65"/>
      <c r="Z370" s="70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70"/>
      <c r="AL370" s="65"/>
      <c r="AM370" s="65"/>
      <c r="AN370" s="65"/>
    </row>
    <row r="371">
      <c r="B371" s="58"/>
      <c r="C371" s="58"/>
      <c r="D371" s="58"/>
      <c r="E371" s="58"/>
      <c r="F371" s="58"/>
      <c r="G371" s="58"/>
      <c r="H371" s="58"/>
      <c r="I371" s="58"/>
      <c r="J371" s="59"/>
      <c r="K371" s="60"/>
      <c r="L371" s="58"/>
      <c r="N371" s="63"/>
      <c r="O371" s="68"/>
      <c r="P371" s="68"/>
      <c r="Q371" s="68"/>
      <c r="R371" s="65"/>
      <c r="S371" s="65"/>
      <c r="T371" s="65"/>
      <c r="U371" s="65"/>
      <c r="V371" s="69"/>
      <c r="W371" s="65"/>
      <c r="X371" s="65"/>
      <c r="Y371" s="65"/>
      <c r="Z371" s="70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70"/>
      <c r="AL371" s="65"/>
      <c r="AM371" s="65"/>
      <c r="AN371" s="65"/>
    </row>
    <row r="372">
      <c r="B372" s="58"/>
      <c r="C372" s="58"/>
      <c r="D372" s="58"/>
      <c r="E372" s="58"/>
      <c r="F372" s="58"/>
      <c r="G372" s="58"/>
      <c r="H372" s="58"/>
      <c r="I372" s="58"/>
      <c r="J372" s="59"/>
      <c r="K372" s="60"/>
      <c r="L372" s="58"/>
      <c r="O372" s="68"/>
      <c r="P372" s="68"/>
      <c r="Q372" s="68"/>
      <c r="R372" s="65"/>
      <c r="S372" s="65"/>
      <c r="T372" s="65"/>
      <c r="U372" s="65"/>
      <c r="V372" s="69"/>
      <c r="W372" s="65"/>
      <c r="X372" s="65"/>
      <c r="Y372" s="65"/>
      <c r="Z372" s="70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70"/>
      <c r="AL372" s="65"/>
      <c r="AM372" s="65"/>
      <c r="AN372" s="65"/>
    </row>
    <row r="373">
      <c r="B373" s="58"/>
      <c r="C373" s="58"/>
      <c r="D373" s="58"/>
      <c r="E373" s="58"/>
      <c r="F373" s="58"/>
      <c r="G373" s="58"/>
      <c r="H373" s="58"/>
      <c r="I373" s="58"/>
      <c r="J373" s="59"/>
      <c r="K373" s="60"/>
      <c r="L373" s="58"/>
      <c r="O373" s="68"/>
      <c r="P373" s="68"/>
      <c r="Q373" s="68"/>
      <c r="R373" s="65"/>
      <c r="S373" s="65"/>
      <c r="T373" s="65"/>
      <c r="U373" s="65"/>
      <c r="V373" s="69"/>
      <c r="W373" s="65"/>
      <c r="X373" s="65"/>
      <c r="Y373" s="65"/>
      <c r="Z373" s="70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70"/>
      <c r="AL373" s="65"/>
      <c r="AM373" s="65"/>
      <c r="AN373" s="65"/>
    </row>
    <row r="374">
      <c r="B374" s="58"/>
      <c r="C374" s="58"/>
      <c r="D374" s="58"/>
      <c r="E374" s="58"/>
      <c r="F374" s="58"/>
      <c r="G374" s="58"/>
      <c r="H374" s="58"/>
      <c r="I374" s="58"/>
      <c r="J374" s="59"/>
      <c r="K374" s="60"/>
      <c r="L374" s="58"/>
      <c r="N374" s="63"/>
      <c r="O374" s="68"/>
      <c r="P374" s="68"/>
      <c r="Q374" s="68"/>
      <c r="R374" s="65"/>
      <c r="S374" s="65"/>
      <c r="T374" s="65"/>
      <c r="U374" s="65"/>
      <c r="V374" s="69"/>
      <c r="W374" s="65"/>
      <c r="X374" s="65"/>
      <c r="Y374" s="65"/>
      <c r="Z374" s="70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70"/>
      <c r="AL374" s="65"/>
      <c r="AM374" s="65"/>
      <c r="AN374" s="65"/>
    </row>
    <row r="375">
      <c r="B375" s="58"/>
      <c r="C375" s="58"/>
      <c r="D375" s="58"/>
      <c r="E375" s="58"/>
      <c r="F375" s="58"/>
      <c r="G375" s="58"/>
      <c r="H375" s="58"/>
      <c r="I375" s="58"/>
      <c r="J375" s="59"/>
      <c r="K375" s="60"/>
      <c r="L375" s="58"/>
      <c r="O375" s="68"/>
      <c r="P375" s="68"/>
      <c r="Q375" s="68"/>
      <c r="R375" s="65"/>
      <c r="S375" s="65"/>
      <c r="T375" s="65"/>
      <c r="U375" s="65"/>
      <c r="V375" s="69"/>
      <c r="W375" s="65"/>
      <c r="X375" s="65"/>
      <c r="Y375" s="65"/>
      <c r="Z375" s="70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70"/>
      <c r="AL375" s="65"/>
      <c r="AM375" s="65"/>
      <c r="AN375" s="65"/>
    </row>
    <row r="376">
      <c r="B376" s="58"/>
      <c r="C376" s="58"/>
      <c r="D376" s="58"/>
      <c r="E376" s="58"/>
      <c r="F376" s="58"/>
      <c r="G376" s="58"/>
      <c r="H376" s="58"/>
      <c r="I376" s="58"/>
      <c r="J376" s="59"/>
      <c r="K376" s="60"/>
      <c r="L376" s="58"/>
      <c r="O376" s="68"/>
      <c r="P376" s="68"/>
      <c r="Q376" s="68"/>
      <c r="R376" s="65"/>
      <c r="S376" s="65"/>
      <c r="T376" s="65"/>
      <c r="U376" s="65"/>
      <c r="V376" s="69"/>
      <c r="W376" s="65"/>
      <c r="X376" s="65"/>
      <c r="Y376" s="65"/>
      <c r="Z376" s="70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70"/>
      <c r="AL376" s="65"/>
      <c r="AM376" s="65"/>
      <c r="AN376" s="65"/>
    </row>
    <row r="377">
      <c r="B377" s="58"/>
      <c r="C377" s="58"/>
      <c r="D377" s="58"/>
      <c r="E377" s="58"/>
      <c r="F377" s="58"/>
      <c r="G377" s="58"/>
      <c r="H377" s="58"/>
      <c r="I377" s="58"/>
      <c r="J377" s="59"/>
      <c r="K377" s="60"/>
      <c r="L377" s="58"/>
      <c r="N377" s="63"/>
      <c r="O377" s="68"/>
      <c r="P377" s="68"/>
      <c r="Q377" s="68"/>
      <c r="R377" s="65"/>
      <c r="S377" s="65"/>
      <c r="T377" s="65"/>
      <c r="U377" s="65"/>
      <c r="V377" s="69"/>
      <c r="W377" s="65"/>
      <c r="X377" s="65"/>
      <c r="Y377" s="65"/>
      <c r="Z377" s="70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70"/>
      <c r="AL377" s="65"/>
      <c r="AM377" s="65"/>
      <c r="AN377" s="65"/>
    </row>
    <row r="378">
      <c r="B378" s="58"/>
      <c r="C378" s="58"/>
      <c r="D378" s="58"/>
      <c r="E378" s="58"/>
      <c r="F378" s="58"/>
      <c r="G378" s="58"/>
      <c r="H378" s="58"/>
      <c r="I378" s="58"/>
      <c r="J378" s="59"/>
      <c r="K378" s="60"/>
      <c r="L378" s="58"/>
      <c r="O378" s="68"/>
      <c r="P378" s="68"/>
      <c r="Q378" s="68"/>
      <c r="R378" s="65"/>
      <c r="S378" s="65"/>
      <c r="T378" s="65"/>
      <c r="U378" s="65"/>
      <c r="V378" s="69"/>
      <c r="W378" s="65"/>
      <c r="X378" s="65"/>
      <c r="Y378" s="65"/>
      <c r="Z378" s="70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70"/>
      <c r="AL378" s="65"/>
      <c r="AM378" s="65"/>
      <c r="AN378" s="65"/>
    </row>
    <row r="379">
      <c r="B379" s="58"/>
      <c r="C379" s="58"/>
      <c r="D379" s="58"/>
      <c r="E379" s="58"/>
      <c r="F379" s="58"/>
      <c r="G379" s="58"/>
      <c r="H379" s="58"/>
      <c r="I379" s="58"/>
      <c r="J379" s="59"/>
      <c r="K379" s="60"/>
      <c r="L379" s="58"/>
      <c r="O379" s="68"/>
      <c r="P379" s="68"/>
      <c r="Q379" s="68"/>
      <c r="R379" s="65"/>
      <c r="S379" s="65"/>
      <c r="T379" s="65"/>
      <c r="U379" s="65"/>
      <c r="V379" s="69"/>
      <c r="W379" s="65"/>
      <c r="X379" s="65"/>
      <c r="Y379" s="65"/>
      <c r="Z379" s="70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70"/>
      <c r="AL379" s="65"/>
      <c r="AM379" s="65"/>
      <c r="AN379" s="65"/>
    </row>
    <row r="380">
      <c r="B380" s="58"/>
      <c r="C380" s="58"/>
      <c r="D380" s="58"/>
      <c r="E380" s="58"/>
      <c r="F380" s="58"/>
      <c r="G380" s="58"/>
      <c r="H380" s="58"/>
      <c r="I380" s="58"/>
      <c r="J380" s="59"/>
      <c r="K380" s="60"/>
      <c r="L380" s="58"/>
      <c r="N380" s="63"/>
      <c r="O380" s="68"/>
      <c r="P380" s="68"/>
      <c r="Q380" s="68"/>
      <c r="R380" s="65"/>
      <c r="S380" s="65"/>
      <c r="T380" s="65"/>
      <c r="U380" s="65"/>
      <c r="V380" s="69"/>
      <c r="W380" s="65"/>
      <c r="X380" s="65"/>
      <c r="Y380" s="65"/>
      <c r="Z380" s="70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70"/>
      <c r="AL380" s="65"/>
      <c r="AM380" s="65"/>
      <c r="AN380" s="65"/>
    </row>
    <row r="381">
      <c r="B381" s="58"/>
      <c r="C381" s="58"/>
      <c r="D381" s="58"/>
      <c r="E381" s="58"/>
      <c r="F381" s="58"/>
      <c r="G381" s="58"/>
      <c r="H381" s="58"/>
      <c r="I381" s="58"/>
      <c r="J381" s="59"/>
      <c r="K381" s="60"/>
      <c r="L381" s="58"/>
      <c r="O381" s="68"/>
      <c r="P381" s="68"/>
      <c r="Q381" s="68"/>
      <c r="R381" s="65"/>
      <c r="S381" s="65"/>
      <c r="T381" s="65"/>
      <c r="U381" s="65"/>
      <c r="V381" s="69"/>
      <c r="W381" s="65"/>
      <c r="X381" s="65"/>
      <c r="Y381" s="65"/>
      <c r="Z381" s="70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70"/>
      <c r="AL381" s="65"/>
      <c r="AM381" s="65"/>
      <c r="AN381" s="65"/>
    </row>
    <row r="382">
      <c r="B382" s="58"/>
      <c r="C382" s="58"/>
      <c r="D382" s="58"/>
      <c r="E382" s="58"/>
      <c r="F382" s="58"/>
      <c r="G382" s="58"/>
      <c r="H382" s="58"/>
      <c r="I382" s="58"/>
      <c r="J382" s="59"/>
      <c r="K382" s="60"/>
      <c r="L382" s="58"/>
      <c r="O382" s="68"/>
      <c r="P382" s="68"/>
      <c r="Q382" s="68"/>
      <c r="R382" s="65"/>
      <c r="S382" s="65"/>
      <c r="T382" s="65"/>
      <c r="U382" s="65"/>
      <c r="V382" s="69"/>
      <c r="W382" s="65"/>
      <c r="X382" s="65"/>
      <c r="Y382" s="65"/>
      <c r="Z382" s="70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70"/>
      <c r="AL382" s="65"/>
      <c r="AM382" s="65"/>
      <c r="AN382" s="65"/>
    </row>
    <row r="383">
      <c r="B383" s="58"/>
      <c r="C383" s="58"/>
      <c r="D383" s="58"/>
      <c r="E383" s="58"/>
      <c r="F383" s="58"/>
      <c r="G383" s="58"/>
      <c r="H383" s="58"/>
      <c r="I383" s="58"/>
      <c r="J383" s="59"/>
      <c r="K383" s="60"/>
      <c r="L383" s="58"/>
      <c r="N383" s="63"/>
      <c r="O383" s="68"/>
      <c r="P383" s="68"/>
      <c r="Q383" s="68"/>
      <c r="R383" s="65"/>
      <c r="S383" s="65"/>
      <c r="T383" s="65"/>
      <c r="U383" s="65"/>
      <c r="V383" s="69"/>
      <c r="W383" s="65"/>
      <c r="X383" s="65"/>
      <c r="Y383" s="65"/>
      <c r="Z383" s="70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70"/>
      <c r="AL383" s="65"/>
      <c r="AM383" s="65"/>
      <c r="AN383" s="65"/>
    </row>
    <row r="384">
      <c r="B384" s="58"/>
      <c r="C384" s="58"/>
      <c r="D384" s="58"/>
      <c r="E384" s="58"/>
      <c r="F384" s="58"/>
      <c r="G384" s="58"/>
      <c r="H384" s="58"/>
      <c r="I384" s="58"/>
      <c r="J384" s="59"/>
      <c r="K384" s="60"/>
      <c r="L384" s="58"/>
      <c r="O384" s="68"/>
      <c r="P384" s="68"/>
      <c r="Q384" s="68"/>
      <c r="R384" s="65"/>
      <c r="S384" s="65"/>
      <c r="T384" s="65"/>
      <c r="U384" s="65"/>
      <c r="V384" s="69"/>
      <c r="W384" s="65"/>
      <c r="X384" s="65"/>
      <c r="Y384" s="65"/>
      <c r="Z384" s="70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70"/>
      <c r="AL384" s="65"/>
      <c r="AM384" s="65"/>
      <c r="AN384" s="65"/>
    </row>
    <row r="385">
      <c r="B385" s="58"/>
      <c r="C385" s="58"/>
      <c r="D385" s="58"/>
      <c r="E385" s="58"/>
      <c r="F385" s="58"/>
      <c r="G385" s="58"/>
      <c r="H385" s="58"/>
      <c r="I385" s="58"/>
      <c r="J385" s="59"/>
      <c r="K385" s="60"/>
      <c r="L385" s="58"/>
      <c r="O385" s="68"/>
      <c r="P385" s="68"/>
      <c r="Q385" s="68"/>
      <c r="R385" s="65"/>
      <c r="S385" s="65"/>
      <c r="T385" s="65"/>
      <c r="U385" s="65"/>
      <c r="V385" s="69"/>
      <c r="W385" s="65"/>
      <c r="X385" s="65"/>
      <c r="Y385" s="65"/>
      <c r="Z385" s="70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70"/>
      <c r="AL385" s="65"/>
      <c r="AM385" s="65"/>
      <c r="AN385" s="65"/>
    </row>
    <row r="386">
      <c r="B386" s="58"/>
      <c r="C386" s="58"/>
      <c r="D386" s="58"/>
      <c r="E386" s="58"/>
      <c r="F386" s="58"/>
      <c r="G386" s="58"/>
      <c r="H386" s="58"/>
      <c r="I386" s="58"/>
      <c r="J386" s="59"/>
      <c r="K386" s="60"/>
      <c r="L386" s="58"/>
      <c r="N386" s="63"/>
      <c r="O386" s="68"/>
      <c r="P386" s="68"/>
      <c r="Q386" s="68"/>
      <c r="R386" s="65"/>
      <c r="S386" s="65"/>
      <c r="T386" s="65"/>
      <c r="U386" s="65"/>
      <c r="V386" s="69"/>
      <c r="W386" s="65"/>
      <c r="X386" s="65"/>
      <c r="Y386" s="65"/>
      <c r="Z386" s="70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70"/>
      <c r="AL386" s="65"/>
      <c r="AM386" s="65"/>
      <c r="AN386" s="65"/>
    </row>
    <row r="387">
      <c r="B387" s="58"/>
      <c r="C387" s="58"/>
      <c r="D387" s="58"/>
      <c r="E387" s="58"/>
      <c r="F387" s="58"/>
      <c r="G387" s="58"/>
      <c r="H387" s="58"/>
      <c r="I387" s="58"/>
      <c r="J387" s="59"/>
      <c r="K387" s="60"/>
      <c r="L387" s="58"/>
      <c r="O387" s="68"/>
      <c r="P387" s="68"/>
      <c r="Q387" s="68"/>
      <c r="R387" s="65"/>
      <c r="S387" s="65"/>
      <c r="T387" s="65"/>
      <c r="U387" s="65"/>
      <c r="V387" s="69"/>
      <c r="W387" s="65"/>
      <c r="X387" s="65"/>
      <c r="Y387" s="65"/>
      <c r="Z387" s="70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70"/>
      <c r="AL387" s="65"/>
      <c r="AM387" s="65"/>
      <c r="AN387" s="65"/>
    </row>
    <row r="388">
      <c r="B388" s="58"/>
      <c r="C388" s="58"/>
      <c r="D388" s="58"/>
      <c r="E388" s="58"/>
      <c r="F388" s="58"/>
      <c r="G388" s="58"/>
      <c r="H388" s="58"/>
      <c r="I388" s="58"/>
      <c r="J388" s="59"/>
      <c r="K388" s="60"/>
      <c r="L388" s="58"/>
      <c r="O388" s="68"/>
      <c r="P388" s="68"/>
      <c r="Q388" s="68"/>
      <c r="R388" s="65"/>
      <c r="S388" s="65"/>
      <c r="T388" s="65"/>
      <c r="U388" s="65"/>
      <c r="V388" s="69"/>
      <c r="W388" s="65"/>
      <c r="X388" s="65"/>
      <c r="Y388" s="65"/>
      <c r="Z388" s="70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70"/>
      <c r="AL388" s="65"/>
      <c r="AM388" s="65"/>
      <c r="AN388" s="65"/>
    </row>
    <row r="389">
      <c r="B389" s="58"/>
      <c r="C389" s="58"/>
      <c r="D389" s="58"/>
      <c r="E389" s="58"/>
      <c r="F389" s="58"/>
      <c r="G389" s="58"/>
      <c r="H389" s="58"/>
      <c r="I389" s="58"/>
      <c r="J389" s="59"/>
      <c r="K389" s="60"/>
      <c r="L389" s="58"/>
      <c r="N389" s="63"/>
      <c r="O389" s="68"/>
      <c r="P389" s="68"/>
      <c r="Q389" s="68"/>
      <c r="R389" s="65"/>
      <c r="S389" s="65"/>
      <c r="T389" s="65"/>
      <c r="U389" s="65"/>
      <c r="V389" s="69"/>
      <c r="W389" s="65"/>
      <c r="X389" s="65"/>
      <c r="Y389" s="65"/>
      <c r="Z389" s="70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70"/>
      <c r="AL389" s="65"/>
      <c r="AM389" s="65"/>
      <c r="AN389" s="65"/>
    </row>
    <row r="390">
      <c r="B390" s="58"/>
      <c r="C390" s="58"/>
      <c r="D390" s="58"/>
      <c r="E390" s="58"/>
      <c r="F390" s="58"/>
      <c r="G390" s="58"/>
      <c r="H390" s="58"/>
      <c r="I390" s="58"/>
      <c r="J390" s="59"/>
      <c r="K390" s="60"/>
      <c r="L390" s="58"/>
      <c r="O390" s="68"/>
      <c r="P390" s="68"/>
      <c r="Q390" s="68"/>
      <c r="R390" s="65"/>
      <c r="S390" s="65"/>
      <c r="T390" s="65"/>
      <c r="U390" s="65"/>
      <c r="V390" s="69"/>
      <c r="W390" s="65"/>
      <c r="X390" s="65"/>
      <c r="Y390" s="65"/>
      <c r="Z390" s="70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70"/>
      <c r="AL390" s="65"/>
      <c r="AM390" s="65"/>
      <c r="AN390" s="65"/>
    </row>
    <row r="391">
      <c r="B391" s="58"/>
      <c r="C391" s="58"/>
      <c r="D391" s="58"/>
      <c r="E391" s="58"/>
      <c r="F391" s="58"/>
      <c r="G391" s="58"/>
      <c r="H391" s="58"/>
      <c r="I391" s="58"/>
      <c r="J391" s="59"/>
      <c r="K391" s="60"/>
      <c r="L391" s="58"/>
      <c r="O391" s="68"/>
      <c r="P391" s="68"/>
      <c r="Q391" s="68"/>
      <c r="R391" s="65"/>
      <c r="S391" s="65"/>
      <c r="T391" s="65"/>
      <c r="U391" s="65"/>
      <c r="V391" s="69"/>
      <c r="W391" s="65"/>
      <c r="X391" s="65"/>
      <c r="Y391" s="65"/>
      <c r="Z391" s="70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70"/>
      <c r="AL391" s="65"/>
      <c r="AM391" s="65"/>
      <c r="AN391" s="65"/>
    </row>
    <row r="392">
      <c r="B392" s="58"/>
      <c r="C392" s="58"/>
      <c r="D392" s="58"/>
      <c r="E392" s="58"/>
      <c r="F392" s="58"/>
      <c r="G392" s="58"/>
      <c r="H392" s="58"/>
      <c r="I392" s="58"/>
      <c r="J392" s="59"/>
      <c r="K392" s="60"/>
      <c r="L392" s="58"/>
      <c r="N392" s="63"/>
      <c r="O392" s="68"/>
      <c r="P392" s="68"/>
      <c r="Q392" s="68"/>
      <c r="R392" s="65"/>
      <c r="S392" s="65"/>
      <c r="T392" s="65"/>
      <c r="U392" s="65"/>
      <c r="V392" s="69"/>
      <c r="W392" s="65"/>
      <c r="X392" s="65"/>
      <c r="Y392" s="65"/>
      <c r="Z392" s="70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70"/>
      <c r="AL392" s="65"/>
      <c r="AM392" s="65"/>
      <c r="AN392" s="65"/>
    </row>
    <row r="393">
      <c r="B393" s="58"/>
      <c r="C393" s="58"/>
      <c r="D393" s="58"/>
      <c r="E393" s="58"/>
      <c r="F393" s="58"/>
      <c r="G393" s="58"/>
      <c r="H393" s="58"/>
      <c r="I393" s="58"/>
      <c r="J393" s="59"/>
      <c r="K393" s="60"/>
      <c r="L393" s="58"/>
      <c r="O393" s="68"/>
      <c r="P393" s="68"/>
      <c r="Q393" s="68"/>
      <c r="R393" s="65"/>
      <c r="S393" s="65"/>
      <c r="T393" s="65"/>
      <c r="U393" s="65"/>
      <c r="V393" s="69"/>
      <c r="W393" s="65"/>
      <c r="X393" s="65"/>
      <c r="Y393" s="65"/>
      <c r="Z393" s="70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70"/>
      <c r="AL393" s="65"/>
      <c r="AM393" s="65"/>
      <c r="AN393" s="65"/>
    </row>
    <row r="394">
      <c r="B394" s="58"/>
      <c r="C394" s="58"/>
      <c r="D394" s="58"/>
      <c r="E394" s="58"/>
      <c r="F394" s="58"/>
      <c r="G394" s="58"/>
      <c r="H394" s="58"/>
      <c r="I394" s="58"/>
      <c r="J394" s="59"/>
      <c r="K394" s="60"/>
      <c r="L394" s="58"/>
      <c r="O394" s="68"/>
      <c r="P394" s="68"/>
      <c r="Q394" s="68"/>
      <c r="R394" s="65"/>
      <c r="S394" s="65"/>
      <c r="T394" s="65"/>
      <c r="U394" s="65"/>
      <c r="V394" s="69"/>
      <c r="W394" s="65"/>
      <c r="X394" s="65"/>
      <c r="Y394" s="65"/>
      <c r="Z394" s="70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70"/>
      <c r="AL394" s="65"/>
      <c r="AM394" s="65"/>
      <c r="AN394" s="65"/>
    </row>
    <row r="395">
      <c r="B395" s="58"/>
      <c r="C395" s="58"/>
      <c r="D395" s="58"/>
      <c r="E395" s="58"/>
      <c r="F395" s="58"/>
      <c r="G395" s="58"/>
      <c r="H395" s="58"/>
      <c r="I395" s="58"/>
      <c r="J395" s="59"/>
      <c r="K395" s="60"/>
      <c r="L395" s="58"/>
      <c r="N395" s="63"/>
      <c r="O395" s="68"/>
      <c r="P395" s="68"/>
      <c r="Q395" s="68"/>
      <c r="R395" s="65"/>
      <c r="S395" s="65"/>
      <c r="T395" s="65"/>
      <c r="U395" s="65"/>
      <c r="V395" s="69"/>
      <c r="W395" s="65"/>
      <c r="X395" s="65"/>
      <c r="Y395" s="65"/>
      <c r="Z395" s="70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70"/>
      <c r="AL395" s="65"/>
      <c r="AM395" s="65"/>
      <c r="AN395" s="65"/>
    </row>
    <row r="396">
      <c r="B396" s="58"/>
      <c r="C396" s="58"/>
      <c r="D396" s="58"/>
      <c r="E396" s="58"/>
      <c r="F396" s="58"/>
      <c r="G396" s="58"/>
      <c r="H396" s="58"/>
      <c r="I396" s="58"/>
      <c r="J396" s="59"/>
      <c r="K396" s="60"/>
      <c r="L396" s="58"/>
      <c r="O396" s="68"/>
      <c r="P396" s="68"/>
      <c r="Q396" s="68"/>
      <c r="R396" s="65"/>
      <c r="S396" s="65"/>
      <c r="T396" s="65"/>
      <c r="U396" s="65"/>
      <c r="V396" s="69"/>
      <c r="W396" s="65"/>
      <c r="X396" s="65"/>
      <c r="Y396" s="65"/>
      <c r="Z396" s="70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70"/>
      <c r="AL396" s="65"/>
      <c r="AM396" s="65"/>
      <c r="AN396" s="65"/>
    </row>
    <row r="397">
      <c r="B397" s="58"/>
      <c r="C397" s="58"/>
      <c r="D397" s="58"/>
      <c r="E397" s="58"/>
      <c r="F397" s="58"/>
      <c r="G397" s="58"/>
      <c r="H397" s="58"/>
      <c r="I397" s="58"/>
      <c r="J397" s="59"/>
      <c r="K397" s="60"/>
      <c r="L397" s="58"/>
      <c r="O397" s="68"/>
      <c r="P397" s="68"/>
      <c r="Q397" s="68"/>
      <c r="R397" s="65"/>
      <c r="S397" s="65"/>
      <c r="T397" s="65"/>
      <c r="U397" s="65"/>
      <c r="V397" s="69"/>
      <c r="W397" s="65"/>
      <c r="X397" s="65"/>
      <c r="Y397" s="65"/>
      <c r="Z397" s="70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70"/>
      <c r="AL397" s="65"/>
      <c r="AM397" s="65"/>
      <c r="AN397" s="65"/>
    </row>
    <row r="398">
      <c r="B398" s="58"/>
      <c r="C398" s="58"/>
      <c r="D398" s="58"/>
      <c r="E398" s="58"/>
      <c r="F398" s="58"/>
      <c r="G398" s="58"/>
      <c r="H398" s="58"/>
      <c r="I398" s="58"/>
      <c r="J398" s="59"/>
      <c r="K398" s="60"/>
      <c r="L398" s="58"/>
      <c r="N398" s="63"/>
      <c r="O398" s="68"/>
      <c r="P398" s="68"/>
      <c r="Q398" s="68"/>
      <c r="R398" s="65"/>
      <c r="S398" s="65"/>
      <c r="T398" s="65"/>
      <c r="U398" s="65"/>
      <c r="V398" s="69"/>
      <c r="W398" s="65"/>
      <c r="X398" s="65"/>
      <c r="Y398" s="65"/>
      <c r="Z398" s="70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70"/>
      <c r="AL398" s="65"/>
      <c r="AM398" s="65"/>
      <c r="AN398" s="65"/>
    </row>
    <row r="399">
      <c r="B399" s="58"/>
      <c r="C399" s="58"/>
      <c r="D399" s="58"/>
      <c r="E399" s="58"/>
      <c r="F399" s="58"/>
      <c r="G399" s="58"/>
      <c r="H399" s="58"/>
      <c r="I399" s="58"/>
      <c r="J399" s="59"/>
      <c r="K399" s="60"/>
      <c r="L399" s="58"/>
      <c r="O399" s="68"/>
      <c r="P399" s="68"/>
      <c r="Q399" s="68"/>
      <c r="R399" s="65"/>
      <c r="S399" s="65"/>
      <c r="T399" s="65"/>
      <c r="U399" s="65"/>
      <c r="V399" s="69"/>
      <c r="W399" s="65"/>
      <c r="X399" s="65"/>
      <c r="Y399" s="65"/>
      <c r="Z399" s="70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70"/>
      <c r="AL399" s="65"/>
      <c r="AM399" s="65"/>
      <c r="AN399" s="65"/>
    </row>
    <row r="400">
      <c r="B400" s="58"/>
      <c r="C400" s="58"/>
      <c r="D400" s="58"/>
      <c r="E400" s="58"/>
      <c r="F400" s="58"/>
      <c r="G400" s="58"/>
      <c r="H400" s="58"/>
      <c r="I400" s="58"/>
      <c r="J400" s="59"/>
      <c r="K400" s="60"/>
      <c r="L400" s="58"/>
      <c r="N400" s="63"/>
      <c r="O400" s="68"/>
      <c r="P400" s="68"/>
      <c r="Q400" s="68"/>
      <c r="R400" s="65"/>
      <c r="S400" s="65"/>
      <c r="T400" s="65"/>
      <c r="U400" s="65"/>
      <c r="V400" s="69"/>
      <c r="W400" s="65"/>
      <c r="X400" s="65"/>
      <c r="Y400" s="65"/>
      <c r="Z400" s="70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70"/>
      <c r="AL400" s="65"/>
      <c r="AM400" s="65"/>
      <c r="AN400" s="65"/>
    </row>
    <row r="401">
      <c r="B401" s="58"/>
      <c r="C401" s="58"/>
      <c r="D401" s="58"/>
      <c r="E401" s="58"/>
      <c r="F401" s="58"/>
      <c r="G401" s="58"/>
      <c r="H401" s="58"/>
      <c r="I401" s="58"/>
      <c r="J401" s="59"/>
      <c r="K401" s="60"/>
      <c r="L401" s="58"/>
      <c r="O401" s="68"/>
      <c r="P401" s="68"/>
      <c r="Q401" s="68"/>
      <c r="R401" s="65"/>
      <c r="S401" s="65"/>
      <c r="T401" s="65"/>
      <c r="U401" s="65"/>
      <c r="V401" s="69"/>
      <c r="W401" s="65"/>
      <c r="X401" s="65"/>
      <c r="Y401" s="65"/>
      <c r="Z401" s="70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70"/>
      <c r="AL401" s="65"/>
      <c r="AM401" s="65"/>
      <c r="AN401" s="65"/>
    </row>
    <row r="402">
      <c r="B402" s="58"/>
      <c r="C402" s="58"/>
      <c r="D402" s="58"/>
      <c r="E402" s="58"/>
      <c r="F402" s="58"/>
      <c r="G402" s="58"/>
      <c r="H402" s="58"/>
      <c r="I402" s="58"/>
      <c r="J402" s="59"/>
      <c r="K402" s="60"/>
      <c r="L402" s="58"/>
      <c r="N402" s="63"/>
      <c r="O402" s="68"/>
      <c r="P402" s="68"/>
      <c r="Q402" s="68"/>
      <c r="R402" s="65"/>
      <c r="S402" s="65"/>
      <c r="T402" s="65"/>
      <c r="U402" s="65"/>
      <c r="V402" s="69"/>
      <c r="W402" s="65"/>
      <c r="X402" s="65"/>
      <c r="Y402" s="65"/>
      <c r="Z402" s="70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70"/>
      <c r="AL402" s="65"/>
      <c r="AM402" s="65"/>
      <c r="AN402" s="65"/>
    </row>
    <row r="403">
      <c r="B403" s="58"/>
      <c r="C403" s="58"/>
      <c r="D403" s="58"/>
      <c r="E403" s="58"/>
      <c r="F403" s="58"/>
      <c r="G403" s="58"/>
      <c r="H403" s="58"/>
      <c r="I403" s="58"/>
      <c r="J403" s="59"/>
      <c r="K403" s="60"/>
      <c r="L403" s="58"/>
      <c r="O403" s="68"/>
      <c r="P403" s="68"/>
      <c r="Q403" s="68"/>
      <c r="R403" s="65"/>
      <c r="S403" s="65"/>
      <c r="T403" s="65"/>
      <c r="U403" s="65"/>
      <c r="V403" s="69"/>
      <c r="W403" s="65"/>
      <c r="X403" s="65"/>
      <c r="Y403" s="65"/>
      <c r="Z403" s="70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70"/>
      <c r="AL403" s="65"/>
      <c r="AM403" s="65"/>
      <c r="AN403" s="65"/>
    </row>
    <row r="404">
      <c r="B404" s="58"/>
      <c r="C404" s="58"/>
      <c r="D404" s="58"/>
      <c r="E404" s="58"/>
      <c r="F404" s="58"/>
      <c r="G404" s="58"/>
      <c r="H404" s="58"/>
      <c r="I404" s="58"/>
      <c r="J404" s="59"/>
      <c r="K404" s="60"/>
      <c r="L404" s="58"/>
      <c r="O404" s="68"/>
      <c r="P404" s="68"/>
      <c r="Q404" s="68"/>
      <c r="R404" s="65"/>
      <c r="S404" s="65"/>
      <c r="T404" s="65"/>
      <c r="U404" s="65"/>
      <c r="V404" s="69"/>
      <c r="W404" s="65"/>
      <c r="X404" s="65"/>
      <c r="Y404" s="65"/>
      <c r="Z404" s="70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70"/>
      <c r="AL404" s="65"/>
      <c r="AM404" s="65"/>
      <c r="AN404" s="65"/>
    </row>
    <row r="405">
      <c r="B405" s="58"/>
      <c r="C405" s="58"/>
      <c r="D405" s="58"/>
      <c r="E405" s="58"/>
      <c r="F405" s="58"/>
      <c r="G405" s="58"/>
      <c r="H405" s="58"/>
      <c r="I405" s="58"/>
      <c r="J405" s="59"/>
      <c r="K405" s="60"/>
      <c r="L405" s="58"/>
      <c r="N405" s="63"/>
      <c r="O405" s="68"/>
      <c r="P405" s="68"/>
      <c r="Q405" s="68"/>
      <c r="R405" s="65"/>
      <c r="S405" s="65"/>
      <c r="T405" s="65"/>
      <c r="U405" s="65"/>
      <c r="V405" s="69"/>
      <c r="W405" s="65"/>
      <c r="X405" s="65"/>
      <c r="Y405" s="65"/>
      <c r="Z405" s="70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70"/>
      <c r="AL405" s="65"/>
      <c r="AM405" s="65"/>
      <c r="AN405" s="65"/>
    </row>
    <row r="406">
      <c r="B406" s="58"/>
      <c r="C406" s="58"/>
      <c r="D406" s="58"/>
      <c r="E406" s="58"/>
      <c r="F406" s="58"/>
      <c r="G406" s="58"/>
      <c r="H406" s="58"/>
      <c r="I406" s="58"/>
      <c r="J406" s="59"/>
      <c r="K406" s="60"/>
      <c r="L406" s="58"/>
      <c r="O406" s="68"/>
      <c r="P406" s="68"/>
      <c r="Q406" s="68"/>
      <c r="R406" s="65"/>
      <c r="S406" s="65"/>
      <c r="T406" s="65"/>
      <c r="U406" s="65"/>
      <c r="V406" s="69"/>
      <c r="W406" s="65"/>
      <c r="X406" s="65"/>
      <c r="Y406" s="65"/>
      <c r="Z406" s="70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70"/>
      <c r="AL406" s="65"/>
      <c r="AM406" s="65"/>
      <c r="AN406" s="65"/>
    </row>
    <row r="407">
      <c r="B407" s="58"/>
      <c r="C407" s="58"/>
      <c r="D407" s="58"/>
      <c r="E407" s="58"/>
      <c r="F407" s="58"/>
      <c r="G407" s="58"/>
      <c r="H407" s="58"/>
      <c r="I407" s="58"/>
      <c r="J407" s="59"/>
      <c r="K407" s="60"/>
      <c r="L407" s="58"/>
      <c r="O407" s="68"/>
      <c r="P407" s="68"/>
      <c r="Q407" s="68"/>
      <c r="R407" s="65"/>
      <c r="S407" s="65"/>
      <c r="T407" s="65"/>
      <c r="U407" s="65"/>
      <c r="V407" s="69"/>
      <c r="W407" s="65"/>
      <c r="X407" s="65"/>
      <c r="Y407" s="65"/>
      <c r="Z407" s="70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70"/>
      <c r="AL407" s="65"/>
      <c r="AM407" s="65"/>
      <c r="AN407" s="65"/>
    </row>
    <row r="408">
      <c r="B408" s="58"/>
      <c r="C408" s="58"/>
      <c r="D408" s="58"/>
      <c r="E408" s="58"/>
      <c r="F408" s="58"/>
      <c r="G408" s="58"/>
      <c r="H408" s="58"/>
      <c r="I408" s="58"/>
      <c r="J408" s="59"/>
      <c r="K408" s="60"/>
      <c r="L408" s="58"/>
      <c r="N408" s="63"/>
      <c r="O408" s="68"/>
      <c r="P408" s="68"/>
      <c r="Q408" s="68"/>
      <c r="R408" s="65"/>
      <c r="S408" s="65"/>
      <c r="T408" s="65"/>
      <c r="U408" s="65"/>
      <c r="V408" s="69"/>
      <c r="W408" s="65"/>
      <c r="X408" s="65"/>
      <c r="Y408" s="65"/>
      <c r="Z408" s="70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70"/>
      <c r="AL408" s="65"/>
      <c r="AM408" s="65"/>
      <c r="AN408" s="65"/>
    </row>
    <row r="409">
      <c r="B409" s="58"/>
      <c r="C409" s="58"/>
      <c r="D409" s="58"/>
      <c r="E409" s="58"/>
      <c r="F409" s="58"/>
      <c r="G409" s="58"/>
      <c r="H409" s="58"/>
      <c r="I409" s="58"/>
      <c r="J409" s="59"/>
      <c r="K409" s="60"/>
      <c r="L409" s="58"/>
      <c r="O409" s="68"/>
      <c r="P409" s="68"/>
      <c r="Q409" s="68"/>
      <c r="R409" s="65"/>
      <c r="S409" s="65"/>
      <c r="T409" s="65"/>
      <c r="U409" s="65"/>
      <c r="V409" s="69"/>
      <c r="W409" s="65"/>
      <c r="X409" s="65"/>
      <c r="Y409" s="65"/>
      <c r="Z409" s="70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70"/>
      <c r="AL409" s="65"/>
      <c r="AM409" s="65"/>
      <c r="AN409" s="65"/>
    </row>
    <row r="410">
      <c r="B410" s="58"/>
      <c r="C410" s="58"/>
      <c r="D410" s="58"/>
      <c r="E410" s="58"/>
      <c r="F410" s="58"/>
      <c r="G410" s="58"/>
      <c r="H410" s="58"/>
      <c r="I410" s="58"/>
      <c r="J410" s="59"/>
      <c r="K410" s="60"/>
      <c r="L410" s="58"/>
      <c r="O410" s="68"/>
      <c r="P410" s="68"/>
      <c r="Q410" s="68"/>
      <c r="R410" s="65"/>
      <c r="S410" s="65"/>
      <c r="T410" s="65"/>
      <c r="U410" s="65"/>
      <c r="V410" s="69"/>
      <c r="W410" s="65"/>
      <c r="X410" s="65"/>
      <c r="Y410" s="65"/>
      <c r="Z410" s="70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70"/>
      <c r="AL410" s="65"/>
      <c r="AM410" s="65"/>
      <c r="AN410" s="65"/>
    </row>
    <row r="411">
      <c r="B411" s="58"/>
      <c r="C411" s="58"/>
      <c r="D411" s="58"/>
      <c r="E411" s="58"/>
      <c r="F411" s="58"/>
      <c r="G411" s="58"/>
      <c r="H411" s="58"/>
      <c r="I411" s="58"/>
      <c r="J411" s="59"/>
      <c r="K411" s="60"/>
      <c r="L411" s="58"/>
      <c r="O411" s="68"/>
      <c r="P411" s="68"/>
      <c r="Q411" s="68"/>
      <c r="R411" s="65"/>
      <c r="S411" s="65"/>
      <c r="T411" s="65"/>
      <c r="U411" s="65"/>
      <c r="V411" s="69"/>
      <c r="W411" s="65"/>
      <c r="X411" s="65"/>
      <c r="Y411" s="65"/>
      <c r="Z411" s="70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70"/>
      <c r="AL411" s="65"/>
      <c r="AM411" s="65"/>
      <c r="AN411" s="65"/>
    </row>
    <row r="412">
      <c r="B412" s="58"/>
      <c r="C412" s="58"/>
      <c r="D412" s="58"/>
      <c r="E412" s="58"/>
      <c r="F412" s="58"/>
      <c r="G412" s="58"/>
      <c r="H412" s="58"/>
      <c r="I412" s="58"/>
      <c r="J412" s="59"/>
      <c r="K412" s="60"/>
      <c r="L412" s="58"/>
      <c r="O412" s="68"/>
      <c r="P412" s="68"/>
      <c r="Q412" s="68"/>
      <c r="R412" s="65"/>
      <c r="S412" s="65"/>
      <c r="T412" s="65"/>
      <c r="U412" s="65"/>
      <c r="V412" s="69"/>
      <c r="W412" s="65"/>
      <c r="X412" s="65"/>
      <c r="Y412" s="65"/>
      <c r="Z412" s="70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70"/>
      <c r="AL412" s="65"/>
      <c r="AM412" s="65"/>
      <c r="AN412" s="65"/>
    </row>
    <row r="413">
      <c r="B413" s="58"/>
      <c r="C413" s="58"/>
      <c r="D413" s="58"/>
      <c r="E413" s="58"/>
      <c r="F413" s="58"/>
      <c r="G413" s="58"/>
      <c r="H413" s="58"/>
      <c r="I413" s="58"/>
      <c r="J413" s="59"/>
      <c r="K413" s="60"/>
      <c r="L413" s="58"/>
      <c r="O413" s="68"/>
      <c r="P413" s="68"/>
      <c r="Q413" s="68"/>
      <c r="R413" s="65"/>
      <c r="S413" s="65"/>
      <c r="T413" s="65"/>
      <c r="U413" s="65"/>
      <c r="V413" s="69"/>
      <c r="W413" s="65"/>
      <c r="X413" s="65"/>
      <c r="Y413" s="65"/>
      <c r="Z413" s="70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70"/>
      <c r="AL413" s="65"/>
      <c r="AM413" s="65"/>
      <c r="AN413" s="65"/>
    </row>
    <row r="414">
      <c r="B414" s="58"/>
      <c r="C414" s="58"/>
      <c r="D414" s="58"/>
      <c r="E414" s="58"/>
      <c r="F414" s="58"/>
      <c r="G414" s="58"/>
      <c r="H414" s="58"/>
      <c r="I414" s="58"/>
      <c r="J414" s="59"/>
      <c r="K414" s="60"/>
      <c r="L414" s="58"/>
      <c r="N414" s="63"/>
      <c r="O414" s="68"/>
      <c r="P414" s="68"/>
      <c r="Q414" s="68"/>
      <c r="R414" s="65"/>
      <c r="S414" s="65"/>
      <c r="T414" s="65"/>
      <c r="U414" s="65"/>
      <c r="V414" s="69"/>
      <c r="W414" s="65"/>
      <c r="X414" s="65"/>
      <c r="Y414" s="65"/>
      <c r="Z414" s="70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70"/>
      <c r="AL414" s="65"/>
      <c r="AM414" s="65"/>
      <c r="AN414" s="65"/>
    </row>
    <row r="415">
      <c r="B415" s="58"/>
      <c r="C415" s="58"/>
      <c r="D415" s="58"/>
      <c r="E415" s="58"/>
      <c r="F415" s="58"/>
      <c r="G415" s="58"/>
      <c r="H415" s="58"/>
      <c r="I415" s="58"/>
      <c r="J415" s="59"/>
      <c r="K415" s="60"/>
      <c r="L415" s="58"/>
      <c r="O415" s="68"/>
      <c r="P415" s="68"/>
      <c r="Q415" s="68"/>
      <c r="R415" s="65"/>
      <c r="S415" s="65"/>
      <c r="T415" s="65"/>
      <c r="U415" s="65"/>
      <c r="V415" s="69"/>
      <c r="W415" s="65"/>
      <c r="X415" s="65"/>
      <c r="Y415" s="65"/>
      <c r="Z415" s="70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70"/>
      <c r="AL415" s="65"/>
      <c r="AM415" s="65"/>
      <c r="AN415" s="65"/>
    </row>
    <row r="416">
      <c r="B416" s="58" t="str">
        <f>IF(TYPE($A416)=1,"",('NO USAR2'!$L414-B$1)/B$2)</f>
        <v/>
      </c>
      <c r="C416" s="58" t="str">
        <f>IF(TYPE($A416)=1,"",('NO USAR2'!$K414-C$1)/C$2)</f>
        <v/>
      </c>
      <c r="D416" s="58" t="str">
        <f>IF(TYPE($A416)=1,"",('NO USAR2'!$M414-D$1)/D$2)</f>
        <v/>
      </c>
      <c r="E416" s="58" t="str">
        <f>IF(TYPE($A416)=1,"",('NO USAR2'!$N414-E$1)/E$2)</f>
        <v/>
      </c>
      <c r="F416" s="58" t="str">
        <f>IF(TYPE($A416)=1,"",('NO USAR2'!$O414-F$1)/F$2)</f>
        <v/>
      </c>
      <c r="G416" s="58" t="str">
        <f>IF(TYPE($A416)=1,"",('NO USAR2'!$P414-G$1)/G$2)</f>
        <v/>
      </c>
      <c r="H416" s="58" t="str">
        <f>IF(TYPE($A416)=1,"",('NO USAR2'!$H414-H$1)/H$2*I416/$I$1)</f>
        <v/>
      </c>
      <c r="I416" s="58" t="str">
        <f>IF(TYPE($A416)=1,"",IF('NO USAR2'!H414=0,0,'NO USAR2'!G414/'NO USAR2'!H414))</f>
        <v/>
      </c>
      <c r="J416" s="59" t="str">
        <f>IF(TYPE($A416)=1,"",('NO USAR2'!$J414-J$1)/J$2*K416/$K$1)</f>
        <v/>
      </c>
      <c r="K416" s="60" t="str">
        <f>IF(TYPE($A416)=1,"",IF('NO USAR2'!J414=0,0,'NO USAR2'!I414/'NO USAR2'!J414))</f>
        <v/>
      </c>
      <c r="L416" s="58" t="str">
        <f>IF(TYPE($A416)=1,"",('NO USAR2'!$Q414-L$1)/L$2)</f>
        <v/>
      </c>
      <c r="O416" s="68"/>
      <c r="P416" s="68"/>
      <c r="Q416" s="68"/>
      <c r="R416" s="65"/>
      <c r="S416" s="65"/>
      <c r="T416" s="65"/>
      <c r="U416" s="65"/>
      <c r="V416" s="69"/>
      <c r="W416" s="65"/>
      <c r="X416" s="65"/>
      <c r="Y416" s="65"/>
      <c r="Z416" s="70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70"/>
      <c r="AL416" s="65"/>
      <c r="AM416" s="65"/>
      <c r="AN416" s="65"/>
    </row>
    <row r="417">
      <c r="B417" s="58" t="str">
        <f>IF(TYPE($A417)=1,"",('NO USAR2'!$L415-B$1)/B$2)</f>
        <v/>
      </c>
      <c r="C417" s="58" t="str">
        <f>IF(TYPE($A417)=1,"",('NO USAR2'!$K415-C$1)/C$2)</f>
        <v/>
      </c>
      <c r="D417" s="58" t="str">
        <f>IF(TYPE($A417)=1,"",('NO USAR2'!$M415-D$1)/D$2)</f>
        <v/>
      </c>
      <c r="E417" s="58" t="str">
        <f>IF(TYPE($A417)=1,"",('NO USAR2'!$N415-E$1)/E$2)</f>
        <v/>
      </c>
      <c r="F417" s="58" t="str">
        <f>IF(TYPE($A417)=1,"",('NO USAR2'!$O415-F$1)/F$2)</f>
        <v/>
      </c>
      <c r="G417" s="58" t="str">
        <f>IF(TYPE($A417)=1,"",('NO USAR2'!$P415-G$1)/G$2)</f>
        <v/>
      </c>
      <c r="H417" s="58" t="str">
        <f>IF(TYPE($A417)=1,"",('NO USAR2'!$H415-H$1)/H$2*I417/$I$1)</f>
        <v/>
      </c>
      <c r="I417" s="58" t="str">
        <f>IF(TYPE($A417)=1,"",IF('NO USAR2'!H415=0,0,'NO USAR2'!G415/'NO USAR2'!H415))</f>
        <v/>
      </c>
      <c r="J417" s="59" t="str">
        <f>IF(TYPE($A417)=1,"",('NO USAR2'!$J415-J$1)/J$2*K417/$K$1)</f>
        <v/>
      </c>
      <c r="K417" s="60" t="str">
        <f>IF(TYPE($A417)=1,"",IF('NO USAR2'!J415=0,0,'NO USAR2'!I415/'NO USAR2'!J415))</f>
        <v/>
      </c>
      <c r="L417" s="58" t="str">
        <f>IF(TYPE($A417)=1,"",('NO USAR2'!$Q415-L$1)/L$2)</f>
        <v/>
      </c>
      <c r="O417" s="68"/>
      <c r="P417" s="68"/>
    </row>
    <row r="418">
      <c r="B418" s="58" t="str">
        <f>IF(TYPE($A418)=1,"",('NO USAR2'!$L416-B$1)/B$2)</f>
        <v/>
      </c>
      <c r="C418" s="58" t="str">
        <f>IF(TYPE($A418)=1,"",('NO USAR2'!$K416-C$1)/C$2)</f>
        <v/>
      </c>
      <c r="D418" s="58" t="str">
        <f>IF(TYPE($A418)=1,"",('NO USAR2'!$M416-D$1)/D$2)</f>
        <v/>
      </c>
      <c r="E418" s="58" t="str">
        <f>IF(TYPE($A418)=1,"",('NO USAR2'!$N416-E$1)/E$2)</f>
        <v/>
      </c>
      <c r="F418" s="58" t="str">
        <f>IF(TYPE($A418)=1,"",('NO USAR2'!$O416-F$1)/F$2)</f>
        <v/>
      </c>
      <c r="G418" s="58" t="str">
        <f>IF(TYPE($A418)=1,"",('NO USAR2'!$P416-G$1)/G$2)</f>
        <v/>
      </c>
      <c r="H418" s="58" t="str">
        <f>IF(TYPE($A418)=1,"",('NO USAR2'!$H416-H$1)/H$2*I418/$I$1)</f>
        <v/>
      </c>
      <c r="I418" s="58" t="str">
        <f>IF(TYPE($A418)=1,"",IF('NO USAR2'!H416=0,0,'NO USAR2'!G416/'NO USAR2'!H416))</f>
        <v/>
      </c>
      <c r="J418" s="59" t="str">
        <f>IF(TYPE($A418)=1,"",('NO USAR2'!$J416-J$1)/J$2*K418/$K$1)</f>
        <v/>
      </c>
      <c r="K418" s="60" t="str">
        <f>IF(TYPE($A418)=1,"",IF('NO USAR2'!J416=0,0,'NO USAR2'!I416/'NO USAR2'!J416))</f>
        <v/>
      </c>
      <c r="L418" s="58" t="str">
        <f>IF(TYPE($A418)=1,"",('NO USAR2'!$Q416-L$1)/L$2)</f>
        <v/>
      </c>
      <c r="O418" s="68"/>
      <c r="P418" s="68"/>
    </row>
    <row r="419">
      <c r="B419" s="58" t="str">
        <f>IF(TYPE($A419)=1,"",('NO USAR2'!$L417-B$1)/B$2)</f>
        <v/>
      </c>
      <c r="C419" s="58" t="str">
        <f>IF(TYPE($A419)=1,"",('NO USAR2'!$K417-C$1)/C$2)</f>
        <v/>
      </c>
      <c r="D419" s="58" t="str">
        <f>IF(TYPE($A419)=1,"",('NO USAR2'!$M417-D$1)/D$2)</f>
        <v/>
      </c>
      <c r="E419" s="58" t="str">
        <f>IF(TYPE($A419)=1,"",('NO USAR2'!$N417-E$1)/E$2)</f>
        <v/>
      </c>
      <c r="F419" s="58" t="str">
        <f>IF(TYPE($A419)=1,"",('NO USAR2'!$O417-F$1)/F$2)</f>
        <v/>
      </c>
      <c r="G419" s="58" t="str">
        <f>IF(TYPE($A419)=1,"",('NO USAR2'!$P417-G$1)/G$2)</f>
        <v/>
      </c>
      <c r="H419" s="58" t="str">
        <f>IF(TYPE($A419)=1,"",('NO USAR2'!$H417-H$1)/H$2*I419/$I$1)</f>
        <v/>
      </c>
      <c r="I419" s="58" t="str">
        <f>IF(TYPE($A419)=1,"",IF('NO USAR2'!H417=0,0,'NO USAR2'!G417/'NO USAR2'!H417))</f>
        <v/>
      </c>
      <c r="J419" s="59" t="str">
        <f>IF(TYPE($A419)=1,"",('NO USAR2'!$J417-J$1)/J$2*K419/$K$1)</f>
        <v/>
      </c>
      <c r="K419" s="60" t="str">
        <f>IF(TYPE($A419)=1,"",IF('NO USAR2'!J417=0,0,'NO USAR2'!I417/'NO USAR2'!J417))</f>
        <v/>
      </c>
      <c r="L419" s="58" t="str">
        <f>IF(TYPE($A419)=1,"",('NO USAR2'!$Q417-L$1)/L$2)</f>
        <v/>
      </c>
      <c r="O419" s="68"/>
      <c r="P419" s="68"/>
    </row>
    <row r="420">
      <c r="B420" s="58" t="str">
        <f>IF(TYPE($A420)=1,"",('NO USAR2'!$L418-B$1)/B$2)</f>
        <v/>
      </c>
      <c r="C420" s="58" t="str">
        <f>IF(TYPE($A420)=1,"",('NO USAR2'!$K418-C$1)/C$2)</f>
        <v/>
      </c>
      <c r="D420" s="58" t="str">
        <f>IF(TYPE($A420)=1,"",('NO USAR2'!$M418-D$1)/D$2)</f>
        <v/>
      </c>
      <c r="E420" s="58" t="str">
        <f>IF(TYPE($A420)=1,"",('NO USAR2'!$N418-E$1)/E$2)</f>
        <v/>
      </c>
      <c r="F420" s="58" t="str">
        <f>IF(TYPE($A420)=1,"",('NO USAR2'!$O418-F$1)/F$2)</f>
        <v/>
      </c>
      <c r="G420" s="58" t="str">
        <f>IF(TYPE($A420)=1,"",('NO USAR2'!$P418-G$1)/G$2)</f>
        <v/>
      </c>
      <c r="H420" s="58" t="str">
        <f>IF(TYPE($A420)=1,"",('NO USAR2'!$H418-H$1)/H$2*I420/$I$1)</f>
        <v/>
      </c>
      <c r="I420" s="58" t="str">
        <f>IF(TYPE($A420)=1,"",IF('NO USAR2'!H418=0,0,'NO USAR2'!G418/'NO USAR2'!H418))</f>
        <v/>
      </c>
      <c r="J420" s="59" t="str">
        <f>IF(TYPE($A420)=1,"",('NO USAR2'!$J418-J$1)/J$2*K420/$K$1)</f>
        <v/>
      </c>
      <c r="K420" s="60" t="str">
        <f>IF(TYPE($A420)=1,"",IF('NO USAR2'!J418=0,0,'NO USAR2'!I418/'NO USAR2'!J418))</f>
        <v/>
      </c>
      <c r="L420" s="58" t="str">
        <f>IF(TYPE($A420)=1,"",('NO USAR2'!$Q418-L$1)/L$2)</f>
        <v/>
      </c>
      <c r="O420" s="68"/>
      <c r="P420" s="68"/>
    </row>
    <row r="421">
      <c r="B421" s="58" t="str">
        <f>IF(TYPE($A421)=1,"",('NO USAR2'!$L419-B$1)/B$2)</f>
        <v/>
      </c>
      <c r="C421" s="58" t="str">
        <f>IF(TYPE($A421)=1,"",('NO USAR2'!$K419-C$1)/C$2)</f>
        <v/>
      </c>
      <c r="D421" s="58" t="str">
        <f>IF(TYPE($A421)=1,"",('NO USAR2'!$M419-D$1)/D$2)</f>
        <v/>
      </c>
      <c r="E421" s="58" t="str">
        <f>IF(TYPE($A421)=1,"",('NO USAR2'!$N419-E$1)/E$2)</f>
        <v/>
      </c>
      <c r="F421" s="58" t="str">
        <f>IF(TYPE($A421)=1,"",('NO USAR2'!$O419-F$1)/F$2)</f>
        <v/>
      </c>
      <c r="G421" s="58" t="str">
        <f>IF(TYPE($A421)=1,"",('NO USAR2'!$P419-G$1)/G$2)</f>
        <v/>
      </c>
      <c r="H421" s="58" t="str">
        <f>IF(TYPE($A421)=1,"",('NO USAR2'!$H419-H$1)/H$2*I421/$I$1)</f>
        <v/>
      </c>
      <c r="I421" s="58" t="str">
        <f>IF(TYPE($A421)=1,"",IF('NO USAR2'!H419=0,0,'NO USAR2'!G419/'NO USAR2'!H419))</f>
        <v/>
      </c>
      <c r="J421" s="59" t="str">
        <f>IF(TYPE($A421)=1,"",('NO USAR2'!$J419-J$1)/J$2*K421/$K$1)</f>
        <v/>
      </c>
      <c r="K421" s="60" t="str">
        <f>IF(TYPE($A421)=1,"",IF('NO USAR2'!J419=0,0,'NO USAR2'!I419/'NO USAR2'!J419))</f>
        <v/>
      </c>
      <c r="L421" s="58" t="str">
        <f>IF(TYPE($A421)=1,"",('NO USAR2'!$Q419-L$1)/L$2)</f>
        <v/>
      </c>
      <c r="O421" s="68"/>
      <c r="P421" s="68"/>
    </row>
    <row r="422">
      <c r="B422" s="58" t="str">
        <f>IF(TYPE($A422)=1,"",('NO USAR2'!$L420-B$1)/B$2)</f>
        <v/>
      </c>
      <c r="C422" s="58" t="str">
        <f>IF(TYPE($A422)=1,"",('NO USAR2'!$K420-C$1)/C$2)</f>
        <v/>
      </c>
      <c r="D422" s="58" t="str">
        <f>IF(TYPE($A422)=1,"",('NO USAR2'!$M420-D$1)/D$2)</f>
        <v/>
      </c>
      <c r="E422" s="58" t="str">
        <f>IF(TYPE($A422)=1,"",('NO USAR2'!$N420-E$1)/E$2)</f>
        <v/>
      </c>
      <c r="F422" s="58" t="str">
        <f>IF(TYPE($A422)=1,"",('NO USAR2'!$O420-F$1)/F$2)</f>
        <v/>
      </c>
      <c r="G422" s="58" t="str">
        <f>IF(TYPE($A422)=1,"",('NO USAR2'!$P420-G$1)/G$2)</f>
        <v/>
      </c>
      <c r="H422" s="58" t="str">
        <f>IF(TYPE($A422)=1,"",('NO USAR2'!$H420-H$1)/H$2*I422/$I$1)</f>
        <v/>
      </c>
      <c r="I422" s="58" t="str">
        <f>IF(TYPE($A422)=1,"",IF('NO USAR2'!H420=0,0,'NO USAR2'!G420/'NO USAR2'!H420))</f>
        <v/>
      </c>
      <c r="J422" s="59" t="str">
        <f>IF(TYPE($A422)=1,"",('NO USAR2'!$J420-J$1)/J$2*K422/$K$1)</f>
        <v/>
      </c>
      <c r="K422" s="60" t="str">
        <f>IF(TYPE($A422)=1,"",IF('NO USAR2'!J420=0,0,'NO USAR2'!I420/'NO USAR2'!J420))</f>
        <v/>
      </c>
      <c r="L422" s="58" t="str">
        <f>IF(TYPE($A422)=1,"",('NO USAR2'!$Q420-L$1)/L$2)</f>
        <v/>
      </c>
      <c r="O422" s="68"/>
      <c r="P422" s="68"/>
    </row>
    <row r="423">
      <c r="B423" s="58" t="str">
        <f>IF(TYPE($A423)=1,"",('NO USAR2'!$L421-B$1)/B$2)</f>
        <v/>
      </c>
      <c r="C423" s="58" t="str">
        <f>IF(TYPE($A423)=1,"",('NO USAR2'!$K421-C$1)/C$2)</f>
        <v/>
      </c>
      <c r="D423" s="58" t="str">
        <f>IF(TYPE($A423)=1,"",('NO USAR2'!$M421-D$1)/D$2)</f>
        <v/>
      </c>
      <c r="E423" s="58" t="str">
        <f>IF(TYPE($A423)=1,"",('NO USAR2'!$N421-E$1)/E$2)</f>
        <v/>
      </c>
      <c r="F423" s="58" t="str">
        <f>IF(TYPE($A423)=1,"",('NO USAR2'!$O421-F$1)/F$2)</f>
        <v/>
      </c>
      <c r="G423" s="58" t="str">
        <f>IF(TYPE($A423)=1,"",('NO USAR2'!$P421-G$1)/G$2)</f>
        <v/>
      </c>
      <c r="H423" s="58" t="str">
        <f>IF(TYPE($A423)=1,"",('NO USAR2'!$H421-H$1)/H$2*I423/$I$1)</f>
        <v/>
      </c>
      <c r="I423" s="58" t="str">
        <f>IF(TYPE($A423)=1,"",IF('NO USAR2'!H421=0,0,'NO USAR2'!G421/'NO USAR2'!H421))</f>
        <v/>
      </c>
      <c r="J423" s="59" t="str">
        <f>IF(TYPE($A423)=1,"",('NO USAR2'!$J421-J$1)/J$2*K423/$K$1)</f>
        <v/>
      </c>
      <c r="K423" s="60" t="str">
        <f>IF(TYPE($A423)=1,"",IF('NO USAR2'!J421=0,0,'NO USAR2'!I421/'NO USAR2'!J421))</f>
        <v/>
      </c>
      <c r="L423" s="58" t="str">
        <f>IF(TYPE($A423)=1,"",('NO USAR2'!$Q421-L$1)/L$2)</f>
        <v/>
      </c>
      <c r="O423" s="68"/>
      <c r="P423" s="68"/>
    </row>
    <row r="424">
      <c r="B424" s="58" t="str">
        <f>IF(TYPE($A424)=1,"",('NO USAR2'!$L422-B$1)/B$2)</f>
        <v/>
      </c>
      <c r="C424" s="58" t="str">
        <f>IF(TYPE($A424)=1,"",('NO USAR2'!$K422-C$1)/C$2)</f>
        <v/>
      </c>
      <c r="D424" s="58" t="str">
        <f>IF(TYPE($A424)=1,"",('NO USAR2'!$M422-D$1)/D$2)</f>
        <v/>
      </c>
      <c r="E424" s="58" t="str">
        <f>IF(TYPE($A424)=1,"",('NO USAR2'!$N422-E$1)/E$2)</f>
        <v/>
      </c>
      <c r="F424" s="58" t="str">
        <f>IF(TYPE($A424)=1,"",('NO USAR2'!$O422-F$1)/F$2)</f>
        <v/>
      </c>
      <c r="G424" s="58" t="str">
        <f>IF(TYPE($A424)=1,"",('NO USAR2'!$P422-G$1)/G$2)</f>
        <v/>
      </c>
      <c r="H424" s="58" t="str">
        <f>IF(TYPE($A424)=1,"",('NO USAR2'!$H422-H$1)/H$2*I424/$I$1)</f>
        <v/>
      </c>
      <c r="I424" s="58" t="str">
        <f>IF(TYPE($A424)=1,"",IF('NO USAR2'!H422=0,0,'NO USAR2'!G422/'NO USAR2'!H422))</f>
        <v/>
      </c>
      <c r="J424" s="59" t="str">
        <f>IF(TYPE($A424)=1,"",('NO USAR2'!$J422-J$1)/J$2*K424/$K$1)</f>
        <v/>
      </c>
      <c r="K424" s="60" t="str">
        <f>IF(TYPE($A424)=1,"",IF('NO USAR2'!J422=0,0,'NO USAR2'!I422/'NO USAR2'!J422))</f>
        <v/>
      </c>
      <c r="L424" s="58" t="str">
        <f>IF(TYPE($A424)=1,"",('NO USAR2'!$Q422-L$1)/L$2)</f>
        <v/>
      </c>
      <c r="O424" s="68"/>
      <c r="P424" s="68"/>
    </row>
    <row r="425">
      <c r="B425" s="58" t="str">
        <f>IF(TYPE($A425)=1,"",('NO USAR2'!$L423-B$1)/B$2)</f>
        <v/>
      </c>
      <c r="C425" s="58" t="str">
        <f>IF(TYPE($A425)=1,"",('NO USAR2'!$K423-C$1)/C$2)</f>
        <v/>
      </c>
      <c r="D425" s="58" t="str">
        <f>IF(TYPE($A425)=1,"",('NO USAR2'!$M423-D$1)/D$2)</f>
        <v/>
      </c>
      <c r="E425" s="58" t="str">
        <f>IF(TYPE($A425)=1,"",('NO USAR2'!$N423-E$1)/E$2)</f>
        <v/>
      </c>
      <c r="F425" s="58" t="str">
        <f>IF(TYPE($A425)=1,"",('NO USAR2'!$O423-F$1)/F$2)</f>
        <v/>
      </c>
      <c r="G425" s="58" t="str">
        <f>IF(TYPE($A425)=1,"",('NO USAR2'!$P423-G$1)/G$2)</f>
        <v/>
      </c>
      <c r="H425" s="58" t="str">
        <f>IF(TYPE($A425)=1,"",('NO USAR2'!$H423-H$1)/H$2*I425/$I$1)</f>
        <v/>
      </c>
      <c r="I425" s="58" t="str">
        <f>IF(TYPE($A425)=1,"",IF('NO USAR2'!H423=0,0,'NO USAR2'!G423/'NO USAR2'!H423))</f>
        <v/>
      </c>
      <c r="J425" s="59" t="str">
        <f>IF(TYPE($A425)=1,"",('NO USAR2'!$J423-J$1)/J$2*K425/$K$1)</f>
        <v/>
      </c>
      <c r="K425" s="60" t="str">
        <f>IF(TYPE($A425)=1,"",IF('NO USAR2'!J423=0,0,'NO USAR2'!I423/'NO USAR2'!J423))</f>
        <v/>
      </c>
      <c r="L425" s="58" t="str">
        <f>IF(TYPE($A425)=1,"",('NO USAR2'!$Q423-L$1)/L$2)</f>
        <v/>
      </c>
      <c r="O425" s="68"/>
      <c r="P425" s="68"/>
    </row>
    <row r="426">
      <c r="B426" s="58" t="str">
        <f>IF(TYPE($A426)=1,"",('NO USAR2'!$L424-B$1)/B$2)</f>
        <v/>
      </c>
      <c r="C426" s="58" t="str">
        <f>IF(TYPE($A426)=1,"",('NO USAR2'!$K424-C$1)/C$2)</f>
        <v/>
      </c>
      <c r="D426" s="58" t="str">
        <f>IF(TYPE($A426)=1,"",('NO USAR2'!$M424-D$1)/D$2)</f>
        <v/>
      </c>
      <c r="E426" s="58" t="str">
        <f>IF(TYPE($A426)=1,"",('NO USAR2'!$N424-E$1)/E$2)</f>
        <v/>
      </c>
      <c r="F426" s="58" t="str">
        <f>IF(TYPE($A426)=1,"",('NO USAR2'!$O424-F$1)/F$2)</f>
        <v/>
      </c>
      <c r="G426" s="58" t="str">
        <f>IF(TYPE($A426)=1,"",('NO USAR2'!$P424-G$1)/G$2)</f>
        <v/>
      </c>
      <c r="H426" s="58" t="str">
        <f>IF(TYPE($A426)=1,"",('NO USAR2'!$H424-H$1)/H$2*I426/$I$1)</f>
        <v/>
      </c>
      <c r="I426" s="58" t="str">
        <f>IF(TYPE($A426)=1,"",IF('NO USAR2'!H424=0,0,'NO USAR2'!G424/'NO USAR2'!H424))</f>
        <v/>
      </c>
      <c r="J426" s="59" t="str">
        <f>IF(TYPE($A426)=1,"",('NO USAR2'!$J424-J$1)/J$2*K426/$K$1)</f>
        <v/>
      </c>
      <c r="K426" s="60" t="str">
        <f>IF(TYPE($A426)=1,"",IF('NO USAR2'!J424=0,0,'NO USAR2'!I424/'NO USAR2'!J424))</f>
        <v/>
      </c>
      <c r="L426" s="58" t="str">
        <f>IF(TYPE($A426)=1,"",('NO USAR2'!$Q424-L$1)/L$2)</f>
        <v/>
      </c>
      <c r="O426" s="68"/>
      <c r="P426" s="68"/>
    </row>
    <row r="427">
      <c r="B427" s="58" t="str">
        <f>IF(TYPE($A427)=1,"",('NO USAR2'!$L425-B$1)/B$2)</f>
        <v/>
      </c>
      <c r="C427" s="58" t="str">
        <f>IF(TYPE($A427)=1,"",('NO USAR2'!$K425-C$1)/C$2)</f>
        <v/>
      </c>
      <c r="D427" s="58" t="str">
        <f>IF(TYPE($A427)=1,"",('NO USAR2'!$M425-D$1)/D$2)</f>
        <v/>
      </c>
      <c r="E427" s="58" t="str">
        <f>IF(TYPE($A427)=1,"",('NO USAR2'!$N425-E$1)/E$2)</f>
        <v/>
      </c>
      <c r="F427" s="58" t="str">
        <f>IF(TYPE($A427)=1,"",('NO USAR2'!$O425-F$1)/F$2)</f>
        <v/>
      </c>
      <c r="G427" s="58" t="str">
        <f>IF(TYPE($A427)=1,"",('NO USAR2'!$P425-G$1)/G$2)</f>
        <v/>
      </c>
      <c r="H427" s="58" t="str">
        <f>IF(TYPE($A427)=1,"",('NO USAR2'!$H425-H$1)/H$2*I427/$I$1)</f>
        <v/>
      </c>
      <c r="I427" s="58" t="str">
        <f>IF(TYPE($A427)=1,"",IF('NO USAR2'!H425=0,0,'NO USAR2'!G425/'NO USAR2'!H425))</f>
        <v/>
      </c>
      <c r="J427" s="59" t="str">
        <f>IF(TYPE($A427)=1,"",('NO USAR2'!$J425-J$1)/J$2*K427/$K$1)</f>
        <v/>
      </c>
      <c r="K427" s="60" t="str">
        <f>IF(TYPE($A427)=1,"",IF('NO USAR2'!J425=0,0,'NO USAR2'!I425/'NO USAR2'!J425))</f>
        <v/>
      </c>
      <c r="L427" s="58" t="str">
        <f>IF(TYPE($A427)=1,"",('NO USAR2'!$Q425-L$1)/L$2)</f>
        <v/>
      </c>
      <c r="O427" s="68"/>
      <c r="P427" s="68"/>
    </row>
    <row r="428">
      <c r="B428" s="58" t="str">
        <f>IF(TYPE($A428)=1,"",('NO USAR2'!$L426-B$1)/B$2)</f>
        <v/>
      </c>
      <c r="C428" s="58" t="str">
        <f>IF(TYPE($A428)=1,"",('NO USAR2'!$K426-C$1)/C$2)</f>
        <v/>
      </c>
      <c r="D428" s="58" t="str">
        <f>IF(TYPE($A428)=1,"",('NO USAR2'!$M426-D$1)/D$2)</f>
        <v/>
      </c>
      <c r="E428" s="58" t="str">
        <f>IF(TYPE($A428)=1,"",('NO USAR2'!$N426-E$1)/E$2)</f>
        <v/>
      </c>
      <c r="F428" s="58" t="str">
        <f>IF(TYPE($A428)=1,"",('NO USAR2'!$O426-F$1)/F$2)</f>
        <v/>
      </c>
      <c r="G428" s="58" t="str">
        <f>IF(TYPE($A428)=1,"",('NO USAR2'!$P426-G$1)/G$2)</f>
        <v/>
      </c>
      <c r="H428" s="58" t="str">
        <f>IF(TYPE($A428)=1,"",('NO USAR2'!$H426-H$1)/H$2*I428/$I$1)</f>
        <v/>
      </c>
      <c r="I428" s="58" t="str">
        <f>IF(TYPE($A428)=1,"",IF('NO USAR2'!H426=0,0,'NO USAR2'!G426/'NO USAR2'!H426))</f>
        <v/>
      </c>
      <c r="J428" s="59" t="str">
        <f>IF(TYPE($A428)=1,"",('NO USAR2'!$J426-J$1)/J$2*K428/$K$1)</f>
        <v/>
      </c>
      <c r="K428" s="60" t="str">
        <f>IF(TYPE($A428)=1,"",IF('NO USAR2'!J426=0,0,'NO USAR2'!I426/'NO USAR2'!J426))</f>
        <v/>
      </c>
      <c r="L428" s="58" t="str">
        <f>IF(TYPE($A428)=1,"",('NO USAR2'!$Q426-L$1)/L$2)</f>
        <v/>
      </c>
      <c r="O428" s="68"/>
      <c r="P428" s="68"/>
    </row>
    <row r="429">
      <c r="B429" s="58" t="str">
        <f>IF(TYPE($A429)=1,"",('NO USAR2'!$L427-B$1)/B$2)</f>
        <v/>
      </c>
      <c r="C429" s="58" t="str">
        <f>IF(TYPE($A429)=1,"",('NO USAR2'!$K427-C$1)/C$2)</f>
        <v/>
      </c>
      <c r="D429" s="58" t="str">
        <f>IF(TYPE($A429)=1,"",('NO USAR2'!$M427-D$1)/D$2)</f>
        <v/>
      </c>
      <c r="E429" s="58" t="str">
        <f>IF(TYPE($A429)=1,"",('NO USAR2'!$N427-E$1)/E$2)</f>
        <v/>
      </c>
      <c r="F429" s="58" t="str">
        <f>IF(TYPE($A429)=1,"",('NO USAR2'!$O427-F$1)/F$2)</f>
        <v/>
      </c>
      <c r="G429" s="58" t="str">
        <f>IF(TYPE($A429)=1,"",('NO USAR2'!$P427-G$1)/G$2)</f>
        <v/>
      </c>
      <c r="H429" s="58" t="str">
        <f>IF(TYPE($A429)=1,"",('NO USAR2'!$H427-H$1)/H$2*I429/$I$1)</f>
        <v/>
      </c>
      <c r="I429" s="58" t="str">
        <f>IF(TYPE($A429)=1,"",IF('NO USAR2'!H427=0,0,'NO USAR2'!G427/'NO USAR2'!H427))</f>
        <v/>
      </c>
      <c r="J429" s="59" t="str">
        <f>IF(TYPE($A429)=1,"",('NO USAR2'!$J427-J$1)/J$2*K429/$K$1)</f>
        <v/>
      </c>
      <c r="K429" s="60" t="str">
        <f>IF(TYPE($A429)=1,"",IF('NO USAR2'!J427=0,0,'NO USAR2'!I427/'NO USAR2'!J427))</f>
        <v/>
      </c>
      <c r="L429" s="58" t="str">
        <f>IF(TYPE($A429)=1,"",('NO USAR2'!$Q427-L$1)/L$2)</f>
        <v/>
      </c>
      <c r="O429" s="68"/>
      <c r="P429" s="68"/>
    </row>
    <row r="430">
      <c r="B430" s="58" t="str">
        <f>IF(TYPE($A430)=1,"",('NO USAR2'!$L428-B$1)/B$2)</f>
        <v/>
      </c>
      <c r="C430" s="58" t="str">
        <f>IF(TYPE($A430)=1,"",('NO USAR2'!$K428-C$1)/C$2)</f>
        <v/>
      </c>
      <c r="D430" s="58" t="str">
        <f>IF(TYPE($A430)=1,"",('NO USAR2'!$M428-D$1)/D$2)</f>
        <v/>
      </c>
      <c r="E430" s="58" t="str">
        <f>IF(TYPE($A430)=1,"",('NO USAR2'!$N428-E$1)/E$2)</f>
        <v/>
      </c>
      <c r="F430" s="58" t="str">
        <f>IF(TYPE($A430)=1,"",('NO USAR2'!$O428-F$1)/F$2)</f>
        <v/>
      </c>
      <c r="G430" s="58" t="str">
        <f>IF(TYPE($A430)=1,"",('NO USAR2'!$P428-G$1)/G$2)</f>
        <v/>
      </c>
      <c r="H430" s="58" t="str">
        <f>IF(TYPE($A430)=1,"",('NO USAR2'!$H428-H$1)/H$2*I430/$I$1)</f>
        <v/>
      </c>
      <c r="I430" s="58" t="str">
        <f>IF(TYPE($A430)=1,"",IF('NO USAR2'!H428=0,0,'NO USAR2'!G428/'NO USAR2'!H428))</f>
        <v/>
      </c>
      <c r="J430" s="59" t="str">
        <f>IF(TYPE($A430)=1,"",('NO USAR2'!$J428-J$1)/J$2*K430/$K$1)</f>
        <v/>
      </c>
      <c r="K430" s="60" t="str">
        <f>IF(TYPE($A430)=1,"",IF('NO USAR2'!J428=0,0,'NO USAR2'!I428/'NO USAR2'!J428))</f>
        <v/>
      </c>
      <c r="L430" s="58" t="str">
        <f>IF(TYPE($A430)=1,"",('NO USAR2'!$Q428-L$1)/L$2)</f>
        <v/>
      </c>
      <c r="O430" s="68"/>
      <c r="P430" s="68"/>
    </row>
    <row r="431">
      <c r="B431" s="58" t="str">
        <f>IF(TYPE($A431)=1,"",('NO USAR2'!$L429-B$1)/B$2)</f>
        <v/>
      </c>
      <c r="C431" s="58" t="str">
        <f>IF(TYPE($A431)=1,"",('NO USAR2'!$K429-C$1)/C$2)</f>
        <v/>
      </c>
      <c r="D431" s="58" t="str">
        <f>IF(TYPE($A431)=1,"",('NO USAR2'!$M429-D$1)/D$2)</f>
        <v/>
      </c>
      <c r="E431" s="58" t="str">
        <f>IF(TYPE($A431)=1,"",('NO USAR2'!$N429-E$1)/E$2)</f>
        <v/>
      </c>
      <c r="F431" s="58" t="str">
        <f>IF(TYPE($A431)=1,"",('NO USAR2'!$O429-F$1)/F$2)</f>
        <v/>
      </c>
      <c r="G431" s="58" t="str">
        <f>IF(TYPE($A431)=1,"",('NO USAR2'!$P429-G$1)/G$2)</f>
        <v/>
      </c>
      <c r="H431" s="58" t="str">
        <f>IF(TYPE($A431)=1,"",('NO USAR2'!$H429-H$1)/H$2*I431/$I$1)</f>
        <v/>
      </c>
      <c r="I431" s="58" t="str">
        <f>IF(TYPE($A431)=1,"",IF('NO USAR2'!H429=0,0,'NO USAR2'!G429/'NO USAR2'!H429))</f>
        <v/>
      </c>
      <c r="J431" s="59" t="str">
        <f>IF(TYPE($A431)=1,"",('NO USAR2'!$J429-J$1)/J$2*K431/$K$1)</f>
        <v/>
      </c>
      <c r="K431" s="60" t="str">
        <f>IF(TYPE($A431)=1,"",IF('NO USAR2'!J429=0,0,'NO USAR2'!I429/'NO USAR2'!J429))</f>
        <v/>
      </c>
      <c r="L431" s="58" t="str">
        <f>IF(TYPE($A431)=1,"",('NO USAR2'!$Q429-L$1)/L$2)</f>
        <v/>
      </c>
    </row>
    <row r="432">
      <c r="B432" s="58" t="str">
        <f>IF(TYPE($A432)=1,"",('NO USAR2'!$L430-B$1)/B$2)</f>
        <v/>
      </c>
      <c r="C432" s="58" t="str">
        <f>IF(TYPE($A432)=1,"",('NO USAR2'!$K430-C$1)/C$2)</f>
        <v/>
      </c>
      <c r="D432" s="58" t="str">
        <f>IF(TYPE($A432)=1,"",('NO USAR2'!$M430-D$1)/D$2)</f>
        <v/>
      </c>
      <c r="E432" s="58" t="str">
        <f>IF(TYPE($A432)=1,"",('NO USAR2'!$N430-E$1)/E$2)</f>
        <v/>
      </c>
      <c r="F432" s="58" t="str">
        <f>IF(TYPE($A432)=1,"",('NO USAR2'!$O430-F$1)/F$2)</f>
        <v/>
      </c>
      <c r="G432" s="58" t="str">
        <f>IF(TYPE($A432)=1,"",('NO USAR2'!$P430-G$1)/G$2)</f>
        <v/>
      </c>
      <c r="H432" s="58" t="str">
        <f>IF(TYPE($A432)=1,"",('NO USAR2'!$H430-H$1)/H$2*I432/$I$1)</f>
        <v/>
      </c>
      <c r="I432" s="58" t="str">
        <f>IF(TYPE($A432)=1,"",IF('NO USAR2'!H430=0,0,'NO USAR2'!G430/'NO USAR2'!H430))</f>
        <v/>
      </c>
      <c r="J432" s="59" t="str">
        <f>IF(TYPE($A432)=1,"",('NO USAR2'!$J430-J$1)/J$2*K432/$K$1)</f>
        <v/>
      </c>
      <c r="K432" s="60" t="str">
        <f>IF(TYPE($A432)=1,"",IF('NO USAR2'!J430=0,0,'NO USAR2'!I430/'NO USAR2'!J430))</f>
        <v/>
      </c>
      <c r="L432" s="58" t="str">
        <f>IF(TYPE($A432)=1,"",('NO USAR2'!$Q430-L$1)/L$2)</f>
        <v/>
      </c>
    </row>
    <row r="433">
      <c r="B433" s="58" t="str">
        <f>IF(TYPE($A433)=1,"",('NO USAR2'!$L431-B$1)/B$2)</f>
        <v/>
      </c>
      <c r="C433" s="58" t="str">
        <f>IF(TYPE($A433)=1,"",('NO USAR2'!$K431-C$1)/C$2)</f>
        <v/>
      </c>
      <c r="D433" s="58" t="str">
        <f>IF(TYPE($A433)=1,"",('NO USAR2'!$M431-D$1)/D$2)</f>
        <v/>
      </c>
      <c r="E433" s="58" t="str">
        <f>IF(TYPE($A433)=1,"",('NO USAR2'!$N431-E$1)/E$2)</f>
        <v/>
      </c>
      <c r="F433" s="58" t="str">
        <f>IF(TYPE($A433)=1,"",('NO USAR2'!$O431-F$1)/F$2)</f>
        <v/>
      </c>
      <c r="G433" s="58" t="str">
        <f>IF(TYPE($A433)=1,"",('NO USAR2'!$P431-G$1)/G$2)</f>
        <v/>
      </c>
      <c r="H433" s="58" t="str">
        <f>IF(TYPE($A433)=1,"",('NO USAR2'!$H431-H$1)/H$2*I433/$I$1)</f>
        <v/>
      </c>
      <c r="I433" s="58" t="str">
        <f>IF(TYPE($A433)=1,"",IF('NO USAR2'!H431=0,0,'NO USAR2'!G431/'NO USAR2'!H431))</f>
        <v/>
      </c>
      <c r="J433" s="59" t="str">
        <f>IF(TYPE($A433)=1,"",('NO USAR2'!$J431-J$1)/J$2*K433/$K$1)</f>
        <v/>
      </c>
      <c r="K433" s="60" t="str">
        <f>IF(TYPE($A433)=1,"",IF('NO USAR2'!J431=0,0,'NO USAR2'!I431/'NO USAR2'!J431))</f>
        <v/>
      </c>
      <c r="L433" s="58" t="str">
        <f>IF(TYPE($A433)=1,"",('NO USAR2'!$Q431-L$1)/L$2)</f>
        <v/>
      </c>
    </row>
    <row r="434">
      <c r="B434" s="58" t="str">
        <f>IF(TYPE($A434)=1,"",('NO USAR2'!$L432-B$1)/B$2)</f>
        <v/>
      </c>
      <c r="C434" s="58" t="str">
        <f>IF(TYPE($A434)=1,"",('NO USAR2'!$K432-C$1)/C$2)</f>
        <v/>
      </c>
      <c r="D434" s="58" t="str">
        <f>IF(TYPE($A434)=1,"",('NO USAR2'!$M432-D$1)/D$2)</f>
        <v/>
      </c>
      <c r="E434" s="58" t="str">
        <f>IF(TYPE($A434)=1,"",('NO USAR2'!$N432-E$1)/E$2)</f>
        <v/>
      </c>
      <c r="F434" s="58" t="str">
        <f>IF(TYPE($A434)=1,"",('NO USAR2'!$O432-F$1)/F$2)</f>
        <v/>
      </c>
      <c r="G434" s="58" t="str">
        <f>IF(TYPE($A434)=1,"",('NO USAR2'!$P432-G$1)/G$2)</f>
        <v/>
      </c>
      <c r="H434" s="58" t="str">
        <f>IF(TYPE($A434)=1,"",('NO USAR2'!$H432-H$1)/H$2*I434/$I$1)</f>
        <v/>
      </c>
      <c r="I434" s="58" t="str">
        <f>IF(TYPE($A434)=1,"",IF('NO USAR2'!H432=0,0,'NO USAR2'!G432/'NO USAR2'!H432))</f>
        <v/>
      </c>
      <c r="J434" s="59" t="str">
        <f>IF(TYPE($A434)=1,"",('NO USAR2'!$J432-J$1)/J$2*K434/$K$1)</f>
        <v/>
      </c>
      <c r="K434" s="60" t="str">
        <f>IF(TYPE($A434)=1,"",IF('NO USAR2'!J432=0,0,'NO USAR2'!I432/'NO USAR2'!J432))</f>
        <v/>
      </c>
      <c r="L434" s="58" t="str">
        <f>IF(TYPE($A434)=1,"",('NO USAR2'!$Q432-L$1)/L$2)</f>
        <v/>
      </c>
    </row>
    <row r="435">
      <c r="B435" s="58" t="str">
        <f>IF(TYPE($A435)=1,"",('NO USAR2'!$L433-B$1)/B$2)</f>
        <v/>
      </c>
      <c r="C435" s="58" t="str">
        <f>IF(TYPE($A435)=1,"",('NO USAR2'!$K433-C$1)/C$2)</f>
        <v/>
      </c>
      <c r="D435" s="58" t="str">
        <f>IF(TYPE($A435)=1,"",('NO USAR2'!$M433-D$1)/D$2)</f>
        <v/>
      </c>
      <c r="E435" s="58" t="str">
        <f>IF(TYPE($A435)=1,"",('NO USAR2'!$N433-E$1)/E$2)</f>
        <v/>
      </c>
      <c r="F435" s="58" t="str">
        <f>IF(TYPE($A435)=1,"",('NO USAR2'!$O433-F$1)/F$2)</f>
        <v/>
      </c>
      <c r="G435" s="58" t="str">
        <f>IF(TYPE($A435)=1,"",('NO USAR2'!$P433-G$1)/G$2)</f>
        <v/>
      </c>
      <c r="H435" s="58" t="str">
        <f>IF(TYPE($A435)=1,"",('NO USAR2'!$H433-H$1)/H$2*I435/$I$1)</f>
        <v/>
      </c>
      <c r="I435" s="58" t="str">
        <f>IF(TYPE($A435)=1,"",IF('NO USAR2'!H433=0,0,'NO USAR2'!G433/'NO USAR2'!H433))</f>
        <v/>
      </c>
      <c r="J435" s="59" t="str">
        <f>IF(TYPE($A435)=1,"",('NO USAR2'!$J433-J$1)/J$2*K435/$K$1)</f>
        <v/>
      </c>
      <c r="K435" s="60" t="str">
        <f>IF(TYPE($A435)=1,"",IF('NO USAR2'!J433=0,0,'NO USAR2'!I433/'NO USAR2'!J433))</f>
        <v/>
      </c>
      <c r="L435" s="58" t="str">
        <f>IF(TYPE($A435)=1,"",('NO USAR2'!$Q433-L$1)/L$2)</f>
        <v/>
      </c>
    </row>
    <row r="436">
      <c r="B436" s="58" t="str">
        <f>IF(TYPE($A436)=1,"",('NO USAR2'!$L434-B$1)/B$2)</f>
        <v/>
      </c>
      <c r="C436" s="58" t="str">
        <f>IF(TYPE($A436)=1,"",('NO USAR2'!$K434-C$1)/C$2)</f>
        <v/>
      </c>
      <c r="D436" s="58" t="str">
        <f>IF(TYPE($A436)=1,"",('NO USAR2'!$M434-D$1)/D$2)</f>
        <v/>
      </c>
      <c r="E436" s="58" t="str">
        <f>IF(TYPE($A436)=1,"",('NO USAR2'!$N434-E$1)/E$2)</f>
        <v/>
      </c>
      <c r="F436" s="58" t="str">
        <f>IF(TYPE($A436)=1,"",('NO USAR2'!$O434-F$1)/F$2)</f>
        <v/>
      </c>
      <c r="G436" s="58" t="str">
        <f>IF(TYPE($A436)=1,"",('NO USAR2'!$P434-G$1)/G$2)</f>
        <v/>
      </c>
      <c r="H436" s="58" t="str">
        <f>IF(TYPE($A436)=1,"",('NO USAR2'!$H434-H$1)/H$2*I436/$I$1)</f>
        <v/>
      </c>
      <c r="I436" s="58" t="str">
        <f>IF(TYPE($A436)=1,"",IF('NO USAR2'!H434=0,0,'NO USAR2'!G434/'NO USAR2'!H434))</f>
        <v/>
      </c>
      <c r="J436" s="59" t="str">
        <f>IF(TYPE($A436)=1,"",('NO USAR2'!$J434-J$1)/J$2*K436/$K$1)</f>
        <v/>
      </c>
      <c r="K436" s="60" t="str">
        <f>IF(TYPE($A436)=1,"",IF('NO USAR2'!J434=0,0,'NO USAR2'!I434/'NO USAR2'!J434))</f>
        <v/>
      </c>
      <c r="L436" s="58" t="str">
        <f>IF(TYPE($A436)=1,"",('NO USAR2'!$Q434-L$1)/L$2)</f>
        <v/>
      </c>
    </row>
    <row r="437">
      <c r="B437" s="58" t="str">
        <f>IF(TYPE($A437)=1,"",('NO USAR2'!$L435-B$1)/B$2)</f>
        <v/>
      </c>
      <c r="C437" s="58" t="str">
        <f>IF(TYPE($A437)=1,"",('NO USAR2'!$K435-C$1)/C$2)</f>
        <v/>
      </c>
      <c r="D437" s="58" t="str">
        <f>IF(TYPE($A437)=1,"",('NO USAR2'!$M435-D$1)/D$2)</f>
        <v/>
      </c>
      <c r="E437" s="58" t="str">
        <f>IF(TYPE($A437)=1,"",('NO USAR2'!$N435-E$1)/E$2)</f>
        <v/>
      </c>
      <c r="F437" s="58" t="str">
        <f>IF(TYPE($A437)=1,"",('NO USAR2'!$O435-F$1)/F$2)</f>
        <v/>
      </c>
      <c r="G437" s="58" t="str">
        <f>IF(TYPE($A437)=1,"",('NO USAR2'!$P435-G$1)/G$2)</f>
        <v/>
      </c>
      <c r="H437" s="58" t="str">
        <f>IF(TYPE($A437)=1,"",('NO USAR2'!$H435-H$1)/H$2*I437/$I$1)</f>
        <v/>
      </c>
      <c r="I437" s="58" t="str">
        <f>IF(TYPE($A437)=1,"",IF('NO USAR2'!H435=0,0,'NO USAR2'!G435/'NO USAR2'!H435))</f>
        <v/>
      </c>
      <c r="J437" s="59" t="str">
        <f>IF(TYPE($A437)=1,"",('NO USAR2'!$J435-J$1)/J$2*K437/$K$1)</f>
        <v/>
      </c>
      <c r="K437" s="60" t="str">
        <f>IF(TYPE($A437)=1,"",IF('NO USAR2'!J435=0,0,'NO USAR2'!I435/'NO USAR2'!J435))</f>
        <v/>
      </c>
      <c r="L437" s="58" t="str">
        <f>IF(TYPE($A437)=1,"",('NO USAR2'!$Q435-L$1)/L$2)</f>
        <v/>
      </c>
    </row>
    <row r="438">
      <c r="B438" s="58" t="str">
        <f>IF(TYPE($A438)=1,"",('NO USAR2'!$L436-B$1)/B$2)</f>
        <v/>
      </c>
      <c r="C438" s="58" t="str">
        <f>IF(TYPE($A438)=1,"",('NO USAR2'!$K436-C$1)/C$2)</f>
        <v/>
      </c>
      <c r="D438" s="58" t="str">
        <f>IF(TYPE($A438)=1,"",('NO USAR2'!$M436-D$1)/D$2)</f>
        <v/>
      </c>
      <c r="E438" s="58" t="str">
        <f>IF(TYPE($A438)=1,"",('NO USAR2'!$N436-E$1)/E$2)</f>
        <v/>
      </c>
      <c r="F438" s="58" t="str">
        <f>IF(TYPE($A438)=1,"",('NO USAR2'!$O436-F$1)/F$2)</f>
        <v/>
      </c>
      <c r="G438" s="58" t="str">
        <f>IF(TYPE($A438)=1,"",('NO USAR2'!$P436-G$1)/G$2)</f>
        <v/>
      </c>
      <c r="H438" s="58" t="str">
        <f>IF(TYPE($A438)=1,"",('NO USAR2'!$H436-H$1)/H$2*I438/$I$1)</f>
        <v/>
      </c>
      <c r="I438" s="58" t="str">
        <f>IF(TYPE($A438)=1,"",IF('NO USAR2'!H436=0,0,'NO USAR2'!G436/'NO USAR2'!H436))</f>
        <v/>
      </c>
      <c r="J438" s="59" t="str">
        <f>IF(TYPE($A438)=1,"",('NO USAR2'!$J436-J$1)/J$2*K438/$K$1)</f>
        <v/>
      </c>
      <c r="K438" s="60" t="str">
        <f>IF(TYPE($A438)=1,"",IF('NO USAR2'!J436=0,0,'NO USAR2'!I436/'NO USAR2'!J436))</f>
        <v/>
      </c>
      <c r="L438" s="58" t="str">
        <f>IF(TYPE($A438)=1,"",('NO USAR2'!$Q436-L$1)/L$2)</f>
        <v/>
      </c>
    </row>
    <row r="439">
      <c r="B439" s="58" t="str">
        <f>IF(TYPE($A439)=1,"",('NO USAR2'!$L437-B$1)/B$2)</f>
        <v/>
      </c>
      <c r="C439" s="58" t="str">
        <f>IF(TYPE($A439)=1,"",('NO USAR2'!$K437-C$1)/C$2)</f>
        <v/>
      </c>
      <c r="D439" s="58" t="str">
        <f>IF(TYPE($A439)=1,"",('NO USAR2'!$M437-D$1)/D$2)</f>
        <v/>
      </c>
      <c r="E439" s="58" t="str">
        <f>IF(TYPE($A439)=1,"",('NO USAR2'!$N437-E$1)/E$2)</f>
        <v/>
      </c>
      <c r="F439" s="58" t="str">
        <f>IF(TYPE($A439)=1,"",('NO USAR2'!$O437-F$1)/F$2)</f>
        <v/>
      </c>
      <c r="G439" s="58" t="str">
        <f>IF(TYPE($A439)=1,"",('NO USAR2'!$P437-G$1)/G$2)</f>
        <v/>
      </c>
      <c r="H439" s="58" t="str">
        <f>IF(TYPE($A439)=1,"",('NO USAR2'!$H437-H$1)/H$2*I439/$I$1)</f>
        <v/>
      </c>
      <c r="I439" s="58" t="str">
        <f>IF(TYPE($A439)=1,"",IF('NO USAR2'!H437=0,0,'NO USAR2'!G437/'NO USAR2'!H437))</f>
        <v/>
      </c>
      <c r="J439" s="59" t="str">
        <f>IF(TYPE($A439)=1,"",('NO USAR2'!$J437-J$1)/J$2*K439/$K$1)</f>
        <v/>
      </c>
      <c r="K439" s="60" t="str">
        <f>IF(TYPE($A439)=1,"",IF('NO USAR2'!J437=0,0,'NO USAR2'!I437/'NO USAR2'!J437))</f>
        <v/>
      </c>
      <c r="L439" s="58" t="str">
        <f>IF(TYPE($A439)=1,"",('NO USAR2'!$Q437-L$1)/L$2)</f>
        <v/>
      </c>
    </row>
    <row r="440">
      <c r="B440" s="58" t="str">
        <f>IF(TYPE($A440)=1,"",('NO USAR2'!$L438-B$1)/B$2)</f>
        <v/>
      </c>
      <c r="C440" s="58" t="str">
        <f>IF(TYPE($A440)=1,"",('NO USAR2'!$K438-C$1)/C$2)</f>
        <v/>
      </c>
      <c r="D440" s="58" t="str">
        <f>IF(TYPE($A440)=1,"",('NO USAR2'!$M438-D$1)/D$2)</f>
        <v/>
      </c>
      <c r="E440" s="58" t="str">
        <f>IF(TYPE($A440)=1,"",('NO USAR2'!$N438-E$1)/E$2)</f>
        <v/>
      </c>
      <c r="F440" s="58" t="str">
        <f>IF(TYPE($A440)=1,"",('NO USAR2'!$O438-F$1)/F$2)</f>
        <v/>
      </c>
      <c r="G440" s="58" t="str">
        <f>IF(TYPE($A440)=1,"",('NO USAR2'!$P438-G$1)/G$2)</f>
        <v/>
      </c>
      <c r="H440" s="58" t="str">
        <f>IF(TYPE($A440)=1,"",('NO USAR2'!$H438-H$1)/H$2*I440/$I$1)</f>
        <v/>
      </c>
      <c r="I440" s="58" t="str">
        <f>IF(TYPE($A440)=1,"",IF('NO USAR2'!H438=0,0,'NO USAR2'!G438/'NO USAR2'!H438))</f>
        <v/>
      </c>
      <c r="J440" s="59" t="str">
        <f>IF(TYPE($A440)=1,"",('NO USAR2'!$J438-J$1)/J$2*K440/$K$1)</f>
        <v/>
      </c>
      <c r="K440" s="60" t="str">
        <f>IF(TYPE($A440)=1,"",IF('NO USAR2'!J438=0,0,'NO USAR2'!I438/'NO USAR2'!J438))</f>
        <v/>
      </c>
      <c r="L440" s="58" t="str">
        <f>IF(TYPE($A440)=1,"",('NO USAR2'!$Q438-L$1)/L$2)</f>
        <v/>
      </c>
    </row>
    <row r="441">
      <c r="B441" s="58" t="str">
        <f>IF(TYPE($A441)=1,"",('NO USAR2'!$L439-B$1)/B$2)</f>
        <v/>
      </c>
      <c r="C441" s="58" t="str">
        <f>IF(TYPE($A441)=1,"",('NO USAR2'!$K439-C$1)/C$2)</f>
        <v/>
      </c>
      <c r="D441" s="58" t="str">
        <f>IF(TYPE($A441)=1,"",('NO USAR2'!$M439-D$1)/D$2)</f>
        <v/>
      </c>
      <c r="E441" s="58" t="str">
        <f>IF(TYPE($A441)=1,"",('NO USAR2'!$N439-E$1)/E$2)</f>
        <v/>
      </c>
      <c r="F441" s="58" t="str">
        <f>IF(TYPE($A441)=1,"",('NO USAR2'!$O439-F$1)/F$2)</f>
        <v/>
      </c>
      <c r="G441" s="58" t="str">
        <f>IF(TYPE($A441)=1,"",('NO USAR2'!$P439-G$1)/G$2)</f>
        <v/>
      </c>
      <c r="H441" s="58" t="str">
        <f>IF(TYPE($A441)=1,"",('NO USAR2'!$H439-H$1)/H$2*I441/$I$1)</f>
        <v/>
      </c>
      <c r="I441" s="58" t="str">
        <f>IF(TYPE($A441)=1,"",IF('NO USAR2'!H439=0,0,'NO USAR2'!G439/'NO USAR2'!H439))</f>
        <v/>
      </c>
      <c r="J441" s="59" t="str">
        <f>IF(TYPE($A441)=1,"",('NO USAR2'!$J439-J$1)/J$2*K441/$K$1)</f>
        <v/>
      </c>
      <c r="K441" s="60" t="str">
        <f>IF(TYPE($A441)=1,"",IF('NO USAR2'!J439=0,0,'NO USAR2'!I439/'NO USAR2'!J439))</f>
        <v/>
      </c>
      <c r="L441" s="58" t="str">
        <f>IF(TYPE($A441)=1,"",('NO USAR2'!$Q439-L$1)/L$2)</f>
        <v/>
      </c>
    </row>
    <row r="442">
      <c r="B442" s="58" t="str">
        <f>IF(TYPE($A442)=1,"",('NO USAR2'!$L440-B$1)/B$2)</f>
        <v/>
      </c>
      <c r="C442" s="58" t="str">
        <f>IF(TYPE($A442)=1,"",('NO USAR2'!$K440-C$1)/C$2)</f>
        <v/>
      </c>
      <c r="D442" s="58" t="str">
        <f>IF(TYPE($A442)=1,"",('NO USAR2'!$M440-D$1)/D$2)</f>
        <v/>
      </c>
      <c r="E442" s="58" t="str">
        <f>IF(TYPE($A442)=1,"",('NO USAR2'!$N440-E$1)/E$2)</f>
        <v/>
      </c>
      <c r="F442" s="58" t="str">
        <f>IF(TYPE($A442)=1,"",('NO USAR2'!$O440-F$1)/F$2)</f>
        <v/>
      </c>
      <c r="G442" s="58" t="str">
        <f>IF(TYPE($A442)=1,"",('NO USAR2'!$P440-G$1)/G$2)</f>
        <v/>
      </c>
      <c r="H442" s="58" t="str">
        <f>IF(TYPE($A442)=1,"",('NO USAR2'!$H440-H$1)/H$2*I442/$I$1)</f>
        <v/>
      </c>
      <c r="I442" s="58" t="str">
        <f>IF(TYPE($A442)=1,"",IF('NO USAR2'!H440=0,0,'NO USAR2'!G440/'NO USAR2'!H440))</f>
        <v/>
      </c>
      <c r="J442" s="59" t="str">
        <f>IF(TYPE($A442)=1,"",('NO USAR2'!$J440-J$1)/J$2*K442/$K$1)</f>
        <v/>
      </c>
      <c r="K442" s="60" t="str">
        <f>IF(TYPE($A442)=1,"",IF('NO USAR2'!J440=0,0,'NO USAR2'!I440/'NO USAR2'!J440))</f>
        <v/>
      </c>
      <c r="L442" s="58" t="str">
        <f>IF(TYPE($A442)=1,"",('NO USAR2'!$Q440-L$1)/L$2)</f>
        <v/>
      </c>
    </row>
    <row r="443">
      <c r="B443" s="58" t="str">
        <f>IF(TYPE($A443)=1,"",('NO USAR2'!$L441-B$1)/B$2)</f>
        <v/>
      </c>
      <c r="C443" s="58" t="str">
        <f>IF(TYPE($A443)=1,"",('NO USAR2'!$K441-C$1)/C$2)</f>
        <v/>
      </c>
      <c r="D443" s="58" t="str">
        <f>IF(TYPE($A443)=1,"",('NO USAR2'!$M441-D$1)/D$2)</f>
        <v/>
      </c>
      <c r="E443" s="58" t="str">
        <f>IF(TYPE($A443)=1,"",('NO USAR2'!$N441-E$1)/E$2)</f>
        <v/>
      </c>
      <c r="F443" s="58" t="str">
        <f>IF(TYPE($A443)=1,"",('NO USAR2'!$O441-F$1)/F$2)</f>
        <v/>
      </c>
      <c r="G443" s="58" t="str">
        <f>IF(TYPE($A443)=1,"",('NO USAR2'!$P441-G$1)/G$2)</f>
        <v/>
      </c>
      <c r="H443" s="58" t="str">
        <f>IF(TYPE($A443)=1,"",('NO USAR2'!$H441-H$1)/H$2*I443/$I$1)</f>
        <v/>
      </c>
      <c r="I443" s="58" t="str">
        <f>IF(TYPE($A443)=1,"",IF('NO USAR2'!H441=0,0,'NO USAR2'!G441/'NO USAR2'!H441))</f>
        <v/>
      </c>
      <c r="J443" s="59" t="str">
        <f>IF(TYPE($A443)=1,"",('NO USAR2'!$J441-J$1)/J$2*K443/$K$1)</f>
        <v/>
      </c>
      <c r="K443" s="60" t="str">
        <f>IF(TYPE($A443)=1,"",IF('NO USAR2'!J441=0,0,'NO USAR2'!I441/'NO USAR2'!J441))</f>
        <v/>
      </c>
      <c r="L443" s="58" t="str">
        <f>IF(TYPE($A443)=1,"",('NO USAR2'!$Q441-L$1)/L$2)</f>
        <v/>
      </c>
    </row>
    <row r="444">
      <c r="B444" s="58" t="str">
        <f>IF(TYPE($A444)=1,"",('NO USAR2'!$L442-B$1)/B$2)</f>
        <v/>
      </c>
      <c r="C444" s="58" t="str">
        <f>IF(TYPE($A444)=1,"",('NO USAR2'!$K442-C$1)/C$2)</f>
        <v/>
      </c>
      <c r="D444" s="58" t="str">
        <f>IF(TYPE($A444)=1,"",('NO USAR2'!$M442-D$1)/D$2)</f>
        <v/>
      </c>
      <c r="E444" s="58" t="str">
        <f>IF(TYPE($A444)=1,"",('NO USAR2'!$N442-E$1)/E$2)</f>
        <v/>
      </c>
      <c r="F444" s="58" t="str">
        <f>IF(TYPE($A444)=1,"",('NO USAR2'!$O442-F$1)/F$2)</f>
        <v/>
      </c>
      <c r="G444" s="58" t="str">
        <f>IF(TYPE($A444)=1,"",('NO USAR2'!$P442-G$1)/G$2)</f>
        <v/>
      </c>
      <c r="H444" s="58" t="str">
        <f>IF(TYPE($A444)=1,"",('NO USAR2'!$H442-H$1)/H$2*I444/$I$1)</f>
        <v/>
      </c>
      <c r="I444" s="58" t="str">
        <f>IF(TYPE($A444)=1,"",IF('NO USAR2'!H442=0,0,'NO USAR2'!G442/'NO USAR2'!H442))</f>
        <v/>
      </c>
      <c r="J444" s="59" t="str">
        <f>IF(TYPE($A444)=1,"",('NO USAR2'!$J442-J$1)/J$2*K444/$K$1)</f>
        <v/>
      </c>
      <c r="K444" s="60" t="str">
        <f>IF(TYPE($A444)=1,"",IF('NO USAR2'!J442=0,0,'NO USAR2'!I442/'NO USAR2'!J442))</f>
        <v/>
      </c>
      <c r="L444" s="58" t="str">
        <f>IF(TYPE($A444)=1,"",('NO USAR2'!$Q442-L$1)/L$2)</f>
        <v/>
      </c>
    </row>
    <row r="445">
      <c r="B445" s="58" t="str">
        <f>IF(TYPE($A445)=1,"",('NO USAR2'!$L443-B$1)/B$2)</f>
        <v/>
      </c>
      <c r="C445" s="58" t="str">
        <f>IF(TYPE($A445)=1,"",('NO USAR2'!$K443-C$1)/C$2)</f>
        <v/>
      </c>
      <c r="D445" s="58" t="str">
        <f>IF(TYPE($A445)=1,"",('NO USAR2'!$M443-D$1)/D$2)</f>
        <v/>
      </c>
      <c r="E445" s="58" t="str">
        <f>IF(TYPE($A445)=1,"",('NO USAR2'!$N443-E$1)/E$2)</f>
        <v/>
      </c>
      <c r="F445" s="58" t="str">
        <f>IF(TYPE($A445)=1,"",('NO USAR2'!$O443-F$1)/F$2)</f>
        <v/>
      </c>
      <c r="G445" s="58" t="str">
        <f>IF(TYPE($A445)=1,"",('NO USAR2'!$P443-G$1)/G$2)</f>
        <v/>
      </c>
      <c r="H445" s="58" t="str">
        <f>IF(TYPE($A445)=1,"",('NO USAR2'!$H443-H$1)/H$2*I445/$I$1)</f>
        <v/>
      </c>
      <c r="I445" s="58" t="str">
        <f>IF(TYPE($A445)=1,"",IF('NO USAR2'!H443=0,0,'NO USAR2'!G443/'NO USAR2'!H443))</f>
        <v/>
      </c>
      <c r="J445" s="59" t="str">
        <f>IF(TYPE($A445)=1,"",('NO USAR2'!$J443-J$1)/J$2*K445/$K$1)</f>
        <v/>
      </c>
      <c r="K445" s="60" t="str">
        <f>IF(TYPE($A445)=1,"",IF('NO USAR2'!J443=0,0,'NO USAR2'!I443/'NO USAR2'!J443))</f>
        <v/>
      </c>
      <c r="L445" s="58" t="str">
        <f>IF(TYPE($A445)=1,"",('NO USAR2'!$Q443-L$1)/L$2)</f>
        <v/>
      </c>
    </row>
    <row r="446">
      <c r="B446" s="58" t="str">
        <f>IF(TYPE($A446)=1,"",('NO USAR2'!$L444-B$1)/B$2)</f>
        <v/>
      </c>
      <c r="C446" s="58" t="str">
        <f>IF(TYPE($A446)=1,"",('NO USAR2'!$K444-C$1)/C$2)</f>
        <v/>
      </c>
      <c r="D446" s="58" t="str">
        <f>IF(TYPE($A446)=1,"",('NO USAR2'!$M444-D$1)/D$2)</f>
        <v/>
      </c>
      <c r="E446" s="58" t="str">
        <f>IF(TYPE($A446)=1,"",('NO USAR2'!$N444-E$1)/E$2)</f>
        <v/>
      </c>
      <c r="F446" s="58" t="str">
        <f>IF(TYPE($A446)=1,"",('NO USAR2'!$O444-F$1)/F$2)</f>
        <v/>
      </c>
      <c r="G446" s="58" t="str">
        <f>IF(TYPE($A446)=1,"",('NO USAR2'!$P444-G$1)/G$2)</f>
        <v/>
      </c>
      <c r="H446" s="58" t="str">
        <f>IF(TYPE($A446)=1,"",('NO USAR2'!$H444-H$1)/H$2*I446/$I$1)</f>
        <v/>
      </c>
      <c r="I446" s="58" t="str">
        <f>IF(TYPE($A446)=1,"",IF('NO USAR2'!H444=0,0,'NO USAR2'!G444/'NO USAR2'!H444))</f>
        <v/>
      </c>
      <c r="J446" s="59" t="str">
        <f>IF(TYPE($A446)=1,"",('NO USAR2'!$J444-J$1)/J$2*K446/$K$1)</f>
        <v/>
      </c>
      <c r="K446" s="60" t="str">
        <f>IF(TYPE($A446)=1,"",IF('NO USAR2'!J444=0,0,'NO USAR2'!I444/'NO USAR2'!J444))</f>
        <v/>
      </c>
      <c r="L446" s="58" t="str">
        <f>IF(TYPE($A446)=1,"",('NO USAR2'!$Q444-L$1)/L$2)</f>
        <v/>
      </c>
    </row>
    <row r="447">
      <c r="B447" s="58" t="str">
        <f>IF(TYPE($A447)=1,"",('NO USAR2'!$L445-B$1)/B$2)</f>
        <v/>
      </c>
      <c r="C447" s="58" t="str">
        <f>IF(TYPE($A447)=1,"",('NO USAR2'!$K445-C$1)/C$2)</f>
        <v/>
      </c>
      <c r="D447" s="58" t="str">
        <f>IF(TYPE($A447)=1,"",('NO USAR2'!$M445-D$1)/D$2)</f>
        <v/>
      </c>
      <c r="E447" s="58" t="str">
        <f>IF(TYPE($A447)=1,"",('NO USAR2'!$N445-E$1)/E$2)</f>
        <v/>
      </c>
      <c r="F447" s="58" t="str">
        <f>IF(TYPE($A447)=1,"",('NO USAR2'!$O445-F$1)/F$2)</f>
        <v/>
      </c>
      <c r="G447" s="58" t="str">
        <f>IF(TYPE($A447)=1,"",('NO USAR2'!$P445-G$1)/G$2)</f>
        <v/>
      </c>
      <c r="H447" s="58" t="str">
        <f>IF(TYPE($A447)=1,"",('NO USAR2'!$H445-H$1)/H$2*I447/$I$1)</f>
        <v/>
      </c>
      <c r="I447" s="58" t="str">
        <f>IF(TYPE($A447)=1,"",IF('NO USAR2'!H445=0,0,'NO USAR2'!G445/'NO USAR2'!H445))</f>
        <v/>
      </c>
      <c r="J447" s="59" t="str">
        <f>IF(TYPE($A447)=1,"",('NO USAR2'!$J445-J$1)/J$2*K447/$K$1)</f>
        <v/>
      </c>
      <c r="K447" s="60" t="str">
        <f>IF(TYPE($A447)=1,"",IF('NO USAR2'!J445=0,0,'NO USAR2'!I445/'NO USAR2'!J445))</f>
        <v/>
      </c>
      <c r="L447" s="58" t="str">
        <f>IF(TYPE($A447)=1,"",('NO USAR2'!$Q445-L$1)/L$2)</f>
        <v/>
      </c>
    </row>
    <row r="448">
      <c r="B448" s="58" t="str">
        <f>IF(TYPE($A448)=1,"",('NO USAR2'!$L446-B$1)/B$2)</f>
        <v/>
      </c>
      <c r="C448" s="58" t="str">
        <f>IF(TYPE($A448)=1,"",('NO USAR2'!$K446-C$1)/C$2)</f>
        <v/>
      </c>
      <c r="D448" s="58" t="str">
        <f>IF(TYPE($A448)=1,"",('NO USAR2'!$M446-D$1)/D$2)</f>
        <v/>
      </c>
      <c r="E448" s="58" t="str">
        <f>IF(TYPE($A448)=1,"",('NO USAR2'!$N446-E$1)/E$2)</f>
        <v/>
      </c>
      <c r="F448" s="58" t="str">
        <f>IF(TYPE($A448)=1,"",('NO USAR2'!$O446-F$1)/F$2)</f>
        <v/>
      </c>
      <c r="G448" s="58" t="str">
        <f>IF(TYPE($A448)=1,"",('NO USAR2'!$P446-G$1)/G$2)</f>
        <v/>
      </c>
      <c r="H448" s="58" t="str">
        <f>IF(TYPE($A448)=1,"",('NO USAR2'!$H446-H$1)/H$2*I448/$I$1)</f>
        <v/>
      </c>
      <c r="I448" s="58" t="str">
        <f>IF(TYPE($A448)=1,"",IF('NO USAR2'!H446=0,0,'NO USAR2'!G446/'NO USAR2'!H446))</f>
        <v/>
      </c>
      <c r="J448" s="59" t="str">
        <f>IF(TYPE($A448)=1,"",('NO USAR2'!$J446-J$1)/J$2*K448/$K$1)</f>
        <v/>
      </c>
      <c r="K448" s="60" t="str">
        <f>IF(TYPE($A448)=1,"",IF('NO USAR2'!J446=0,0,'NO USAR2'!I446/'NO USAR2'!J446))</f>
        <v/>
      </c>
      <c r="L448" s="58" t="str">
        <f>IF(TYPE($A448)=1,"",('NO USAR2'!$Q446-L$1)/L$2)</f>
        <v/>
      </c>
    </row>
    <row r="449">
      <c r="B449" s="58" t="str">
        <f>IF(TYPE($A449)=1,"",('NO USAR2'!$L447-B$1)/B$2)</f>
        <v/>
      </c>
      <c r="C449" s="58" t="str">
        <f>IF(TYPE($A449)=1,"",('NO USAR2'!$K447-C$1)/C$2)</f>
        <v/>
      </c>
      <c r="D449" s="58" t="str">
        <f>IF(TYPE($A449)=1,"",('NO USAR2'!$M447-D$1)/D$2)</f>
        <v/>
      </c>
      <c r="E449" s="58" t="str">
        <f>IF(TYPE($A449)=1,"",('NO USAR2'!$N447-E$1)/E$2)</f>
        <v/>
      </c>
      <c r="F449" s="58" t="str">
        <f>IF(TYPE($A449)=1,"",('NO USAR2'!$O447-F$1)/F$2)</f>
        <v/>
      </c>
      <c r="G449" s="58" t="str">
        <f>IF(TYPE($A449)=1,"",('NO USAR2'!$P447-G$1)/G$2)</f>
        <v/>
      </c>
      <c r="H449" s="58" t="str">
        <f>IF(TYPE($A449)=1,"",('NO USAR2'!$H447-H$1)/H$2*I449/$I$1)</f>
        <v/>
      </c>
      <c r="I449" s="58" t="str">
        <f>IF(TYPE($A449)=1,"",IF('NO USAR2'!H447=0,0,'NO USAR2'!G447/'NO USAR2'!H447))</f>
        <v/>
      </c>
      <c r="J449" s="59" t="str">
        <f>IF(TYPE($A449)=1,"",('NO USAR2'!$J447-J$1)/J$2*K449/$K$1)</f>
        <v/>
      </c>
      <c r="K449" s="60" t="str">
        <f>IF(TYPE($A449)=1,"",IF('NO USAR2'!J447=0,0,'NO USAR2'!I447/'NO USAR2'!J447))</f>
        <v/>
      </c>
      <c r="L449" s="58" t="str">
        <f>IF(TYPE($A449)=1,"",('NO USAR2'!$Q447-L$1)/L$2)</f>
        <v/>
      </c>
    </row>
    <row r="450">
      <c r="B450" s="58" t="str">
        <f>IF(TYPE($A450)=1,"",('NO USAR2'!$L448-B$1)/B$2)</f>
        <v/>
      </c>
      <c r="C450" s="58" t="str">
        <f>IF(TYPE($A450)=1,"",('NO USAR2'!$K448-C$1)/C$2)</f>
        <v/>
      </c>
      <c r="D450" s="58" t="str">
        <f>IF(TYPE($A450)=1,"",('NO USAR2'!$M448-D$1)/D$2)</f>
        <v/>
      </c>
      <c r="E450" s="58" t="str">
        <f>IF(TYPE($A450)=1,"",('NO USAR2'!$N448-E$1)/E$2)</f>
        <v/>
      </c>
      <c r="F450" s="58" t="str">
        <f>IF(TYPE($A450)=1,"",('NO USAR2'!$O448-F$1)/F$2)</f>
        <v/>
      </c>
      <c r="G450" s="58" t="str">
        <f>IF(TYPE($A450)=1,"",('NO USAR2'!$P448-G$1)/G$2)</f>
        <v/>
      </c>
      <c r="H450" s="58" t="str">
        <f>IF(TYPE($A450)=1,"",('NO USAR2'!$H448-H$1)/H$2*I450/$I$1)</f>
        <v/>
      </c>
      <c r="I450" s="58" t="str">
        <f>IF(TYPE($A450)=1,"",IF('NO USAR2'!H448=0,0,'NO USAR2'!G448/'NO USAR2'!H448))</f>
        <v/>
      </c>
      <c r="J450" s="59" t="str">
        <f>IF(TYPE($A450)=1,"",('NO USAR2'!$J448-J$1)/J$2*K450/$K$1)</f>
        <v/>
      </c>
      <c r="K450" s="60" t="str">
        <f>IF(TYPE($A450)=1,"",IF('NO USAR2'!J448=0,0,'NO USAR2'!I448/'NO USAR2'!J448))</f>
        <v/>
      </c>
      <c r="L450" s="58" t="str">
        <f>IF(TYPE($A450)=1,"",('NO USAR2'!$Q448-L$1)/L$2)</f>
        <v/>
      </c>
    </row>
    <row r="451">
      <c r="B451" s="58" t="str">
        <f>IF(TYPE($A451)=1,"",('NO USAR2'!$L449-B$1)/B$2)</f>
        <v/>
      </c>
      <c r="C451" s="58" t="str">
        <f>IF(TYPE($A451)=1,"",('NO USAR2'!$K449-C$1)/C$2)</f>
        <v/>
      </c>
      <c r="D451" s="58" t="str">
        <f>IF(TYPE($A451)=1,"",('NO USAR2'!$M449-D$1)/D$2)</f>
        <v/>
      </c>
      <c r="E451" s="58" t="str">
        <f>IF(TYPE($A451)=1,"",('NO USAR2'!$N449-E$1)/E$2)</f>
        <v/>
      </c>
      <c r="F451" s="58" t="str">
        <f>IF(TYPE($A451)=1,"",('NO USAR2'!$O449-F$1)/F$2)</f>
        <v/>
      </c>
      <c r="G451" s="58" t="str">
        <f>IF(TYPE($A451)=1,"",('NO USAR2'!$P449-G$1)/G$2)</f>
        <v/>
      </c>
      <c r="H451" s="58" t="str">
        <f>IF(TYPE($A451)=1,"",('NO USAR2'!$H449-H$1)/H$2*I451/$I$1)</f>
        <v/>
      </c>
      <c r="I451" s="58" t="str">
        <f>IF(TYPE($A451)=1,"",IF('NO USAR2'!H449=0,0,'NO USAR2'!G449/'NO USAR2'!H449))</f>
        <v/>
      </c>
      <c r="J451" s="59" t="str">
        <f>IF(TYPE($A451)=1,"",('NO USAR2'!$J449-J$1)/J$2*K451/$K$1)</f>
        <v/>
      </c>
      <c r="K451" s="60" t="str">
        <f>IF(TYPE($A451)=1,"",IF('NO USAR2'!J449=0,0,'NO USAR2'!I449/'NO USAR2'!J449))</f>
        <v/>
      </c>
      <c r="L451" s="58" t="str">
        <f>IF(TYPE($A451)=1,"",('NO USAR2'!$Q449-L$1)/L$2)</f>
        <v/>
      </c>
    </row>
    <row r="452">
      <c r="B452" s="58" t="str">
        <f>IF(TYPE($A452)=1,"",('NO USAR2'!$L450-B$1)/B$2)</f>
        <v/>
      </c>
      <c r="C452" s="58" t="str">
        <f>IF(TYPE($A452)=1,"",('NO USAR2'!$K450-C$1)/C$2)</f>
        <v/>
      </c>
      <c r="D452" s="58" t="str">
        <f>IF(TYPE($A452)=1,"",('NO USAR2'!$M450-D$1)/D$2)</f>
        <v/>
      </c>
      <c r="E452" s="58" t="str">
        <f>IF(TYPE($A452)=1,"",('NO USAR2'!$N450-E$1)/E$2)</f>
        <v/>
      </c>
      <c r="F452" s="58" t="str">
        <f>IF(TYPE($A452)=1,"",('NO USAR2'!$O450-F$1)/F$2)</f>
        <v/>
      </c>
      <c r="G452" s="58" t="str">
        <f>IF(TYPE($A452)=1,"",('NO USAR2'!$P450-G$1)/G$2)</f>
        <v/>
      </c>
      <c r="H452" s="58" t="str">
        <f>IF(TYPE($A452)=1,"",('NO USAR2'!$H450-H$1)/H$2*I452/$I$1)</f>
        <v/>
      </c>
      <c r="I452" s="58" t="str">
        <f>IF(TYPE($A452)=1,"",IF('NO USAR2'!H450=0,0,'NO USAR2'!G450/'NO USAR2'!H450))</f>
        <v/>
      </c>
      <c r="J452" s="59" t="str">
        <f>IF(TYPE($A452)=1,"",('NO USAR2'!$J450-J$1)/J$2*K452/$K$1)</f>
        <v/>
      </c>
      <c r="K452" s="60" t="str">
        <f>IF(TYPE($A452)=1,"",IF('NO USAR2'!J450=0,0,'NO USAR2'!I450/'NO USAR2'!J450))</f>
        <v/>
      </c>
      <c r="L452" s="58" t="str">
        <f>IF(TYPE($A452)=1,"",('NO USAR2'!$Q450-L$1)/L$2)</f>
        <v/>
      </c>
    </row>
    <row r="453">
      <c r="B453" s="58" t="str">
        <f>IF(TYPE($A453)=1,"",('NO USAR2'!$L451-B$1)/B$2)</f>
        <v/>
      </c>
      <c r="C453" s="58" t="str">
        <f>IF(TYPE($A453)=1,"",('NO USAR2'!$K451-C$1)/C$2)</f>
        <v/>
      </c>
      <c r="D453" s="58" t="str">
        <f>IF(TYPE($A453)=1,"",('NO USAR2'!$M451-D$1)/D$2)</f>
        <v/>
      </c>
      <c r="E453" s="58" t="str">
        <f>IF(TYPE($A453)=1,"",('NO USAR2'!$N451-E$1)/E$2)</f>
        <v/>
      </c>
      <c r="F453" s="58" t="str">
        <f>IF(TYPE($A453)=1,"",('NO USAR2'!$O451-F$1)/F$2)</f>
        <v/>
      </c>
      <c r="G453" s="58" t="str">
        <f>IF(TYPE($A453)=1,"",('NO USAR2'!$P451-G$1)/G$2)</f>
        <v/>
      </c>
      <c r="H453" s="58" t="str">
        <f>IF(TYPE($A453)=1,"",('NO USAR2'!$H451-H$1)/H$2*I453/$I$1)</f>
        <v/>
      </c>
      <c r="I453" s="58" t="str">
        <f>IF(TYPE($A453)=1,"",IF('NO USAR2'!H451=0,0,'NO USAR2'!G451/'NO USAR2'!H451))</f>
        <v/>
      </c>
      <c r="J453" s="59" t="str">
        <f>IF(TYPE($A453)=1,"",('NO USAR2'!$J451-J$1)/J$2*K453/$K$1)</f>
        <v/>
      </c>
      <c r="K453" s="60" t="str">
        <f>IF(TYPE($A453)=1,"",IF('NO USAR2'!J451=0,0,'NO USAR2'!I451/'NO USAR2'!J451))</f>
        <v/>
      </c>
      <c r="L453" s="58" t="str">
        <f>IF(TYPE($A453)=1,"",('NO USAR2'!$Q451-L$1)/L$2)</f>
        <v/>
      </c>
    </row>
    <row r="454">
      <c r="B454" s="58" t="str">
        <f>IF(TYPE($A454)=1,"",('NO USAR2'!$L452-B$1)/B$2)</f>
        <v/>
      </c>
      <c r="C454" s="58" t="str">
        <f>IF(TYPE($A454)=1,"",('NO USAR2'!$K452-C$1)/C$2)</f>
        <v/>
      </c>
      <c r="D454" s="58" t="str">
        <f>IF(TYPE($A454)=1,"",('NO USAR2'!$M452-D$1)/D$2)</f>
        <v/>
      </c>
      <c r="E454" s="58" t="str">
        <f>IF(TYPE($A454)=1,"",('NO USAR2'!$N452-E$1)/E$2)</f>
        <v/>
      </c>
      <c r="F454" s="58" t="str">
        <f>IF(TYPE($A454)=1,"",('NO USAR2'!$O452-F$1)/F$2)</f>
        <v/>
      </c>
      <c r="G454" s="58" t="str">
        <f>IF(TYPE($A454)=1,"",('NO USAR2'!$P452-G$1)/G$2)</f>
        <v/>
      </c>
      <c r="H454" s="58" t="str">
        <f>IF(TYPE($A454)=1,"",('NO USAR2'!$H452-H$1)/H$2*I454/$I$1)</f>
        <v/>
      </c>
      <c r="I454" s="58" t="str">
        <f>IF(TYPE($A454)=1,"",IF('NO USAR2'!H452=0,0,'NO USAR2'!G452/'NO USAR2'!H452))</f>
        <v/>
      </c>
      <c r="J454" s="59" t="str">
        <f>IF(TYPE($A454)=1,"",('NO USAR2'!$J452-J$1)/J$2*K454/$K$1)</f>
        <v/>
      </c>
      <c r="K454" s="60" t="str">
        <f>IF(TYPE($A454)=1,"",IF('NO USAR2'!J452=0,0,'NO USAR2'!I452/'NO USAR2'!J452))</f>
        <v/>
      </c>
      <c r="L454" s="58" t="str">
        <f>IF(TYPE($A454)=1,"",('NO USAR2'!$Q452-L$1)/L$2)</f>
        <v/>
      </c>
    </row>
    <row r="455">
      <c r="B455" s="58" t="str">
        <f>IF(TYPE($A455)=1,"",('NO USAR2'!$L453-B$1)/B$2)</f>
        <v/>
      </c>
      <c r="C455" s="58" t="str">
        <f>IF(TYPE($A455)=1,"",('NO USAR2'!$K453-C$1)/C$2)</f>
        <v/>
      </c>
      <c r="D455" s="58" t="str">
        <f>IF(TYPE($A455)=1,"",('NO USAR2'!$M453-D$1)/D$2)</f>
        <v/>
      </c>
      <c r="E455" s="58" t="str">
        <f>IF(TYPE($A455)=1,"",('NO USAR2'!$N453-E$1)/E$2)</f>
        <v/>
      </c>
      <c r="F455" s="58" t="str">
        <f>IF(TYPE($A455)=1,"",('NO USAR2'!$O453-F$1)/F$2)</f>
        <v/>
      </c>
      <c r="G455" s="58" t="str">
        <f>IF(TYPE($A455)=1,"",('NO USAR2'!$P453-G$1)/G$2)</f>
        <v/>
      </c>
      <c r="H455" s="58" t="str">
        <f>IF(TYPE($A455)=1,"",('NO USAR2'!$H453-H$1)/H$2*I455/$I$1)</f>
        <v/>
      </c>
      <c r="I455" s="58" t="str">
        <f>IF(TYPE($A455)=1,"",IF('NO USAR2'!H453=0,0,'NO USAR2'!G453/'NO USAR2'!H453))</f>
        <v/>
      </c>
      <c r="J455" s="59" t="str">
        <f>IF(TYPE($A455)=1,"",('NO USAR2'!$J453-J$1)/J$2*K455/$K$1)</f>
        <v/>
      </c>
      <c r="K455" s="60" t="str">
        <f>IF(TYPE($A455)=1,"",IF('NO USAR2'!J453=0,0,'NO USAR2'!I453/'NO USAR2'!J453))</f>
        <v/>
      </c>
      <c r="L455" s="58" t="str">
        <f>IF(TYPE($A455)=1,"",('NO USAR2'!$Q453-L$1)/L$2)</f>
        <v/>
      </c>
    </row>
    <row r="456">
      <c r="B456" s="58" t="str">
        <f>IF(TYPE($A456)=1,"",('NO USAR2'!$L454-B$1)/B$2)</f>
        <v/>
      </c>
      <c r="C456" s="58" t="str">
        <f>IF(TYPE($A456)=1,"",('NO USAR2'!$K454-C$1)/C$2)</f>
        <v/>
      </c>
      <c r="D456" s="58" t="str">
        <f>IF(TYPE($A456)=1,"",('NO USAR2'!$M454-D$1)/D$2)</f>
        <v/>
      </c>
      <c r="E456" s="58" t="str">
        <f>IF(TYPE($A456)=1,"",('NO USAR2'!$N454-E$1)/E$2)</f>
        <v/>
      </c>
      <c r="F456" s="58" t="str">
        <f>IF(TYPE($A456)=1,"",('NO USAR2'!$O454-F$1)/F$2)</f>
        <v/>
      </c>
      <c r="G456" s="58" t="str">
        <f>IF(TYPE($A456)=1,"",('NO USAR2'!$P454-G$1)/G$2)</f>
        <v/>
      </c>
      <c r="H456" s="58" t="str">
        <f>IF(TYPE($A456)=1,"",('NO USAR2'!$H454-H$1)/H$2*I456/$I$1)</f>
        <v/>
      </c>
      <c r="I456" s="58" t="str">
        <f>IF(TYPE($A456)=1,"",IF('NO USAR2'!H454=0,0,'NO USAR2'!G454/'NO USAR2'!H454))</f>
        <v/>
      </c>
      <c r="J456" s="59" t="str">
        <f>IF(TYPE($A456)=1,"",('NO USAR2'!$J454-J$1)/J$2*K456/$K$1)</f>
        <v/>
      </c>
      <c r="K456" s="60" t="str">
        <f>IF(TYPE($A456)=1,"",IF('NO USAR2'!J454=0,0,'NO USAR2'!I454/'NO USAR2'!J454))</f>
        <v/>
      </c>
      <c r="L456" s="58" t="str">
        <f>IF(TYPE($A456)=1,"",('NO USAR2'!$Q454-L$1)/L$2)</f>
        <v/>
      </c>
    </row>
    <row r="457">
      <c r="B457" s="58" t="str">
        <f>IF(TYPE($A457)=1,"",('NO USAR2'!$L455-B$1)/B$2)</f>
        <v/>
      </c>
      <c r="C457" s="58" t="str">
        <f>IF(TYPE($A457)=1,"",('NO USAR2'!$K455-C$1)/C$2)</f>
        <v/>
      </c>
      <c r="D457" s="58" t="str">
        <f>IF(TYPE($A457)=1,"",('NO USAR2'!$M455-D$1)/D$2)</f>
        <v/>
      </c>
      <c r="E457" s="58" t="str">
        <f>IF(TYPE($A457)=1,"",('NO USAR2'!$N455-E$1)/E$2)</f>
        <v/>
      </c>
      <c r="F457" s="58" t="str">
        <f>IF(TYPE($A457)=1,"",('NO USAR2'!$O455-F$1)/F$2)</f>
        <v/>
      </c>
      <c r="G457" s="58" t="str">
        <f>IF(TYPE($A457)=1,"",('NO USAR2'!$P455-G$1)/G$2)</f>
        <v/>
      </c>
      <c r="H457" s="58" t="str">
        <f>IF(TYPE($A457)=1,"",('NO USAR2'!$H455-H$1)/H$2*I457/$I$1)</f>
        <v/>
      </c>
      <c r="I457" s="58" t="str">
        <f>IF(TYPE($A457)=1,"",IF('NO USAR2'!H455=0,0,'NO USAR2'!G455/'NO USAR2'!H455))</f>
        <v/>
      </c>
      <c r="J457" s="59" t="str">
        <f>IF(TYPE($A457)=1,"",('NO USAR2'!$J455-J$1)/J$2*K457/$K$1)</f>
        <v/>
      </c>
      <c r="K457" s="60" t="str">
        <f>IF(TYPE($A457)=1,"",IF('NO USAR2'!J455=0,0,'NO USAR2'!I455/'NO USAR2'!J455))</f>
        <v/>
      </c>
      <c r="L457" s="58" t="str">
        <f>IF(TYPE($A457)=1,"",('NO USAR2'!$Q455-L$1)/L$2)</f>
        <v/>
      </c>
    </row>
    <row r="458">
      <c r="B458" s="58" t="str">
        <f>IF(TYPE($A458)=1,"",('NO USAR2'!$L456-B$1)/B$2)</f>
        <v/>
      </c>
      <c r="C458" s="58" t="str">
        <f>IF(TYPE($A458)=1,"",('NO USAR2'!$K456-C$1)/C$2)</f>
        <v/>
      </c>
      <c r="D458" s="58" t="str">
        <f>IF(TYPE($A458)=1,"",('NO USAR2'!$M456-D$1)/D$2)</f>
        <v/>
      </c>
      <c r="E458" s="58" t="str">
        <f>IF(TYPE($A458)=1,"",('NO USAR2'!$N456-E$1)/E$2)</f>
        <v/>
      </c>
      <c r="F458" s="58" t="str">
        <f>IF(TYPE($A458)=1,"",('NO USAR2'!$O456-F$1)/F$2)</f>
        <v/>
      </c>
      <c r="G458" s="58" t="str">
        <f>IF(TYPE($A458)=1,"",('NO USAR2'!$P456-G$1)/G$2)</f>
        <v/>
      </c>
      <c r="H458" s="58" t="str">
        <f>IF(TYPE($A458)=1,"",('NO USAR2'!$H456-H$1)/H$2*I458/$I$1)</f>
        <v/>
      </c>
      <c r="I458" s="58" t="str">
        <f>IF(TYPE($A458)=1,"",IF('NO USAR2'!H456=0,0,'NO USAR2'!G456/'NO USAR2'!H456))</f>
        <v/>
      </c>
      <c r="J458" s="59" t="str">
        <f>IF(TYPE($A458)=1,"",('NO USAR2'!$J456-J$1)/J$2*K458/$K$1)</f>
        <v/>
      </c>
      <c r="K458" s="60" t="str">
        <f>IF(TYPE($A458)=1,"",IF('NO USAR2'!J456=0,0,'NO USAR2'!I456/'NO USAR2'!J456))</f>
        <v/>
      </c>
      <c r="L458" s="58" t="str">
        <f>IF(TYPE($A458)=1,"",('NO USAR2'!$Q456-L$1)/L$2)</f>
        <v/>
      </c>
    </row>
    <row r="459">
      <c r="B459" s="58" t="str">
        <f>IF(TYPE($A459)=1,"",('NO USAR2'!$L457-B$1)/B$2)</f>
        <v/>
      </c>
      <c r="C459" s="58" t="str">
        <f>IF(TYPE($A459)=1,"",('NO USAR2'!$K457-C$1)/C$2)</f>
        <v/>
      </c>
      <c r="D459" s="58" t="str">
        <f>IF(TYPE($A459)=1,"",('NO USAR2'!$M457-D$1)/D$2)</f>
        <v/>
      </c>
      <c r="E459" s="58" t="str">
        <f>IF(TYPE($A459)=1,"",('NO USAR2'!$N457-E$1)/E$2)</f>
        <v/>
      </c>
      <c r="F459" s="58" t="str">
        <f>IF(TYPE($A459)=1,"",('NO USAR2'!$O457-F$1)/F$2)</f>
        <v/>
      </c>
      <c r="G459" s="58" t="str">
        <f>IF(TYPE($A459)=1,"",('NO USAR2'!$P457-G$1)/G$2)</f>
        <v/>
      </c>
      <c r="H459" s="58" t="str">
        <f>IF(TYPE($A459)=1,"",('NO USAR2'!$H457-H$1)/H$2*I459/$I$1)</f>
        <v/>
      </c>
      <c r="I459" s="58" t="str">
        <f>IF(TYPE($A459)=1,"",IF('NO USAR2'!H457=0,0,'NO USAR2'!G457/'NO USAR2'!H457))</f>
        <v/>
      </c>
      <c r="J459" s="59" t="str">
        <f>IF(TYPE($A459)=1,"",('NO USAR2'!$J457-J$1)/J$2*K459/$K$1)</f>
        <v/>
      </c>
      <c r="K459" s="60" t="str">
        <f>IF(TYPE($A459)=1,"",IF('NO USAR2'!J457=0,0,'NO USAR2'!I457/'NO USAR2'!J457))</f>
        <v/>
      </c>
      <c r="L459" s="58" t="str">
        <f>IF(TYPE($A459)=1,"",('NO USAR2'!$Q457-L$1)/L$2)</f>
        <v/>
      </c>
    </row>
    <row r="460">
      <c r="B460" s="58" t="str">
        <f>IF(TYPE($A460)=1,"",('NO USAR2'!$L458-B$1)/B$2)</f>
        <v/>
      </c>
      <c r="C460" s="58" t="str">
        <f>IF(TYPE($A460)=1,"",('NO USAR2'!$K458-C$1)/C$2)</f>
        <v/>
      </c>
      <c r="D460" s="58" t="str">
        <f>IF(TYPE($A460)=1,"",('NO USAR2'!$M458-D$1)/D$2)</f>
        <v/>
      </c>
      <c r="E460" s="58" t="str">
        <f>IF(TYPE($A460)=1,"",('NO USAR2'!$N458-E$1)/E$2)</f>
        <v/>
      </c>
      <c r="F460" s="58" t="str">
        <f>IF(TYPE($A460)=1,"",('NO USAR2'!$O458-F$1)/F$2)</f>
        <v/>
      </c>
      <c r="G460" s="58" t="str">
        <f>IF(TYPE($A460)=1,"",('NO USAR2'!$P458-G$1)/G$2)</f>
        <v/>
      </c>
      <c r="H460" s="58" t="str">
        <f>IF(TYPE($A460)=1,"",('NO USAR2'!$H458-H$1)/H$2*I460/$I$1)</f>
        <v/>
      </c>
      <c r="I460" s="58" t="str">
        <f>IF(TYPE($A460)=1,"",IF('NO USAR2'!H458=0,0,'NO USAR2'!G458/'NO USAR2'!H458))</f>
        <v/>
      </c>
      <c r="J460" s="59" t="str">
        <f>IF(TYPE($A460)=1,"",('NO USAR2'!$J458-J$1)/J$2*K460/$K$1)</f>
        <v/>
      </c>
      <c r="K460" s="60" t="str">
        <f>IF(TYPE($A460)=1,"",IF('NO USAR2'!J458=0,0,'NO USAR2'!I458/'NO USAR2'!J458))</f>
        <v/>
      </c>
      <c r="L460" s="58" t="str">
        <f>IF(TYPE($A460)=1,"",('NO USAR2'!$Q458-L$1)/L$2)</f>
        <v/>
      </c>
    </row>
    <row r="461">
      <c r="B461" s="58" t="str">
        <f>IF(TYPE($A461)=1,"",('NO USAR2'!$L459-B$1)/B$2)</f>
        <v/>
      </c>
      <c r="C461" s="58" t="str">
        <f>IF(TYPE($A461)=1,"",('NO USAR2'!$K459-C$1)/C$2)</f>
        <v/>
      </c>
      <c r="D461" s="58" t="str">
        <f>IF(TYPE($A461)=1,"",('NO USAR2'!$M459-D$1)/D$2)</f>
        <v/>
      </c>
      <c r="E461" s="58" t="str">
        <f>IF(TYPE($A461)=1,"",('NO USAR2'!$N459-E$1)/E$2)</f>
        <v/>
      </c>
      <c r="F461" s="58" t="str">
        <f>IF(TYPE($A461)=1,"",('NO USAR2'!$O459-F$1)/F$2)</f>
        <v/>
      </c>
      <c r="G461" s="58" t="str">
        <f>IF(TYPE($A461)=1,"",('NO USAR2'!$P459-G$1)/G$2)</f>
        <v/>
      </c>
      <c r="H461" s="58" t="str">
        <f>IF(TYPE($A461)=1,"",('NO USAR2'!$H459-H$1)/H$2*I461/$I$1)</f>
        <v/>
      </c>
      <c r="I461" s="58" t="str">
        <f>IF(TYPE($A461)=1,"",IF('NO USAR2'!H459=0,0,'NO USAR2'!G459/'NO USAR2'!H459))</f>
        <v/>
      </c>
      <c r="J461" s="59" t="str">
        <f>IF(TYPE($A461)=1,"",('NO USAR2'!$J459-J$1)/J$2*K461/$K$1)</f>
        <v/>
      </c>
      <c r="K461" s="60" t="str">
        <f>IF(TYPE($A461)=1,"",IF('NO USAR2'!J459=0,0,'NO USAR2'!I459/'NO USAR2'!J459))</f>
        <v/>
      </c>
      <c r="L461" s="58" t="str">
        <f>IF(TYPE($A461)=1,"",('NO USAR2'!$Q459-L$1)/L$2)</f>
        <v/>
      </c>
    </row>
    <row r="462">
      <c r="B462" s="58" t="str">
        <f>IF(TYPE($A462)=1,"",('NO USAR2'!$L460-B$1)/B$2)</f>
        <v/>
      </c>
      <c r="C462" s="58" t="str">
        <f>IF(TYPE($A462)=1,"",('NO USAR2'!$K460-C$1)/C$2)</f>
        <v/>
      </c>
      <c r="D462" s="58" t="str">
        <f>IF(TYPE($A462)=1,"",('NO USAR2'!$M460-D$1)/D$2)</f>
        <v/>
      </c>
      <c r="E462" s="58" t="str">
        <f>IF(TYPE($A462)=1,"",('NO USAR2'!$N460-E$1)/E$2)</f>
        <v/>
      </c>
      <c r="F462" s="58" t="str">
        <f>IF(TYPE($A462)=1,"",('NO USAR2'!$O460-F$1)/F$2)</f>
        <v/>
      </c>
      <c r="G462" s="58" t="str">
        <f>IF(TYPE($A462)=1,"",('NO USAR2'!$P460-G$1)/G$2)</f>
        <v/>
      </c>
      <c r="H462" s="58" t="str">
        <f>IF(TYPE($A462)=1,"",('NO USAR2'!$H460-H$1)/H$2*I462/$I$1)</f>
        <v/>
      </c>
      <c r="I462" s="58" t="str">
        <f>IF(TYPE($A462)=1,"",IF('NO USAR2'!H460=0,0,'NO USAR2'!G460/'NO USAR2'!H460))</f>
        <v/>
      </c>
      <c r="J462" s="59" t="str">
        <f>IF(TYPE($A462)=1,"",('NO USAR2'!$J460-J$1)/J$2*K462/$K$1)</f>
        <v/>
      </c>
      <c r="K462" s="60" t="str">
        <f>IF(TYPE($A462)=1,"",IF('NO USAR2'!J460=0,0,'NO USAR2'!I460/'NO USAR2'!J460))</f>
        <v/>
      </c>
      <c r="L462" s="58" t="str">
        <f>IF(TYPE($A462)=1,"",('NO USAR2'!$Q460-L$1)/L$2)</f>
        <v/>
      </c>
    </row>
    <row r="463">
      <c r="B463" s="58" t="str">
        <f>IF(TYPE($A463)=1,"",('NO USAR2'!$L461-B$1)/B$2)</f>
        <v/>
      </c>
      <c r="C463" s="58" t="str">
        <f>IF(TYPE($A463)=1,"",('NO USAR2'!$K461-C$1)/C$2)</f>
        <v/>
      </c>
      <c r="D463" s="58" t="str">
        <f>IF(TYPE($A463)=1,"",('NO USAR2'!$M461-D$1)/D$2)</f>
        <v/>
      </c>
      <c r="E463" s="58" t="str">
        <f>IF(TYPE($A463)=1,"",('NO USAR2'!$N461-E$1)/E$2)</f>
        <v/>
      </c>
      <c r="F463" s="58" t="str">
        <f>IF(TYPE($A463)=1,"",('NO USAR2'!$O461-F$1)/F$2)</f>
        <v/>
      </c>
      <c r="G463" s="58" t="str">
        <f>IF(TYPE($A463)=1,"",('NO USAR2'!$P461-G$1)/G$2)</f>
        <v/>
      </c>
      <c r="H463" s="58" t="str">
        <f>IF(TYPE($A463)=1,"",('NO USAR2'!$H461-H$1)/H$2*I463/$I$1)</f>
        <v/>
      </c>
      <c r="I463" s="58" t="str">
        <f>IF(TYPE($A463)=1,"",IF('NO USAR2'!H461=0,0,'NO USAR2'!G461/'NO USAR2'!H461))</f>
        <v/>
      </c>
      <c r="J463" s="59" t="str">
        <f>IF(TYPE($A463)=1,"",('NO USAR2'!$J461-J$1)/J$2*K463/$K$1)</f>
        <v/>
      </c>
      <c r="K463" s="60" t="str">
        <f>IF(TYPE($A463)=1,"",IF('NO USAR2'!J461=0,0,'NO USAR2'!I461/'NO USAR2'!J461))</f>
        <v/>
      </c>
      <c r="L463" s="58" t="str">
        <f>IF(TYPE($A463)=1,"",('NO USAR2'!$Q461-L$1)/L$2)</f>
        <v/>
      </c>
    </row>
    <row r="464">
      <c r="B464" s="58" t="str">
        <f>IF(TYPE($A464)=1,"",('NO USAR2'!$L462-B$1)/B$2)</f>
        <v/>
      </c>
      <c r="C464" s="58" t="str">
        <f>IF(TYPE($A464)=1,"",('NO USAR2'!$K462-C$1)/C$2)</f>
        <v/>
      </c>
      <c r="D464" s="58" t="str">
        <f>IF(TYPE($A464)=1,"",('NO USAR2'!$M462-D$1)/D$2)</f>
        <v/>
      </c>
      <c r="E464" s="58" t="str">
        <f>IF(TYPE($A464)=1,"",('NO USAR2'!$N462-E$1)/E$2)</f>
        <v/>
      </c>
      <c r="F464" s="58" t="str">
        <f>IF(TYPE($A464)=1,"",('NO USAR2'!$O462-F$1)/F$2)</f>
        <v/>
      </c>
      <c r="G464" s="58" t="str">
        <f>IF(TYPE($A464)=1,"",('NO USAR2'!$P462-G$1)/G$2)</f>
        <v/>
      </c>
      <c r="H464" s="58" t="str">
        <f>IF(TYPE($A464)=1,"",('NO USAR2'!$H462-H$1)/H$2*I464/$I$1)</f>
        <v/>
      </c>
      <c r="I464" s="58" t="str">
        <f>IF(TYPE($A464)=1,"",IF('NO USAR2'!H462=0,0,'NO USAR2'!G462/'NO USAR2'!H462))</f>
        <v/>
      </c>
      <c r="J464" s="59" t="str">
        <f>IF(TYPE($A464)=1,"",('NO USAR2'!$J462-J$1)/J$2*K464/$K$1)</f>
        <v/>
      </c>
      <c r="K464" s="60" t="str">
        <f>IF(TYPE($A464)=1,"",IF('NO USAR2'!J462=0,0,'NO USAR2'!I462/'NO USAR2'!J462))</f>
        <v/>
      </c>
      <c r="L464" s="58" t="str">
        <f>IF(TYPE($A464)=1,"",('NO USAR2'!$Q462-L$1)/L$2)</f>
        <v/>
      </c>
    </row>
    <row r="465">
      <c r="B465" s="58" t="str">
        <f>IF(TYPE($A465)=1,"",('NO USAR2'!$L463-B$1)/B$2)</f>
        <v/>
      </c>
      <c r="C465" s="58" t="str">
        <f>IF(TYPE($A465)=1,"",('NO USAR2'!$K463-C$1)/C$2)</f>
        <v/>
      </c>
      <c r="D465" s="58" t="str">
        <f>IF(TYPE($A465)=1,"",('NO USAR2'!$M463-D$1)/D$2)</f>
        <v/>
      </c>
      <c r="E465" s="58" t="str">
        <f>IF(TYPE($A465)=1,"",('NO USAR2'!$N463-E$1)/E$2)</f>
        <v/>
      </c>
      <c r="F465" s="58" t="str">
        <f>IF(TYPE($A465)=1,"",('NO USAR2'!$O463-F$1)/F$2)</f>
        <v/>
      </c>
      <c r="G465" s="58" t="str">
        <f>IF(TYPE($A465)=1,"",('NO USAR2'!$P463-G$1)/G$2)</f>
        <v/>
      </c>
      <c r="H465" s="58" t="str">
        <f>IF(TYPE($A465)=1,"",('NO USAR2'!$H463-H$1)/H$2*I465/$I$1)</f>
        <v/>
      </c>
      <c r="I465" s="58" t="str">
        <f>IF(TYPE($A465)=1,"",IF('NO USAR2'!H463=0,0,'NO USAR2'!G463/'NO USAR2'!H463))</f>
        <v/>
      </c>
      <c r="J465" s="59" t="str">
        <f>IF(TYPE($A465)=1,"",('NO USAR2'!$J463-J$1)/J$2*K465/$K$1)</f>
        <v/>
      </c>
      <c r="K465" s="60" t="str">
        <f>IF(TYPE($A465)=1,"",IF('NO USAR2'!J463=0,0,'NO USAR2'!I463/'NO USAR2'!J463))</f>
        <v/>
      </c>
      <c r="L465" s="58" t="str">
        <f>IF(TYPE($A465)=1,"",('NO USAR2'!$Q463-L$1)/L$2)</f>
        <v/>
      </c>
    </row>
    <row r="466">
      <c r="B466" s="58" t="str">
        <f>IF(TYPE($A466)=1,"",('NO USAR2'!$L464-B$1)/B$2)</f>
        <v/>
      </c>
      <c r="C466" s="58" t="str">
        <f>IF(TYPE($A466)=1,"",('NO USAR2'!$K464-C$1)/C$2)</f>
        <v/>
      </c>
      <c r="D466" s="58" t="str">
        <f>IF(TYPE($A466)=1,"",('NO USAR2'!$M464-D$1)/D$2)</f>
        <v/>
      </c>
      <c r="E466" s="58" t="str">
        <f>IF(TYPE($A466)=1,"",('NO USAR2'!$N464-E$1)/E$2)</f>
        <v/>
      </c>
      <c r="F466" s="58" t="str">
        <f>IF(TYPE($A466)=1,"",('NO USAR2'!$O464-F$1)/F$2)</f>
        <v/>
      </c>
      <c r="G466" s="58" t="str">
        <f>IF(TYPE($A466)=1,"",('NO USAR2'!$P464-G$1)/G$2)</f>
        <v/>
      </c>
      <c r="H466" s="58" t="str">
        <f>IF(TYPE($A466)=1,"",('NO USAR2'!$H464-H$1)/H$2*I466/$I$1)</f>
        <v/>
      </c>
      <c r="I466" s="58" t="str">
        <f>IF(TYPE($A466)=1,"",IF('NO USAR2'!H464=0,0,'NO USAR2'!G464/'NO USAR2'!H464))</f>
        <v/>
      </c>
      <c r="J466" s="59" t="str">
        <f>IF(TYPE($A466)=1,"",('NO USAR2'!$J464-J$1)/J$2*K466/$K$1)</f>
        <v/>
      </c>
      <c r="K466" s="60" t="str">
        <f>IF(TYPE($A466)=1,"",IF('NO USAR2'!J464=0,0,'NO USAR2'!I464/'NO USAR2'!J464))</f>
        <v/>
      </c>
      <c r="L466" s="58" t="str">
        <f>IF(TYPE($A466)=1,"",('NO USAR2'!$Q464-L$1)/L$2)</f>
        <v/>
      </c>
    </row>
    <row r="467">
      <c r="B467" s="58" t="str">
        <f>IF(TYPE($A467)=1,"",('NO USAR2'!$L465-B$1)/B$2)</f>
        <v/>
      </c>
      <c r="C467" s="58" t="str">
        <f>IF(TYPE($A467)=1,"",('NO USAR2'!$K465-C$1)/C$2)</f>
        <v/>
      </c>
      <c r="D467" s="58" t="str">
        <f>IF(TYPE($A467)=1,"",('NO USAR2'!$M465-D$1)/D$2)</f>
        <v/>
      </c>
      <c r="E467" s="58" t="str">
        <f>IF(TYPE($A467)=1,"",('NO USAR2'!$N465-E$1)/E$2)</f>
        <v/>
      </c>
      <c r="F467" s="58" t="str">
        <f>IF(TYPE($A467)=1,"",('NO USAR2'!$O465-F$1)/F$2)</f>
        <v/>
      </c>
      <c r="G467" s="58" t="str">
        <f>IF(TYPE($A467)=1,"",('NO USAR2'!$P465-G$1)/G$2)</f>
        <v/>
      </c>
      <c r="H467" s="58" t="str">
        <f>IF(TYPE($A467)=1,"",('NO USAR2'!$H465-H$1)/H$2*I467/$I$1)</f>
        <v/>
      </c>
      <c r="I467" s="58" t="str">
        <f>IF(TYPE($A467)=1,"",IF('NO USAR2'!H465=0,0,'NO USAR2'!G465/'NO USAR2'!H465))</f>
        <v/>
      </c>
      <c r="J467" s="59" t="str">
        <f>IF(TYPE($A467)=1,"",('NO USAR2'!$J465-J$1)/J$2*K467/$K$1)</f>
        <v/>
      </c>
      <c r="K467" s="60" t="str">
        <f>IF(TYPE($A467)=1,"",IF('NO USAR2'!J465=0,0,'NO USAR2'!I465/'NO USAR2'!J465))</f>
        <v/>
      </c>
      <c r="L467" s="58" t="str">
        <f>IF(TYPE($A467)=1,"",('NO USAR2'!$Q465-L$1)/L$2)</f>
        <v/>
      </c>
    </row>
    <row r="468">
      <c r="B468" s="58" t="str">
        <f>IF(TYPE($A468)=1,"",('NO USAR2'!$L466-B$1)/B$2)</f>
        <v/>
      </c>
      <c r="C468" s="58" t="str">
        <f>IF(TYPE($A468)=1,"",('NO USAR2'!$K466-C$1)/C$2)</f>
        <v/>
      </c>
      <c r="D468" s="58" t="str">
        <f>IF(TYPE($A468)=1,"",('NO USAR2'!$M466-D$1)/D$2)</f>
        <v/>
      </c>
      <c r="E468" s="58" t="str">
        <f>IF(TYPE($A468)=1,"",('NO USAR2'!$N466-E$1)/E$2)</f>
        <v/>
      </c>
      <c r="F468" s="58" t="str">
        <f>IF(TYPE($A468)=1,"",('NO USAR2'!$O466-F$1)/F$2)</f>
        <v/>
      </c>
      <c r="G468" s="58" t="str">
        <f>IF(TYPE($A468)=1,"",('NO USAR2'!$P466-G$1)/G$2)</f>
        <v/>
      </c>
      <c r="H468" s="58" t="str">
        <f>IF(TYPE($A468)=1,"",('NO USAR2'!$H466-H$1)/H$2*I468/$I$1)</f>
        <v/>
      </c>
      <c r="I468" s="58" t="str">
        <f>IF(TYPE($A468)=1,"",IF('NO USAR2'!H466=0,0,'NO USAR2'!G466/'NO USAR2'!H466))</f>
        <v/>
      </c>
      <c r="J468" s="59" t="str">
        <f>IF(TYPE($A468)=1,"",('NO USAR2'!$J466-J$1)/J$2*K468/$K$1)</f>
        <v/>
      </c>
      <c r="K468" s="60" t="str">
        <f>IF(TYPE($A468)=1,"",IF('NO USAR2'!J466=0,0,'NO USAR2'!I466/'NO USAR2'!J466))</f>
        <v/>
      </c>
      <c r="L468" s="58" t="str">
        <f>IF(TYPE($A468)=1,"",('NO USAR2'!$Q466-L$1)/L$2)</f>
        <v/>
      </c>
    </row>
    <row r="469">
      <c r="B469" s="58" t="str">
        <f>IF(TYPE($A469)=1,"",('NO USAR2'!$L467-B$1)/B$2)</f>
        <v/>
      </c>
      <c r="C469" s="58" t="str">
        <f>IF(TYPE($A469)=1,"",('NO USAR2'!$K467-C$1)/C$2)</f>
        <v/>
      </c>
      <c r="D469" s="58" t="str">
        <f>IF(TYPE($A469)=1,"",('NO USAR2'!$M467-D$1)/D$2)</f>
        <v/>
      </c>
      <c r="E469" s="58" t="str">
        <f>IF(TYPE($A469)=1,"",('NO USAR2'!$N467-E$1)/E$2)</f>
        <v/>
      </c>
      <c r="F469" s="58" t="str">
        <f>IF(TYPE($A469)=1,"",('NO USAR2'!$O467-F$1)/F$2)</f>
        <v/>
      </c>
      <c r="G469" s="58" t="str">
        <f>IF(TYPE($A469)=1,"",('NO USAR2'!$P467-G$1)/G$2)</f>
        <v/>
      </c>
      <c r="H469" s="58" t="str">
        <f>IF(TYPE($A469)=1,"",('NO USAR2'!$H467-H$1)/H$2*I469/$I$1)</f>
        <v/>
      </c>
      <c r="I469" s="58" t="str">
        <f>IF(TYPE($A469)=1,"",IF('NO USAR2'!H467=0,0,'NO USAR2'!G467/'NO USAR2'!H467))</f>
        <v/>
      </c>
      <c r="J469" s="59" t="str">
        <f>IF(TYPE($A469)=1,"",('NO USAR2'!$J467-J$1)/J$2*K469/$K$1)</f>
        <v/>
      </c>
      <c r="K469" s="60" t="str">
        <f>IF(TYPE($A469)=1,"",IF('NO USAR2'!J467=0,0,'NO USAR2'!I467/'NO USAR2'!J467))</f>
        <v/>
      </c>
      <c r="L469" s="58" t="str">
        <f>IF(TYPE($A469)=1,"",('NO USAR2'!$Q467-L$1)/L$2)</f>
        <v/>
      </c>
    </row>
    <row r="470">
      <c r="B470" s="58" t="str">
        <f>IF(TYPE($A470)=1,"",('NO USAR2'!$L468-B$1)/B$2)</f>
        <v/>
      </c>
      <c r="C470" s="58" t="str">
        <f>IF(TYPE($A470)=1,"",('NO USAR2'!$K468-C$1)/C$2)</f>
        <v/>
      </c>
      <c r="D470" s="58" t="str">
        <f>IF(TYPE($A470)=1,"",('NO USAR2'!$M468-D$1)/D$2)</f>
        <v/>
      </c>
      <c r="E470" s="58" t="str">
        <f>IF(TYPE($A470)=1,"",('NO USAR2'!$N468-E$1)/E$2)</f>
        <v/>
      </c>
      <c r="F470" s="58" t="str">
        <f>IF(TYPE($A470)=1,"",('NO USAR2'!$O468-F$1)/F$2)</f>
        <v/>
      </c>
      <c r="G470" s="58" t="str">
        <f>IF(TYPE($A470)=1,"",('NO USAR2'!$P468-G$1)/G$2)</f>
        <v/>
      </c>
      <c r="H470" s="58" t="str">
        <f>IF(TYPE($A470)=1,"",('NO USAR2'!$H468-H$1)/H$2*I470/$I$1)</f>
        <v/>
      </c>
      <c r="I470" s="58" t="str">
        <f>IF(TYPE($A470)=1,"",IF('NO USAR2'!H468=0,0,'NO USAR2'!G468/'NO USAR2'!H468))</f>
        <v/>
      </c>
      <c r="J470" s="59" t="str">
        <f>IF(TYPE($A470)=1,"",('NO USAR2'!$J468-J$1)/J$2*K470/$K$1)</f>
        <v/>
      </c>
      <c r="K470" s="60" t="str">
        <f>IF(TYPE($A470)=1,"",IF('NO USAR2'!J468=0,0,'NO USAR2'!I468/'NO USAR2'!J468))</f>
        <v/>
      </c>
      <c r="L470" s="58" t="str">
        <f>IF(TYPE($A470)=1,"",('NO USAR2'!$Q468-L$1)/L$2)</f>
        <v/>
      </c>
    </row>
    <row r="471">
      <c r="B471" s="58" t="str">
        <f>IF(TYPE($A471)=1,"",('NO USAR2'!$L469-B$1)/B$2)</f>
        <v/>
      </c>
      <c r="C471" s="58" t="str">
        <f>IF(TYPE($A471)=1,"",('NO USAR2'!$K469-C$1)/C$2)</f>
        <v/>
      </c>
      <c r="D471" s="58" t="str">
        <f>IF(TYPE($A471)=1,"",('NO USAR2'!$M469-D$1)/D$2)</f>
        <v/>
      </c>
      <c r="E471" s="58" t="str">
        <f>IF(TYPE($A471)=1,"",('NO USAR2'!$N469-E$1)/E$2)</f>
        <v/>
      </c>
      <c r="F471" s="58" t="str">
        <f>IF(TYPE($A471)=1,"",('NO USAR2'!$O469-F$1)/F$2)</f>
        <v/>
      </c>
      <c r="G471" s="58" t="str">
        <f>IF(TYPE($A471)=1,"",('NO USAR2'!$P469-G$1)/G$2)</f>
        <v/>
      </c>
      <c r="H471" s="58" t="str">
        <f>IF(TYPE($A471)=1,"",('NO USAR2'!$H469-H$1)/H$2*I471/$I$1)</f>
        <v/>
      </c>
      <c r="I471" s="58" t="str">
        <f>IF(TYPE($A471)=1,"",IF('NO USAR2'!H469=0,0,'NO USAR2'!G469/'NO USAR2'!H469))</f>
        <v/>
      </c>
      <c r="J471" s="59" t="str">
        <f>IF(TYPE($A471)=1,"",('NO USAR2'!$J469-J$1)/J$2*K471/$K$1)</f>
        <v/>
      </c>
      <c r="K471" s="60" t="str">
        <f>IF(TYPE($A471)=1,"",IF('NO USAR2'!J469=0,0,'NO USAR2'!I469/'NO USAR2'!J469))</f>
        <v/>
      </c>
      <c r="L471" s="58" t="str">
        <f>IF(TYPE($A471)=1,"",('NO USAR2'!$Q469-L$1)/L$2)</f>
        <v/>
      </c>
    </row>
    <row r="472">
      <c r="B472" s="58" t="str">
        <f>IF(TYPE($A472)=1,"",('NO USAR2'!$L470-B$1)/B$2)</f>
        <v/>
      </c>
      <c r="C472" s="58" t="str">
        <f>IF(TYPE($A472)=1,"",('NO USAR2'!$K470-C$1)/C$2)</f>
        <v/>
      </c>
      <c r="D472" s="58" t="str">
        <f>IF(TYPE($A472)=1,"",('NO USAR2'!$M470-D$1)/D$2)</f>
        <v/>
      </c>
      <c r="E472" s="58" t="str">
        <f>IF(TYPE($A472)=1,"",('NO USAR2'!$N470-E$1)/E$2)</f>
        <v/>
      </c>
      <c r="F472" s="58" t="str">
        <f>IF(TYPE($A472)=1,"",('NO USAR2'!$O470-F$1)/F$2)</f>
        <v/>
      </c>
      <c r="G472" s="58" t="str">
        <f>IF(TYPE($A472)=1,"",('NO USAR2'!$P470-G$1)/G$2)</f>
        <v/>
      </c>
      <c r="H472" s="58" t="str">
        <f>IF(TYPE($A472)=1,"",('NO USAR2'!$H470-H$1)/H$2*I472/$I$1)</f>
        <v/>
      </c>
      <c r="I472" s="58" t="str">
        <f>IF(TYPE($A472)=1,"",IF('NO USAR2'!H470=0,0,'NO USAR2'!G470/'NO USAR2'!H470))</f>
        <v/>
      </c>
      <c r="J472" s="59" t="str">
        <f>IF(TYPE($A472)=1,"",('NO USAR2'!$J470-J$1)/J$2*K472/$K$1)</f>
        <v/>
      </c>
      <c r="K472" s="60" t="str">
        <f>IF(TYPE($A472)=1,"",IF('NO USAR2'!J470=0,0,'NO USAR2'!I470/'NO USAR2'!J470))</f>
        <v/>
      </c>
      <c r="L472" s="58" t="str">
        <f>IF(TYPE($A472)=1,"",('NO USAR2'!$Q470-L$1)/L$2)</f>
        <v/>
      </c>
    </row>
    <row r="473">
      <c r="B473" s="58" t="str">
        <f>IF(TYPE($A473)=1,"",('NO USAR2'!$L471-B$1)/B$2)</f>
        <v/>
      </c>
      <c r="C473" s="58" t="str">
        <f>IF(TYPE($A473)=1,"",('NO USAR2'!$K471-C$1)/C$2)</f>
        <v/>
      </c>
      <c r="D473" s="58" t="str">
        <f>IF(TYPE($A473)=1,"",('NO USAR2'!$M471-D$1)/D$2)</f>
        <v/>
      </c>
      <c r="E473" s="58" t="str">
        <f>IF(TYPE($A473)=1,"",('NO USAR2'!$N471-E$1)/E$2)</f>
        <v/>
      </c>
      <c r="F473" s="58" t="str">
        <f>IF(TYPE($A473)=1,"",('NO USAR2'!$O471-F$1)/F$2)</f>
        <v/>
      </c>
      <c r="G473" s="58" t="str">
        <f>IF(TYPE($A473)=1,"",('NO USAR2'!$P471-G$1)/G$2)</f>
        <v/>
      </c>
      <c r="H473" s="58" t="str">
        <f>IF(TYPE($A473)=1,"",('NO USAR2'!$H471-H$1)/H$2*I473/$I$1)</f>
        <v/>
      </c>
      <c r="I473" s="58" t="str">
        <f>IF(TYPE($A473)=1,"",IF('NO USAR2'!H471=0,0,'NO USAR2'!G471/'NO USAR2'!H471))</f>
        <v/>
      </c>
      <c r="J473" s="59" t="str">
        <f>IF(TYPE($A473)=1,"",('NO USAR2'!$J471-J$1)/J$2*K473/$K$1)</f>
        <v/>
      </c>
      <c r="K473" s="60" t="str">
        <f>IF(TYPE($A473)=1,"",IF('NO USAR2'!J471=0,0,'NO USAR2'!I471/'NO USAR2'!J471))</f>
        <v/>
      </c>
      <c r="L473" s="58" t="str">
        <f>IF(TYPE($A473)=1,"",('NO USAR2'!$Q471-L$1)/L$2)</f>
        <v/>
      </c>
    </row>
    <row r="474">
      <c r="B474" s="58" t="str">
        <f>IF(TYPE($A474)=1,"",('NO USAR2'!$L472-B$1)/B$2)</f>
        <v/>
      </c>
      <c r="C474" s="58" t="str">
        <f>IF(TYPE($A474)=1,"",('NO USAR2'!$K472-C$1)/C$2)</f>
        <v/>
      </c>
      <c r="D474" s="58" t="str">
        <f>IF(TYPE($A474)=1,"",('NO USAR2'!$M472-D$1)/D$2)</f>
        <v/>
      </c>
      <c r="E474" s="58" t="str">
        <f>IF(TYPE($A474)=1,"",('NO USAR2'!$N472-E$1)/E$2)</f>
        <v/>
      </c>
      <c r="F474" s="58" t="str">
        <f>IF(TYPE($A474)=1,"",('NO USAR2'!$O472-F$1)/F$2)</f>
        <v/>
      </c>
      <c r="G474" s="58" t="str">
        <f>IF(TYPE($A474)=1,"",('NO USAR2'!$P472-G$1)/G$2)</f>
        <v/>
      </c>
      <c r="H474" s="58" t="str">
        <f>IF(TYPE($A474)=1,"",('NO USAR2'!$H472-H$1)/H$2*I474/$I$1)</f>
        <v/>
      </c>
      <c r="I474" s="58" t="str">
        <f>IF(TYPE($A474)=1,"",IF('NO USAR2'!H472=0,0,'NO USAR2'!G472/'NO USAR2'!H472))</f>
        <v/>
      </c>
      <c r="J474" s="59" t="str">
        <f>IF(TYPE($A474)=1,"",('NO USAR2'!$J472-J$1)/J$2*K474/$K$1)</f>
        <v/>
      </c>
      <c r="K474" s="60" t="str">
        <f>IF(TYPE($A474)=1,"",IF('NO USAR2'!J472=0,0,'NO USAR2'!I472/'NO USAR2'!J472))</f>
        <v/>
      </c>
      <c r="L474" s="58" t="str">
        <f>IF(TYPE($A474)=1,"",('NO USAR2'!$Q472-L$1)/L$2)</f>
        <v/>
      </c>
    </row>
    <row r="475">
      <c r="B475" s="58" t="str">
        <f>IF(TYPE($A475)=1,"",('NO USAR2'!$L473-B$1)/B$2)</f>
        <v/>
      </c>
      <c r="C475" s="58" t="str">
        <f>IF(TYPE($A475)=1,"",('NO USAR2'!$K473-C$1)/C$2)</f>
        <v/>
      </c>
      <c r="D475" s="58" t="str">
        <f>IF(TYPE($A475)=1,"",('NO USAR2'!$M473-D$1)/D$2)</f>
        <v/>
      </c>
      <c r="E475" s="58" t="str">
        <f>IF(TYPE($A475)=1,"",('NO USAR2'!$N473-E$1)/E$2)</f>
        <v/>
      </c>
      <c r="F475" s="58" t="str">
        <f>IF(TYPE($A475)=1,"",('NO USAR2'!$O473-F$1)/F$2)</f>
        <v/>
      </c>
      <c r="G475" s="58" t="str">
        <f>IF(TYPE($A475)=1,"",('NO USAR2'!$P473-G$1)/G$2)</f>
        <v/>
      </c>
      <c r="H475" s="58" t="str">
        <f>IF(TYPE($A475)=1,"",('NO USAR2'!$H473-H$1)/H$2*I475/$I$1)</f>
        <v/>
      </c>
      <c r="I475" s="58" t="str">
        <f>IF(TYPE($A475)=1,"",IF('NO USAR2'!H473=0,0,'NO USAR2'!G473/'NO USAR2'!H473))</f>
        <v/>
      </c>
      <c r="J475" s="59" t="str">
        <f>IF(TYPE($A475)=1,"",('NO USAR2'!$J473-J$1)/J$2*K475/$K$1)</f>
        <v/>
      </c>
      <c r="K475" s="60" t="str">
        <f>IF(TYPE($A475)=1,"",IF('NO USAR2'!J473=0,0,'NO USAR2'!I473/'NO USAR2'!J473))</f>
        <v/>
      </c>
      <c r="L475" s="58" t="str">
        <f>IF(TYPE($A475)=1,"",('NO USAR2'!$Q473-L$1)/L$2)</f>
        <v/>
      </c>
    </row>
    <row r="476">
      <c r="B476" s="58" t="str">
        <f>IF(TYPE($A476)=1,"",('NO USAR2'!$L474-B$1)/B$2)</f>
        <v/>
      </c>
      <c r="C476" s="58" t="str">
        <f>IF(TYPE($A476)=1,"",('NO USAR2'!$K474-C$1)/C$2)</f>
        <v/>
      </c>
      <c r="D476" s="58" t="str">
        <f>IF(TYPE($A476)=1,"",('NO USAR2'!$M474-D$1)/D$2)</f>
        <v/>
      </c>
      <c r="E476" s="58" t="str">
        <f>IF(TYPE($A476)=1,"",('NO USAR2'!$N474-E$1)/E$2)</f>
        <v/>
      </c>
      <c r="F476" s="58" t="str">
        <f>IF(TYPE($A476)=1,"",('NO USAR2'!$O474-F$1)/F$2)</f>
        <v/>
      </c>
      <c r="G476" s="58" t="str">
        <f>IF(TYPE($A476)=1,"",('NO USAR2'!$P474-G$1)/G$2)</f>
        <v/>
      </c>
      <c r="H476" s="58" t="str">
        <f>IF(TYPE($A476)=1,"",('NO USAR2'!$H474-H$1)/H$2*I476/$I$1)</f>
        <v/>
      </c>
      <c r="I476" s="58" t="str">
        <f>IF(TYPE($A476)=1,"",IF('NO USAR2'!H474=0,0,'NO USAR2'!G474/'NO USAR2'!H474))</f>
        <v/>
      </c>
      <c r="J476" s="59" t="str">
        <f>IF(TYPE($A476)=1,"",('NO USAR2'!$J474-J$1)/J$2*K476/$K$1)</f>
        <v/>
      </c>
      <c r="K476" s="60" t="str">
        <f>IF(TYPE($A476)=1,"",IF('NO USAR2'!J474=0,0,'NO USAR2'!I474/'NO USAR2'!J474))</f>
        <v/>
      </c>
      <c r="L476" s="58" t="str">
        <f>IF(TYPE($A476)=1,"",('NO USAR2'!$Q474-L$1)/L$2)</f>
        <v/>
      </c>
    </row>
    <row r="477">
      <c r="B477" s="58" t="str">
        <f>IF(TYPE($A477)=1,"",('NO USAR2'!$L475-B$1)/B$2)</f>
        <v/>
      </c>
      <c r="C477" s="58" t="str">
        <f>IF(TYPE($A477)=1,"",('NO USAR2'!$K475-C$1)/C$2)</f>
        <v/>
      </c>
      <c r="D477" s="58" t="str">
        <f>IF(TYPE($A477)=1,"",('NO USAR2'!$M475-D$1)/D$2)</f>
        <v/>
      </c>
      <c r="E477" s="58" t="str">
        <f>IF(TYPE($A477)=1,"",('NO USAR2'!$N475-E$1)/E$2)</f>
        <v/>
      </c>
      <c r="F477" s="58" t="str">
        <f>IF(TYPE($A477)=1,"",('NO USAR2'!$O475-F$1)/F$2)</f>
        <v/>
      </c>
      <c r="G477" s="58" t="str">
        <f>IF(TYPE($A477)=1,"",('NO USAR2'!$P475-G$1)/G$2)</f>
        <v/>
      </c>
      <c r="H477" s="58" t="str">
        <f>IF(TYPE($A477)=1,"",('NO USAR2'!$H475-H$1)/H$2*I477/$I$1)</f>
        <v/>
      </c>
      <c r="I477" s="58" t="str">
        <f>IF(TYPE($A477)=1,"",IF('NO USAR2'!H475=0,0,'NO USAR2'!G475/'NO USAR2'!H475))</f>
        <v/>
      </c>
      <c r="J477" s="59" t="str">
        <f>IF(TYPE($A477)=1,"",('NO USAR2'!$J475-J$1)/J$2*K477/$K$1)</f>
        <v/>
      </c>
      <c r="K477" s="60" t="str">
        <f>IF(TYPE($A477)=1,"",IF('NO USAR2'!J475=0,0,'NO USAR2'!I475/'NO USAR2'!J475))</f>
        <v/>
      </c>
      <c r="L477" s="58" t="str">
        <f>IF(TYPE($A477)=1,"",('NO USAR2'!$Q475-L$1)/L$2)</f>
        <v/>
      </c>
    </row>
    <row r="478">
      <c r="B478" s="58" t="str">
        <f>IF(TYPE($A478)=1,"",('NO USAR2'!$L476-B$1)/B$2)</f>
        <v/>
      </c>
      <c r="C478" s="58" t="str">
        <f>IF(TYPE($A478)=1,"",('NO USAR2'!$K476-C$1)/C$2)</f>
        <v/>
      </c>
      <c r="D478" s="58" t="str">
        <f>IF(TYPE($A478)=1,"",('NO USAR2'!$M476-D$1)/D$2)</f>
        <v/>
      </c>
      <c r="E478" s="58" t="str">
        <f>IF(TYPE($A478)=1,"",('NO USAR2'!$N476-E$1)/E$2)</f>
        <v/>
      </c>
      <c r="F478" s="58" t="str">
        <f>IF(TYPE($A478)=1,"",('NO USAR2'!$O476-F$1)/F$2)</f>
        <v/>
      </c>
      <c r="G478" s="58" t="str">
        <f>IF(TYPE($A478)=1,"",('NO USAR2'!$P476-G$1)/G$2)</f>
        <v/>
      </c>
      <c r="H478" s="58" t="str">
        <f>IF(TYPE($A478)=1,"",('NO USAR2'!$H476-H$1)/H$2*I478/$I$1)</f>
        <v/>
      </c>
      <c r="I478" s="58" t="str">
        <f>IF(TYPE($A478)=1,"",IF('NO USAR2'!H476=0,0,'NO USAR2'!G476/'NO USAR2'!H476))</f>
        <v/>
      </c>
      <c r="J478" s="59" t="str">
        <f>IF(TYPE($A478)=1,"",('NO USAR2'!$J476-J$1)/J$2*K478/$K$1)</f>
        <v/>
      </c>
      <c r="K478" s="60" t="str">
        <f>IF(TYPE($A478)=1,"",IF('NO USAR2'!J476=0,0,'NO USAR2'!I476/'NO USAR2'!J476))</f>
        <v/>
      </c>
      <c r="L478" s="58" t="str">
        <f>IF(TYPE($A478)=1,"",('NO USAR2'!$Q476-L$1)/L$2)</f>
        <v/>
      </c>
    </row>
    <row r="479">
      <c r="B479" s="58" t="str">
        <f>IF(TYPE($A479)=1,"",('NO USAR2'!$L477-B$1)/B$2)</f>
        <v/>
      </c>
      <c r="C479" s="58" t="str">
        <f>IF(TYPE($A479)=1,"",('NO USAR2'!$K477-C$1)/C$2)</f>
        <v/>
      </c>
      <c r="D479" s="58" t="str">
        <f>IF(TYPE($A479)=1,"",('NO USAR2'!$M477-D$1)/D$2)</f>
        <v/>
      </c>
      <c r="E479" s="58" t="str">
        <f>IF(TYPE($A479)=1,"",('NO USAR2'!$N477-E$1)/E$2)</f>
        <v/>
      </c>
      <c r="F479" s="58" t="str">
        <f>IF(TYPE($A479)=1,"",('NO USAR2'!$O477-F$1)/F$2)</f>
        <v/>
      </c>
      <c r="G479" s="58" t="str">
        <f>IF(TYPE($A479)=1,"",('NO USAR2'!$P477-G$1)/G$2)</f>
        <v/>
      </c>
      <c r="H479" s="58" t="str">
        <f>IF(TYPE($A479)=1,"",('NO USAR2'!$H477-H$1)/H$2*I479/$I$1)</f>
        <v/>
      </c>
      <c r="I479" s="58" t="str">
        <f>IF(TYPE($A479)=1,"",IF('NO USAR2'!H477=0,0,'NO USAR2'!G477/'NO USAR2'!H477))</f>
        <v/>
      </c>
      <c r="J479" s="59" t="str">
        <f>IF(TYPE($A479)=1,"",('NO USAR2'!$J477-J$1)/J$2*K479/$K$1)</f>
        <v/>
      </c>
      <c r="K479" s="60" t="str">
        <f>IF(TYPE($A479)=1,"",IF('NO USAR2'!J477=0,0,'NO USAR2'!I477/'NO USAR2'!J477))</f>
        <v/>
      </c>
      <c r="L479" s="58" t="str">
        <f>IF(TYPE($A479)=1,"",('NO USAR2'!$Q477-L$1)/L$2)</f>
        <v/>
      </c>
    </row>
    <row r="480">
      <c r="B480" s="58" t="str">
        <f>IF(TYPE($A480)=1,"",('NO USAR2'!$L478-B$1)/B$2)</f>
        <v/>
      </c>
      <c r="C480" s="58" t="str">
        <f>IF(TYPE($A480)=1,"",('NO USAR2'!$K478-C$1)/C$2)</f>
        <v/>
      </c>
      <c r="D480" s="58" t="str">
        <f>IF(TYPE($A480)=1,"",('NO USAR2'!$M478-D$1)/D$2)</f>
        <v/>
      </c>
      <c r="E480" s="58" t="str">
        <f>IF(TYPE($A480)=1,"",('NO USAR2'!$N478-E$1)/E$2)</f>
        <v/>
      </c>
      <c r="F480" s="58" t="str">
        <f>IF(TYPE($A480)=1,"",('NO USAR2'!$O478-F$1)/F$2)</f>
        <v/>
      </c>
      <c r="G480" s="58" t="str">
        <f>IF(TYPE($A480)=1,"",('NO USAR2'!$P478-G$1)/G$2)</f>
        <v/>
      </c>
      <c r="H480" s="58" t="str">
        <f>IF(TYPE($A480)=1,"",('NO USAR2'!$H478-H$1)/H$2*I480/$I$1)</f>
        <v/>
      </c>
      <c r="I480" s="58" t="str">
        <f>IF(TYPE($A480)=1,"",IF('NO USAR2'!H478=0,0,'NO USAR2'!G478/'NO USAR2'!H478))</f>
        <v/>
      </c>
      <c r="J480" s="59" t="str">
        <f>IF(TYPE($A480)=1,"",('NO USAR2'!$J478-J$1)/J$2*K480/$K$1)</f>
        <v/>
      </c>
      <c r="K480" s="60" t="str">
        <f>IF(TYPE($A480)=1,"",IF('NO USAR2'!J478=0,0,'NO USAR2'!I478/'NO USAR2'!J478))</f>
        <v/>
      </c>
      <c r="L480" s="58" t="str">
        <f>IF(TYPE($A480)=1,"",('NO USAR2'!$Q478-L$1)/L$2)</f>
        <v/>
      </c>
    </row>
    <row r="481">
      <c r="B481" s="58" t="str">
        <f>IF(TYPE($A481)=1,"",('NO USAR2'!$L479-B$1)/B$2)</f>
        <v/>
      </c>
      <c r="C481" s="58" t="str">
        <f>IF(TYPE($A481)=1,"",('NO USAR2'!$K479-C$1)/C$2)</f>
        <v/>
      </c>
      <c r="D481" s="58" t="str">
        <f>IF(TYPE($A481)=1,"",('NO USAR2'!$M479-D$1)/D$2)</f>
        <v/>
      </c>
      <c r="E481" s="58" t="str">
        <f>IF(TYPE($A481)=1,"",('NO USAR2'!$N479-E$1)/E$2)</f>
        <v/>
      </c>
      <c r="F481" s="58" t="str">
        <f>IF(TYPE($A481)=1,"",('NO USAR2'!$O479-F$1)/F$2)</f>
        <v/>
      </c>
      <c r="G481" s="58" t="str">
        <f>IF(TYPE($A481)=1,"",('NO USAR2'!$P479-G$1)/G$2)</f>
        <v/>
      </c>
      <c r="H481" s="58" t="str">
        <f>IF(TYPE($A481)=1,"",('NO USAR2'!$H479-H$1)/H$2*I481/$I$1)</f>
        <v/>
      </c>
      <c r="I481" s="58" t="str">
        <f>IF(TYPE($A481)=1,"",IF('NO USAR2'!H479=0,0,'NO USAR2'!G479/'NO USAR2'!H479))</f>
        <v/>
      </c>
      <c r="J481" s="59" t="str">
        <f>IF(TYPE($A481)=1,"",('NO USAR2'!$J479-J$1)/J$2*K481/$K$1)</f>
        <v/>
      </c>
      <c r="K481" s="60" t="str">
        <f>IF(TYPE($A481)=1,"",IF('NO USAR2'!J479=0,0,'NO USAR2'!I479/'NO USAR2'!J479))</f>
        <v/>
      </c>
      <c r="L481" s="58" t="str">
        <f>IF(TYPE($A481)=1,"",('NO USAR2'!$Q479-L$1)/L$2)</f>
        <v/>
      </c>
    </row>
    <row r="482">
      <c r="B482" s="58" t="str">
        <f>IF(TYPE($A482)=1,"",('NO USAR2'!$L480-B$1)/B$2)</f>
        <v/>
      </c>
      <c r="C482" s="58" t="str">
        <f>IF(TYPE($A482)=1,"",('NO USAR2'!$K480-C$1)/C$2)</f>
        <v/>
      </c>
      <c r="D482" s="58" t="str">
        <f>IF(TYPE($A482)=1,"",('NO USAR2'!$M480-D$1)/D$2)</f>
        <v/>
      </c>
      <c r="E482" s="58" t="str">
        <f>IF(TYPE($A482)=1,"",('NO USAR2'!$N480-E$1)/E$2)</f>
        <v/>
      </c>
      <c r="F482" s="58" t="str">
        <f>IF(TYPE($A482)=1,"",('NO USAR2'!$O480-F$1)/F$2)</f>
        <v/>
      </c>
      <c r="G482" s="58" t="str">
        <f>IF(TYPE($A482)=1,"",('NO USAR2'!$P480-G$1)/G$2)</f>
        <v/>
      </c>
      <c r="H482" s="58" t="str">
        <f>IF(TYPE($A482)=1,"",('NO USAR2'!$H480-H$1)/H$2*I482/$I$1)</f>
        <v/>
      </c>
      <c r="I482" s="58" t="str">
        <f>IF(TYPE($A482)=1,"",IF('NO USAR2'!H480=0,0,'NO USAR2'!G480/'NO USAR2'!H480))</f>
        <v/>
      </c>
      <c r="J482" s="59" t="str">
        <f>IF(TYPE($A482)=1,"",('NO USAR2'!$J480-J$1)/J$2*K482/$K$1)</f>
        <v/>
      </c>
      <c r="K482" s="60" t="str">
        <f>IF(TYPE($A482)=1,"",IF('NO USAR2'!J480=0,0,'NO USAR2'!I480/'NO USAR2'!J480))</f>
        <v/>
      </c>
      <c r="L482" s="58" t="str">
        <f>IF(TYPE($A482)=1,"",('NO USAR2'!$Q480-L$1)/L$2)</f>
        <v/>
      </c>
    </row>
    <row r="483">
      <c r="B483" s="58" t="str">
        <f>IF(TYPE($A483)=1,"",('NO USAR2'!$L481-B$1)/B$2)</f>
        <v/>
      </c>
      <c r="C483" s="58" t="str">
        <f>IF(TYPE($A483)=1,"",('NO USAR2'!$K481-C$1)/C$2)</f>
        <v/>
      </c>
      <c r="D483" s="58" t="str">
        <f>IF(TYPE($A483)=1,"",('NO USAR2'!$M481-D$1)/D$2)</f>
        <v/>
      </c>
      <c r="E483" s="58" t="str">
        <f>IF(TYPE($A483)=1,"",('NO USAR2'!$N481-E$1)/E$2)</f>
        <v/>
      </c>
      <c r="F483" s="58" t="str">
        <f>IF(TYPE($A483)=1,"",('NO USAR2'!$O481-F$1)/F$2)</f>
        <v/>
      </c>
      <c r="G483" s="58" t="str">
        <f>IF(TYPE($A483)=1,"",('NO USAR2'!$P481-G$1)/G$2)</f>
        <v/>
      </c>
      <c r="H483" s="58" t="str">
        <f>IF(TYPE($A483)=1,"",('NO USAR2'!$H481-H$1)/H$2*I483/$I$1)</f>
        <v/>
      </c>
      <c r="I483" s="58" t="str">
        <f>IF(TYPE($A483)=1,"",IF('NO USAR2'!H481=0,0,'NO USAR2'!G481/'NO USAR2'!H481))</f>
        <v/>
      </c>
      <c r="J483" s="59" t="str">
        <f>IF(TYPE($A483)=1,"",('NO USAR2'!$J481-J$1)/J$2*K483/$K$1)</f>
        <v/>
      </c>
      <c r="K483" s="60" t="str">
        <f>IF(TYPE($A483)=1,"",IF('NO USAR2'!J481=0,0,'NO USAR2'!I481/'NO USAR2'!J481))</f>
        <v/>
      </c>
      <c r="L483" s="58" t="str">
        <f>IF(TYPE($A483)=1,"",('NO USAR2'!$Q481-L$1)/L$2)</f>
        <v/>
      </c>
    </row>
    <row r="484">
      <c r="B484" s="58" t="str">
        <f>IF(TYPE($A484)=1,"",('NO USAR2'!$L482-B$1)/B$2)</f>
        <v/>
      </c>
      <c r="C484" s="58" t="str">
        <f>IF(TYPE($A484)=1,"",('NO USAR2'!$K482-C$1)/C$2)</f>
        <v/>
      </c>
      <c r="D484" s="58" t="str">
        <f>IF(TYPE($A484)=1,"",('NO USAR2'!$M482-D$1)/D$2)</f>
        <v/>
      </c>
      <c r="E484" s="58" t="str">
        <f>IF(TYPE($A484)=1,"",('NO USAR2'!$N482-E$1)/E$2)</f>
        <v/>
      </c>
      <c r="F484" s="58" t="str">
        <f>IF(TYPE($A484)=1,"",('NO USAR2'!$O482-F$1)/F$2)</f>
        <v/>
      </c>
      <c r="G484" s="58" t="str">
        <f>IF(TYPE($A484)=1,"",('NO USAR2'!$P482-G$1)/G$2)</f>
        <v/>
      </c>
      <c r="H484" s="58" t="str">
        <f>IF(TYPE($A484)=1,"",('NO USAR2'!$H482-H$1)/H$2*I484/$I$1)</f>
        <v/>
      </c>
      <c r="I484" s="58" t="str">
        <f>IF(TYPE($A484)=1,"",IF('NO USAR2'!H482=0,0,'NO USAR2'!G482/'NO USAR2'!H482))</f>
        <v/>
      </c>
      <c r="J484" s="59" t="str">
        <f>IF(TYPE($A484)=1,"",('NO USAR2'!$J482-J$1)/J$2*K484/$K$1)</f>
        <v/>
      </c>
      <c r="K484" s="60" t="str">
        <f>IF(TYPE($A484)=1,"",IF('NO USAR2'!J482=0,0,'NO USAR2'!I482/'NO USAR2'!J482))</f>
        <v/>
      </c>
      <c r="L484" s="58" t="str">
        <f>IF(TYPE($A484)=1,"",('NO USAR2'!$Q482-L$1)/L$2)</f>
        <v/>
      </c>
    </row>
    <row r="485">
      <c r="B485" s="58" t="str">
        <f>IF(TYPE($A485)=1,"",('NO USAR2'!$L483-B$1)/B$2)</f>
        <v/>
      </c>
      <c r="C485" s="58" t="str">
        <f>IF(TYPE($A485)=1,"",('NO USAR2'!$K483-C$1)/C$2)</f>
        <v/>
      </c>
      <c r="D485" s="58" t="str">
        <f>IF(TYPE($A485)=1,"",('NO USAR2'!$M483-D$1)/D$2)</f>
        <v/>
      </c>
      <c r="E485" s="58" t="str">
        <f>IF(TYPE($A485)=1,"",('NO USAR2'!$N483-E$1)/E$2)</f>
        <v/>
      </c>
      <c r="F485" s="58" t="str">
        <f>IF(TYPE($A485)=1,"",('NO USAR2'!$O483-F$1)/F$2)</f>
        <v/>
      </c>
      <c r="G485" s="58" t="str">
        <f>IF(TYPE($A485)=1,"",('NO USAR2'!$P483-G$1)/G$2)</f>
        <v/>
      </c>
      <c r="H485" s="58" t="str">
        <f>IF(TYPE($A485)=1,"",('NO USAR2'!$H483-H$1)/H$2*I485/$I$1)</f>
        <v/>
      </c>
      <c r="I485" s="58" t="str">
        <f>IF(TYPE($A485)=1,"",IF('NO USAR2'!H483=0,0,'NO USAR2'!G483/'NO USAR2'!H483))</f>
        <v/>
      </c>
      <c r="J485" s="59" t="str">
        <f>IF(TYPE($A485)=1,"",('NO USAR2'!$J483-J$1)/J$2*K485/$K$1)</f>
        <v/>
      </c>
      <c r="K485" s="60" t="str">
        <f>IF(TYPE($A485)=1,"",IF('NO USAR2'!J483=0,0,'NO USAR2'!I483/'NO USAR2'!J483))</f>
        <v/>
      </c>
      <c r="L485" s="58" t="str">
        <f>IF(TYPE($A485)=1,"",('NO USAR2'!$Q483-L$1)/L$2)</f>
        <v/>
      </c>
    </row>
    <row r="486">
      <c r="B486" s="58" t="str">
        <f>IF(TYPE($A486)=1,"",('NO USAR2'!$L484-B$1)/B$2)</f>
        <v/>
      </c>
      <c r="C486" s="58" t="str">
        <f>IF(TYPE($A486)=1,"",('NO USAR2'!$K484-C$1)/C$2)</f>
        <v/>
      </c>
      <c r="D486" s="58" t="str">
        <f>IF(TYPE($A486)=1,"",('NO USAR2'!$M484-D$1)/D$2)</f>
        <v/>
      </c>
      <c r="E486" s="58" t="str">
        <f>IF(TYPE($A486)=1,"",('NO USAR2'!$N484-E$1)/E$2)</f>
        <v/>
      </c>
      <c r="F486" s="58" t="str">
        <f>IF(TYPE($A486)=1,"",('NO USAR2'!$O484-F$1)/F$2)</f>
        <v/>
      </c>
      <c r="G486" s="58" t="str">
        <f>IF(TYPE($A486)=1,"",('NO USAR2'!$P484-G$1)/G$2)</f>
        <v/>
      </c>
      <c r="H486" s="58" t="str">
        <f>IF(TYPE($A486)=1,"",('NO USAR2'!$H484-H$1)/H$2*I486/$I$1)</f>
        <v/>
      </c>
      <c r="I486" s="58" t="str">
        <f>IF(TYPE($A486)=1,"",IF('NO USAR2'!H484=0,0,'NO USAR2'!G484/'NO USAR2'!H484))</f>
        <v/>
      </c>
      <c r="J486" s="59" t="str">
        <f>IF(TYPE($A486)=1,"",('NO USAR2'!$J484-J$1)/J$2*K486/$K$1)</f>
        <v/>
      </c>
      <c r="K486" s="60" t="str">
        <f>IF(TYPE($A486)=1,"",IF('NO USAR2'!J484=0,0,'NO USAR2'!I484/'NO USAR2'!J484))</f>
        <v/>
      </c>
      <c r="L486" s="58" t="str">
        <f>IF(TYPE($A486)=1,"",('NO USAR2'!$Q484-L$1)/L$2)</f>
        <v/>
      </c>
    </row>
    <row r="487">
      <c r="B487" s="58" t="str">
        <f>IF(TYPE($A487)=1,"",('NO USAR2'!$L485-B$1)/B$2)</f>
        <v/>
      </c>
      <c r="C487" s="58" t="str">
        <f>IF(TYPE($A487)=1,"",('NO USAR2'!$K485-C$1)/C$2)</f>
        <v/>
      </c>
      <c r="D487" s="58" t="str">
        <f>IF(TYPE($A487)=1,"",('NO USAR2'!$M485-D$1)/D$2)</f>
        <v/>
      </c>
      <c r="E487" s="58" t="str">
        <f>IF(TYPE($A487)=1,"",('NO USAR2'!$N485-E$1)/E$2)</f>
        <v/>
      </c>
      <c r="F487" s="58" t="str">
        <f>IF(TYPE($A487)=1,"",('NO USAR2'!$O485-F$1)/F$2)</f>
        <v/>
      </c>
      <c r="G487" s="58" t="str">
        <f>IF(TYPE($A487)=1,"",('NO USAR2'!$P485-G$1)/G$2)</f>
        <v/>
      </c>
      <c r="H487" s="58" t="str">
        <f>IF(TYPE($A487)=1,"",('NO USAR2'!$H485-H$1)/H$2*I487/$I$1)</f>
        <v/>
      </c>
      <c r="I487" s="58" t="str">
        <f>IF(TYPE($A487)=1,"",IF('NO USAR2'!H485=0,0,'NO USAR2'!G485/'NO USAR2'!H485))</f>
        <v/>
      </c>
      <c r="J487" s="59" t="str">
        <f>IF(TYPE($A487)=1,"",('NO USAR2'!$J485-J$1)/J$2*K487/$K$1)</f>
        <v/>
      </c>
      <c r="K487" s="60" t="str">
        <f>IF(TYPE($A487)=1,"",IF('NO USAR2'!J485=0,0,'NO USAR2'!I485/'NO USAR2'!J485))</f>
        <v/>
      </c>
      <c r="L487" s="58" t="str">
        <f>IF(TYPE($A487)=1,"",('NO USAR2'!$Q485-L$1)/L$2)</f>
        <v/>
      </c>
    </row>
    <row r="488">
      <c r="B488" s="58" t="str">
        <f>IF(TYPE($A488)=1,"",('NO USAR2'!$L486-B$1)/B$2)</f>
        <v/>
      </c>
      <c r="C488" s="58" t="str">
        <f>IF(TYPE($A488)=1,"",('NO USAR2'!$K486-C$1)/C$2)</f>
        <v/>
      </c>
      <c r="D488" s="58" t="str">
        <f>IF(TYPE($A488)=1,"",('NO USAR2'!$M486-D$1)/D$2)</f>
        <v/>
      </c>
      <c r="E488" s="58" t="str">
        <f>IF(TYPE($A488)=1,"",('NO USAR2'!$N486-E$1)/E$2)</f>
        <v/>
      </c>
      <c r="F488" s="58" t="str">
        <f>IF(TYPE($A488)=1,"",('NO USAR2'!$O486-F$1)/F$2)</f>
        <v/>
      </c>
      <c r="G488" s="58" t="str">
        <f>IF(TYPE($A488)=1,"",('NO USAR2'!$P486-G$1)/G$2)</f>
        <v/>
      </c>
      <c r="H488" s="58" t="str">
        <f>IF(TYPE($A488)=1,"",('NO USAR2'!$H486-H$1)/H$2*I488/$I$1)</f>
        <v/>
      </c>
      <c r="I488" s="58" t="str">
        <f>IF(TYPE($A488)=1,"",IF('NO USAR2'!H486=0,0,'NO USAR2'!G486/'NO USAR2'!H486))</f>
        <v/>
      </c>
      <c r="J488" s="59" t="str">
        <f>IF(TYPE($A488)=1,"",('NO USAR2'!$J486-J$1)/J$2*K488/$K$1)</f>
        <v/>
      </c>
      <c r="K488" s="60" t="str">
        <f>IF(TYPE($A488)=1,"",IF('NO USAR2'!J486=0,0,'NO USAR2'!I486/'NO USAR2'!J486))</f>
        <v/>
      </c>
      <c r="L488" s="58" t="str">
        <f>IF(TYPE($A488)=1,"",('NO USAR2'!$Q486-L$1)/L$2)</f>
        <v/>
      </c>
    </row>
    <row r="489">
      <c r="B489" s="58" t="str">
        <f>IF(TYPE($A489)=1,"",('NO USAR2'!$L487-B$1)/B$2)</f>
        <v/>
      </c>
      <c r="C489" s="58" t="str">
        <f>IF(TYPE($A489)=1,"",('NO USAR2'!$K487-C$1)/C$2)</f>
        <v/>
      </c>
      <c r="D489" s="58" t="str">
        <f>IF(TYPE($A489)=1,"",('NO USAR2'!$M487-D$1)/D$2)</f>
        <v/>
      </c>
      <c r="E489" s="58" t="str">
        <f>IF(TYPE($A489)=1,"",('NO USAR2'!$N487-E$1)/E$2)</f>
        <v/>
      </c>
      <c r="F489" s="58" t="str">
        <f>IF(TYPE($A489)=1,"",('NO USAR2'!$O487-F$1)/F$2)</f>
        <v/>
      </c>
      <c r="G489" s="58" t="str">
        <f>IF(TYPE($A489)=1,"",('NO USAR2'!$P487-G$1)/G$2)</f>
        <v/>
      </c>
      <c r="H489" s="58" t="str">
        <f>IF(TYPE($A489)=1,"",('NO USAR2'!$H487-H$1)/H$2*I489/$I$1)</f>
        <v/>
      </c>
      <c r="I489" s="58" t="str">
        <f>IF(TYPE($A489)=1,"",IF('NO USAR2'!H487=0,0,'NO USAR2'!G487/'NO USAR2'!H487))</f>
        <v/>
      </c>
      <c r="J489" s="59" t="str">
        <f>IF(TYPE($A489)=1,"",('NO USAR2'!$J487-J$1)/J$2*K489/$K$1)</f>
        <v/>
      </c>
      <c r="K489" s="60" t="str">
        <f>IF(TYPE($A489)=1,"",IF('NO USAR2'!J487=0,0,'NO USAR2'!I487/'NO USAR2'!J487))</f>
        <v/>
      </c>
      <c r="L489" s="58" t="str">
        <f>IF(TYPE($A489)=1,"",('NO USAR2'!$Q487-L$1)/L$2)</f>
        <v/>
      </c>
    </row>
    <row r="490">
      <c r="B490" s="58" t="str">
        <f>IF(TYPE($A490)=1,"",('NO USAR2'!$L488-B$1)/B$2)</f>
        <v/>
      </c>
      <c r="C490" s="58" t="str">
        <f>IF(TYPE($A490)=1,"",('NO USAR2'!$K488-C$1)/C$2)</f>
        <v/>
      </c>
      <c r="D490" s="58" t="str">
        <f>IF(TYPE($A490)=1,"",('NO USAR2'!$M488-D$1)/D$2)</f>
        <v/>
      </c>
      <c r="E490" s="58" t="str">
        <f>IF(TYPE($A490)=1,"",('NO USAR2'!$N488-E$1)/E$2)</f>
        <v/>
      </c>
      <c r="F490" s="58" t="str">
        <f>IF(TYPE($A490)=1,"",('NO USAR2'!$O488-F$1)/F$2)</f>
        <v/>
      </c>
      <c r="G490" s="58" t="str">
        <f>IF(TYPE($A490)=1,"",('NO USAR2'!$P488-G$1)/G$2)</f>
        <v/>
      </c>
      <c r="H490" s="58" t="str">
        <f>IF(TYPE($A490)=1,"",('NO USAR2'!$H488-H$1)/H$2*I490/$I$1)</f>
        <v/>
      </c>
      <c r="I490" s="58" t="str">
        <f>IF(TYPE($A490)=1,"",IF('NO USAR2'!H488=0,0,'NO USAR2'!G488/'NO USAR2'!H488))</f>
        <v/>
      </c>
      <c r="J490" s="59" t="str">
        <f>IF(TYPE($A490)=1,"",('NO USAR2'!$J488-J$1)/J$2*K490/$K$1)</f>
        <v/>
      </c>
      <c r="K490" s="60" t="str">
        <f>IF(TYPE($A490)=1,"",IF('NO USAR2'!J488=0,0,'NO USAR2'!I488/'NO USAR2'!J488))</f>
        <v/>
      </c>
      <c r="L490" s="58" t="str">
        <f>IF(TYPE($A490)=1,"",('NO USAR2'!$Q488-L$1)/L$2)</f>
        <v/>
      </c>
    </row>
    <row r="491">
      <c r="B491" s="58" t="str">
        <f>IF(TYPE($A491)=1,"",('NO USAR2'!$L489-B$1)/B$2)</f>
        <v/>
      </c>
      <c r="C491" s="58" t="str">
        <f>IF(TYPE($A491)=1,"",('NO USAR2'!$K489-C$1)/C$2)</f>
        <v/>
      </c>
      <c r="D491" s="58" t="str">
        <f>IF(TYPE($A491)=1,"",('NO USAR2'!$M489-D$1)/D$2)</f>
        <v/>
      </c>
      <c r="E491" s="58" t="str">
        <f>IF(TYPE($A491)=1,"",('NO USAR2'!$N489-E$1)/E$2)</f>
        <v/>
      </c>
      <c r="F491" s="58" t="str">
        <f>IF(TYPE($A491)=1,"",('NO USAR2'!$O489-F$1)/F$2)</f>
        <v/>
      </c>
      <c r="G491" s="58" t="str">
        <f>IF(TYPE($A491)=1,"",('NO USAR2'!$P489-G$1)/G$2)</f>
        <v/>
      </c>
      <c r="H491" s="58" t="str">
        <f>IF(TYPE($A491)=1,"",('NO USAR2'!$H489-H$1)/H$2*I491/$I$1)</f>
        <v/>
      </c>
      <c r="I491" s="58" t="str">
        <f>IF(TYPE($A491)=1,"",IF('NO USAR2'!H489=0,0,'NO USAR2'!G489/'NO USAR2'!H489))</f>
        <v/>
      </c>
      <c r="J491" s="59" t="str">
        <f>IF(TYPE($A491)=1,"",('NO USAR2'!$J489-J$1)/J$2*K491/$K$1)</f>
        <v/>
      </c>
      <c r="K491" s="60" t="str">
        <f>IF(TYPE($A491)=1,"",IF('NO USAR2'!J489=0,0,'NO USAR2'!I489/'NO USAR2'!J489))</f>
        <v/>
      </c>
      <c r="L491" s="58" t="str">
        <f>IF(TYPE($A491)=1,"",('NO USAR2'!$Q489-L$1)/L$2)</f>
        <v/>
      </c>
    </row>
    <row r="492">
      <c r="B492" s="58" t="str">
        <f>IF(TYPE($A492)=1,"",('NO USAR2'!$L490-B$1)/B$2)</f>
        <v/>
      </c>
      <c r="C492" s="58" t="str">
        <f>IF(TYPE($A492)=1,"",('NO USAR2'!$K490-C$1)/C$2)</f>
        <v/>
      </c>
      <c r="D492" s="58" t="str">
        <f>IF(TYPE($A492)=1,"",('NO USAR2'!$M490-D$1)/D$2)</f>
        <v/>
      </c>
      <c r="E492" s="58" t="str">
        <f>IF(TYPE($A492)=1,"",('NO USAR2'!$N490-E$1)/E$2)</f>
        <v/>
      </c>
      <c r="F492" s="58" t="str">
        <f>IF(TYPE($A492)=1,"",('NO USAR2'!$O490-F$1)/F$2)</f>
        <v/>
      </c>
      <c r="G492" s="58" t="str">
        <f>IF(TYPE($A492)=1,"",('NO USAR2'!$P490-G$1)/G$2)</f>
        <v/>
      </c>
      <c r="H492" s="58" t="str">
        <f>IF(TYPE($A492)=1,"",('NO USAR2'!$H490-H$1)/H$2*I492/$I$1)</f>
        <v/>
      </c>
      <c r="I492" s="58" t="str">
        <f>IF(TYPE($A492)=1,"",IF('NO USAR2'!H490=0,0,'NO USAR2'!G490/'NO USAR2'!H490))</f>
        <v/>
      </c>
      <c r="J492" s="59" t="str">
        <f>IF(TYPE($A492)=1,"",('NO USAR2'!$J490-J$1)/J$2*K492/$K$1)</f>
        <v/>
      </c>
      <c r="K492" s="60" t="str">
        <f>IF(TYPE($A492)=1,"",IF('NO USAR2'!J490=0,0,'NO USAR2'!I490/'NO USAR2'!J490))</f>
        <v/>
      </c>
      <c r="L492" s="58" t="str">
        <f>IF(TYPE($A492)=1,"",('NO USAR2'!$Q490-L$1)/L$2)</f>
        <v/>
      </c>
    </row>
    <row r="493">
      <c r="B493" s="58" t="str">
        <f>IF(TYPE($A493)=1,"",('NO USAR2'!$L491-B$1)/B$2)</f>
        <v/>
      </c>
      <c r="C493" s="58" t="str">
        <f>IF(TYPE($A493)=1,"",('NO USAR2'!$K491-C$1)/C$2)</f>
        <v/>
      </c>
      <c r="D493" s="58" t="str">
        <f>IF(TYPE($A493)=1,"",('NO USAR2'!$M491-D$1)/D$2)</f>
        <v/>
      </c>
      <c r="E493" s="58" t="str">
        <f>IF(TYPE($A493)=1,"",('NO USAR2'!$N491-E$1)/E$2)</f>
        <v/>
      </c>
      <c r="F493" s="58" t="str">
        <f>IF(TYPE($A493)=1,"",('NO USAR2'!$O491-F$1)/F$2)</f>
        <v/>
      </c>
      <c r="G493" s="58" t="str">
        <f>IF(TYPE($A493)=1,"",('NO USAR2'!$P491-G$1)/G$2)</f>
        <v/>
      </c>
      <c r="H493" s="58" t="str">
        <f>IF(TYPE($A493)=1,"",('NO USAR2'!$H491-H$1)/H$2*I493/$I$1)</f>
        <v/>
      </c>
      <c r="I493" s="58" t="str">
        <f>IF(TYPE($A493)=1,"",IF('NO USAR2'!H491=0,0,'NO USAR2'!G491/'NO USAR2'!H491))</f>
        <v/>
      </c>
      <c r="J493" s="59" t="str">
        <f>IF(TYPE($A493)=1,"",('NO USAR2'!$J491-J$1)/J$2*K493/$K$1)</f>
        <v/>
      </c>
      <c r="K493" s="60" t="str">
        <f>IF(TYPE($A493)=1,"",IF('NO USAR2'!J491=0,0,'NO USAR2'!I491/'NO USAR2'!J491))</f>
        <v/>
      </c>
      <c r="L493" s="58" t="str">
        <f>IF(TYPE($A493)=1,"",('NO USAR2'!$Q491-L$1)/L$2)</f>
        <v/>
      </c>
    </row>
    <row r="494">
      <c r="B494" s="58" t="str">
        <f>IF(TYPE($A494)=1,"",('NO USAR2'!$L492-B$1)/B$2)</f>
        <v/>
      </c>
      <c r="C494" s="58" t="str">
        <f>IF(TYPE($A494)=1,"",('NO USAR2'!$K492-C$1)/C$2)</f>
        <v/>
      </c>
      <c r="D494" s="58" t="str">
        <f>IF(TYPE($A494)=1,"",('NO USAR2'!$M492-D$1)/D$2)</f>
        <v/>
      </c>
      <c r="E494" s="58" t="str">
        <f>IF(TYPE($A494)=1,"",('NO USAR2'!$N492-E$1)/E$2)</f>
        <v/>
      </c>
      <c r="F494" s="58" t="str">
        <f>IF(TYPE($A494)=1,"",('NO USAR2'!$O492-F$1)/F$2)</f>
        <v/>
      </c>
      <c r="G494" s="58" t="str">
        <f>IF(TYPE($A494)=1,"",('NO USAR2'!$P492-G$1)/G$2)</f>
        <v/>
      </c>
      <c r="H494" s="58" t="str">
        <f>IF(TYPE($A494)=1,"",('NO USAR2'!$H492-H$1)/H$2*I494/$I$1)</f>
        <v/>
      </c>
      <c r="I494" s="58" t="str">
        <f>IF(TYPE($A494)=1,"",IF('NO USAR2'!H492=0,0,'NO USAR2'!G492/'NO USAR2'!H492))</f>
        <v/>
      </c>
      <c r="J494" s="59" t="str">
        <f>IF(TYPE($A494)=1,"",('NO USAR2'!$J492-J$1)/J$2*K494/$K$1)</f>
        <v/>
      </c>
      <c r="K494" s="60" t="str">
        <f>IF(TYPE($A494)=1,"",IF('NO USAR2'!J492=0,0,'NO USAR2'!I492/'NO USAR2'!J492))</f>
        <v/>
      </c>
      <c r="L494" s="58" t="str">
        <f>IF(TYPE($A494)=1,"",('NO USAR2'!$Q492-L$1)/L$2)</f>
        <v/>
      </c>
    </row>
    <row r="495">
      <c r="B495" s="58" t="str">
        <f>IF(TYPE($A495)=1,"",('NO USAR2'!$L493-B$1)/B$2)</f>
        <v/>
      </c>
      <c r="C495" s="58" t="str">
        <f>IF(TYPE($A495)=1,"",('NO USAR2'!$K493-C$1)/C$2)</f>
        <v/>
      </c>
      <c r="D495" s="58" t="str">
        <f>IF(TYPE($A495)=1,"",('NO USAR2'!$M493-D$1)/D$2)</f>
        <v/>
      </c>
      <c r="E495" s="58" t="str">
        <f>IF(TYPE($A495)=1,"",('NO USAR2'!$N493-E$1)/E$2)</f>
        <v/>
      </c>
      <c r="F495" s="58" t="str">
        <f>IF(TYPE($A495)=1,"",('NO USAR2'!$O493-F$1)/F$2)</f>
        <v/>
      </c>
      <c r="G495" s="58" t="str">
        <f>IF(TYPE($A495)=1,"",('NO USAR2'!$P493-G$1)/G$2)</f>
        <v/>
      </c>
      <c r="H495" s="58" t="str">
        <f>IF(TYPE($A495)=1,"",('NO USAR2'!$H493-H$1)/H$2*I495/$I$1)</f>
        <v/>
      </c>
      <c r="I495" s="58" t="str">
        <f>IF(TYPE($A495)=1,"",IF('NO USAR2'!H493=0,0,'NO USAR2'!G493/'NO USAR2'!H493))</f>
        <v/>
      </c>
      <c r="J495" s="59" t="str">
        <f>IF(TYPE($A495)=1,"",('NO USAR2'!$J493-J$1)/J$2*K495/$K$1)</f>
        <v/>
      </c>
      <c r="K495" s="60" t="str">
        <f>IF(TYPE($A495)=1,"",IF('NO USAR2'!J493=0,0,'NO USAR2'!I493/'NO USAR2'!J493))</f>
        <v/>
      </c>
      <c r="L495" s="58" t="str">
        <f>IF(TYPE($A495)=1,"",('NO USAR2'!$Q493-L$1)/L$2)</f>
        <v/>
      </c>
    </row>
    <row r="496">
      <c r="B496" s="58" t="str">
        <f>IF(TYPE($A496)=1,"",('NO USAR2'!$L494-B$1)/B$2)</f>
        <v/>
      </c>
      <c r="C496" s="58" t="str">
        <f>IF(TYPE($A496)=1,"",('NO USAR2'!$K494-C$1)/C$2)</f>
        <v/>
      </c>
      <c r="D496" s="58" t="str">
        <f>IF(TYPE($A496)=1,"",('NO USAR2'!$M494-D$1)/D$2)</f>
        <v/>
      </c>
      <c r="E496" s="58" t="str">
        <f>IF(TYPE($A496)=1,"",('NO USAR2'!$N494-E$1)/E$2)</f>
        <v/>
      </c>
      <c r="F496" s="58" t="str">
        <f>IF(TYPE($A496)=1,"",('NO USAR2'!$O494-F$1)/F$2)</f>
        <v/>
      </c>
      <c r="G496" s="58" t="str">
        <f>IF(TYPE($A496)=1,"",('NO USAR2'!$P494-G$1)/G$2)</f>
        <v/>
      </c>
      <c r="H496" s="58" t="str">
        <f>IF(TYPE($A496)=1,"",('NO USAR2'!$H494-H$1)/H$2*I496/$I$1)</f>
        <v/>
      </c>
      <c r="I496" s="58" t="str">
        <f>IF(TYPE($A496)=1,"",IF('NO USAR2'!H494=0,0,'NO USAR2'!G494/'NO USAR2'!H494))</f>
        <v/>
      </c>
      <c r="J496" s="59" t="str">
        <f>IF(TYPE($A496)=1,"",('NO USAR2'!$J494-J$1)/J$2*K496/$K$1)</f>
        <v/>
      </c>
      <c r="K496" s="60" t="str">
        <f>IF(TYPE($A496)=1,"",IF('NO USAR2'!J494=0,0,'NO USAR2'!I494/'NO USAR2'!J494))</f>
        <v/>
      </c>
      <c r="L496" s="58" t="str">
        <f>IF(TYPE($A496)=1,"",('NO USAR2'!$Q494-L$1)/L$2)</f>
        <v/>
      </c>
    </row>
    <row r="497">
      <c r="B497" s="58" t="str">
        <f>IF(TYPE($A497)=1,"",('NO USAR2'!$L495-B$1)/B$2)</f>
        <v/>
      </c>
      <c r="C497" s="58" t="str">
        <f>IF(TYPE($A497)=1,"",('NO USAR2'!$K495-C$1)/C$2)</f>
        <v/>
      </c>
      <c r="D497" s="58" t="str">
        <f>IF(TYPE($A497)=1,"",('NO USAR2'!$M495-D$1)/D$2)</f>
        <v/>
      </c>
      <c r="E497" s="58" t="str">
        <f>IF(TYPE($A497)=1,"",('NO USAR2'!$N495-E$1)/E$2)</f>
        <v/>
      </c>
      <c r="F497" s="58" t="str">
        <f>IF(TYPE($A497)=1,"",('NO USAR2'!$O495-F$1)/F$2)</f>
        <v/>
      </c>
      <c r="G497" s="58" t="str">
        <f>IF(TYPE($A497)=1,"",('NO USAR2'!$P495-G$1)/G$2)</f>
        <v/>
      </c>
      <c r="H497" s="58" t="str">
        <f>IF(TYPE($A497)=1,"",('NO USAR2'!$H495-H$1)/H$2*I497/$I$1)</f>
        <v/>
      </c>
      <c r="I497" s="58" t="str">
        <f>IF(TYPE($A497)=1,"",IF('NO USAR2'!H495=0,0,'NO USAR2'!G495/'NO USAR2'!H495))</f>
        <v/>
      </c>
      <c r="J497" s="59" t="str">
        <f>IF(TYPE($A497)=1,"",('NO USAR2'!$J495-J$1)/J$2*K497/$K$1)</f>
        <v/>
      </c>
      <c r="K497" s="60" t="str">
        <f>IF(TYPE($A497)=1,"",IF('NO USAR2'!J495=0,0,'NO USAR2'!I495/'NO USAR2'!J495))</f>
        <v/>
      </c>
      <c r="L497" s="58" t="str">
        <f>IF(TYPE($A497)=1,"",('NO USAR2'!$Q495-L$1)/L$2)</f>
        <v/>
      </c>
    </row>
    <row r="498">
      <c r="B498" s="58" t="str">
        <f>IF(TYPE($A498)=1,"",('NO USAR2'!$L496-B$1)/B$2)</f>
        <v/>
      </c>
      <c r="C498" s="58" t="str">
        <f>IF(TYPE($A498)=1,"",('NO USAR2'!$K496-C$1)/C$2)</f>
        <v/>
      </c>
      <c r="D498" s="58" t="str">
        <f>IF(TYPE($A498)=1,"",('NO USAR2'!$M496-D$1)/D$2)</f>
        <v/>
      </c>
      <c r="E498" s="58" t="str">
        <f>IF(TYPE($A498)=1,"",('NO USAR2'!$N496-E$1)/E$2)</f>
        <v/>
      </c>
      <c r="F498" s="58" t="str">
        <f>IF(TYPE($A498)=1,"",('NO USAR2'!$O496-F$1)/F$2)</f>
        <v/>
      </c>
      <c r="G498" s="58" t="str">
        <f>IF(TYPE($A498)=1,"",('NO USAR2'!$P496-G$1)/G$2)</f>
        <v/>
      </c>
      <c r="H498" s="58" t="str">
        <f>IF(TYPE($A498)=1,"",('NO USAR2'!$H496-H$1)/H$2*I498/$I$1)</f>
        <v/>
      </c>
      <c r="I498" s="58" t="str">
        <f>IF(TYPE($A498)=1,"",IF('NO USAR2'!H496=0,0,'NO USAR2'!G496/'NO USAR2'!H496))</f>
        <v/>
      </c>
      <c r="J498" s="59" t="str">
        <f>IF(TYPE($A498)=1,"",('NO USAR2'!$J496-J$1)/J$2*K498/$K$1)</f>
        <v/>
      </c>
      <c r="K498" s="60" t="str">
        <f>IF(TYPE($A498)=1,"",IF('NO USAR2'!J496=0,0,'NO USAR2'!I496/'NO USAR2'!J496))</f>
        <v/>
      </c>
      <c r="L498" s="58" t="str">
        <f>IF(TYPE($A498)=1,"",('NO USAR2'!$Q496-L$1)/L$2)</f>
        <v/>
      </c>
    </row>
    <row r="499">
      <c r="B499" s="58" t="str">
        <f>IF(TYPE($A499)=1,"",('NO USAR2'!$L497-B$1)/B$2)</f>
        <v/>
      </c>
      <c r="C499" s="58" t="str">
        <f>IF(TYPE($A499)=1,"",('NO USAR2'!$K497-C$1)/C$2)</f>
        <v/>
      </c>
      <c r="D499" s="58" t="str">
        <f>IF(TYPE($A499)=1,"",('NO USAR2'!$M497-D$1)/D$2)</f>
        <v/>
      </c>
      <c r="E499" s="58" t="str">
        <f>IF(TYPE($A499)=1,"",('NO USAR2'!$N497-E$1)/E$2)</f>
        <v/>
      </c>
      <c r="F499" s="58" t="str">
        <f>IF(TYPE($A499)=1,"",('NO USAR2'!$O497-F$1)/F$2)</f>
        <v/>
      </c>
      <c r="G499" s="58" t="str">
        <f>IF(TYPE($A499)=1,"",('NO USAR2'!$P497-G$1)/G$2)</f>
        <v/>
      </c>
      <c r="H499" s="58" t="str">
        <f>IF(TYPE($A499)=1,"",('NO USAR2'!$H497-H$1)/H$2*I499/$I$1)</f>
        <v/>
      </c>
      <c r="I499" s="58" t="str">
        <f>IF(TYPE($A499)=1,"",IF('NO USAR2'!H497=0,0,'NO USAR2'!G497/'NO USAR2'!H497))</f>
        <v/>
      </c>
      <c r="J499" s="59" t="str">
        <f>IF(TYPE($A499)=1,"",('NO USAR2'!$J497-J$1)/J$2*K499/$K$1)</f>
        <v/>
      </c>
      <c r="K499" s="60" t="str">
        <f>IF(TYPE($A499)=1,"",IF('NO USAR2'!J497=0,0,'NO USAR2'!I497/'NO USAR2'!J497))</f>
        <v/>
      </c>
      <c r="L499" s="58" t="str">
        <f>IF(TYPE($A499)=1,"",('NO USAR2'!$Q497-L$1)/L$2)</f>
        <v/>
      </c>
    </row>
    <row r="500">
      <c r="B500" s="58" t="str">
        <f>IF(TYPE($A500)=1,"",('NO USAR2'!$L498-B$1)/B$2)</f>
        <v/>
      </c>
      <c r="C500" s="58" t="str">
        <f>IF(TYPE($A500)=1,"",('NO USAR2'!$K498-C$1)/C$2)</f>
        <v/>
      </c>
      <c r="D500" s="58" t="str">
        <f>IF(TYPE($A500)=1,"",('NO USAR2'!$M498-D$1)/D$2)</f>
        <v/>
      </c>
      <c r="E500" s="58" t="str">
        <f>IF(TYPE($A500)=1,"",('NO USAR2'!$N498-E$1)/E$2)</f>
        <v/>
      </c>
      <c r="F500" s="58" t="str">
        <f>IF(TYPE($A500)=1,"",('NO USAR2'!$O498-F$1)/F$2)</f>
        <v/>
      </c>
      <c r="G500" s="58" t="str">
        <f>IF(TYPE($A500)=1,"",('NO USAR2'!$P498-G$1)/G$2)</f>
        <v/>
      </c>
      <c r="H500" s="58" t="str">
        <f>IF(TYPE($A500)=1,"",('NO USAR2'!$H498-H$1)/H$2*I500/$I$1)</f>
        <v/>
      </c>
      <c r="I500" s="58" t="str">
        <f>IF(TYPE($A500)=1,"",IF('NO USAR2'!H498=0,0,'NO USAR2'!G498/'NO USAR2'!H498))</f>
        <v/>
      </c>
      <c r="J500" s="59" t="str">
        <f>IF(TYPE($A500)=1,"",('NO USAR2'!$J498-J$1)/J$2*K500/$K$1)</f>
        <v/>
      </c>
      <c r="K500" s="60" t="str">
        <f>IF(TYPE($A500)=1,"",IF('NO USAR2'!J498=0,0,'NO USAR2'!I498/'NO USAR2'!J498))</f>
        <v/>
      </c>
      <c r="L500" s="58" t="str">
        <f>IF(TYPE($A500)=1,"",('NO USAR2'!$Q498-L$1)/L$2)</f>
        <v/>
      </c>
    </row>
    <row r="501">
      <c r="B501" s="58" t="str">
        <f>IF(TYPE($A501)=1,"",('NO USAR2'!$L499-B$1)/B$2)</f>
        <v/>
      </c>
      <c r="C501" s="58" t="str">
        <f>IF(TYPE($A501)=1,"",('NO USAR2'!$K499-C$1)/C$2)</f>
        <v/>
      </c>
      <c r="D501" s="58" t="str">
        <f>IF(TYPE($A501)=1,"",('NO USAR2'!$M499-D$1)/D$2)</f>
        <v/>
      </c>
      <c r="E501" s="58" t="str">
        <f>IF(TYPE($A501)=1,"",('NO USAR2'!$N499-E$1)/E$2)</f>
        <v/>
      </c>
      <c r="F501" s="58" t="str">
        <f>IF(TYPE($A501)=1,"",('NO USAR2'!$O499-F$1)/F$2)</f>
        <v/>
      </c>
      <c r="G501" s="58" t="str">
        <f>IF(TYPE($A501)=1,"",('NO USAR2'!$P499-G$1)/G$2)</f>
        <v/>
      </c>
      <c r="H501" s="58" t="str">
        <f>IF(TYPE($A501)=1,"",('NO USAR2'!$H499-H$1)/H$2*I501/$I$1)</f>
        <v/>
      </c>
      <c r="I501" s="58" t="str">
        <f>IF(TYPE($A501)=1,"",IF('NO USAR2'!H499=0,0,'NO USAR2'!G499/'NO USAR2'!H499))</f>
        <v/>
      </c>
      <c r="J501" s="59" t="str">
        <f>IF(TYPE($A501)=1,"",('NO USAR2'!$J499-J$1)/J$2*K501/$K$1)</f>
        <v/>
      </c>
      <c r="K501" s="60" t="str">
        <f>IF(TYPE($A501)=1,"",IF('NO USAR2'!J499=0,0,'NO USAR2'!I499/'NO USAR2'!J499))</f>
        <v/>
      </c>
      <c r="L501" s="58" t="str">
        <f>IF(TYPE($A501)=1,"",('NO USAR2'!$Q499-L$1)/L$2)</f>
        <v/>
      </c>
    </row>
    <row r="502">
      <c r="B502" s="58" t="str">
        <f>IF(TYPE($A502)=1,"",('NO USAR2'!$L500-B$1)/B$2)</f>
        <v/>
      </c>
      <c r="C502" s="58" t="str">
        <f>IF(TYPE($A502)=1,"",('NO USAR2'!$K500-C$1)/C$2)</f>
        <v/>
      </c>
      <c r="D502" s="58" t="str">
        <f>IF(TYPE($A502)=1,"",('NO USAR2'!$M500-D$1)/D$2)</f>
        <v/>
      </c>
      <c r="E502" s="58" t="str">
        <f>IF(TYPE($A502)=1,"",('NO USAR2'!$N500-E$1)/E$2)</f>
        <v/>
      </c>
      <c r="F502" s="58" t="str">
        <f>IF(TYPE($A502)=1,"",('NO USAR2'!$O500-F$1)/F$2)</f>
        <v/>
      </c>
      <c r="G502" s="58" t="str">
        <f>IF(TYPE($A502)=1,"",('NO USAR2'!$P500-G$1)/G$2)</f>
        <v/>
      </c>
      <c r="H502" s="58" t="str">
        <f>IF(TYPE($A502)=1,"",('NO USAR2'!$H500-H$1)/H$2*I502/$I$1)</f>
        <v/>
      </c>
      <c r="I502" s="58" t="str">
        <f>IF(TYPE($A502)=1,"",IF('NO USAR2'!H500=0,0,'NO USAR2'!G500/'NO USAR2'!H500))</f>
        <v/>
      </c>
      <c r="J502" s="59" t="str">
        <f>IF(TYPE($A502)=1,"",('NO USAR2'!$J500-J$1)/J$2*K502/$K$1)</f>
        <v/>
      </c>
      <c r="K502" s="60" t="str">
        <f>IF(TYPE($A502)=1,"",IF('NO USAR2'!J500=0,0,'NO USAR2'!I500/'NO USAR2'!J500))</f>
        <v/>
      </c>
      <c r="L502" s="58" t="str">
        <f>IF(TYPE($A502)=1,"",('NO USAR2'!$Q500-L$1)/L$2)</f>
        <v/>
      </c>
    </row>
    <row r="503">
      <c r="B503" s="58" t="str">
        <f>IF(TYPE($A503)=1,"",('NO USAR2'!$L501-B$1)/B$2)</f>
        <v/>
      </c>
      <c r="C503" s="58" t="str">
        <f>IF(TYPE($A503)=1,"",('NO USAR2'!$K501-C$1)/C$2)</f>
        <v/>
      </c>
      <c r="D503" s="58" t="str">
        <f>IF(TYPE($A503)=1,"",('NO USAR2'!$M501-D$1)/D$2)</f>
        <v/>
      </c>
      <c r="E503" s="58" t="str">
        <f>IF(TYPE($A503)=1,"",('NO USAR2'!$N501-E$1)/E$2)</f>
        <v/>
      </c>
      <c r="F503" s="58" t="str">
        <f>IF(TYPE($A503)=1,"",('NO USAR2'!$O501-F$1)/F$2)</f>
        <v/>
      </c>
      <c r="G503" s="58" t="str">
        <f>IF(TYPE($A503)=1,"",('NO USAR2'!$P501-G$1)/G$2)</f>
        <v/>
      </c>
      <c r="H503" s="58" t="str">
        <f>IF(TYPE($A503)=1,"",('NO USAR2'!$H501-H$1)/H$2*I503/$I$1)</f>
        <v/>
      </c>
      <c r="I503" s="58" t="str">
        <f>IF(TYPE($A503)=1,"",IF('NO USAR2'!H501=0,0,'NO USAR2'!G501/'NO USAR2'!H501))</f>
        <v/>
      </c>
      <c r="J503" s="59" t="str">
        <f>IF(TYPE($A503)=1,"",('NO USAR2'!$J501-J$1)/J$2*K503/$K$1)</f>
        <v/>
      </c>
      <c r="K503" s="60" t="str">
        <f>IF(TYPE($A503)=1,"",IF('NO USAR2'!J501=0,0,'NO USAR2'!I501/'NO USAR2'!J501))</f>
        <v/>
      </c>
      <c r="L503" s="58" t="str">
        <f>IF(TYPE($A503)=1,"",('NO USAR2'!$Q501-L$1)/L$2)</f>
        <v/>
      </c>
    </row>
    <row r="504">
      <c r="B504" s="58" t="str">
        <f>IF(TYPE($A504)=1,"",('NO USAR2'!$L502-B$1)/B$2)</f>
        <v/>
      </c>
      <c r="C504" s="58" t="str">
        <f>IF(TYPE($A504)=1,"",('NO USAR2'!$K502-C$1)/C$2)</f>
        <v/>
      </c>
      <c r="D504" s="58" t="str">
        <f>IF(TYPE($A504)=1,"",('NO USAR2'!$M502-D$1)/D$2)</f>
        <v/>
      </c>
      <c r="E504" s="58" t="str">
        <f>IF(TYPE($A504)=1,"",('NO USAR2'!$N502-E$1)/E$2)</f>
        <v/>
      </c>
      <c r="F504" s="58" t="str">
        <f>IF(TYPE($A504)=1,"",('NO USAR2'!$O502-F$1)/F$2)</f>
        <v/>
      </c>
      <c r="G504" s="58" t="str">
        <f>IF(TYPE($A504)=1,"",('NO USAR2'!$P502-G$1)/G$2)</f>
        <v/>
      </c>
      <c r="H504" s="58" t="str">
        <f>IF(TYPE($A504)=1,"",('NO USAR2'!$H502-H$1)/H$2*I504/$I$1)</f>
        <v/>
      </c>
      <c r="I504" s="58" t="str">
        <f>IF(TYPE($A504)=1,"",IF('NO USAR2'!H502=0,0,'NO USAR2'!G502/'NO USAR2'!H502))</f>
        <v/>
      </c>
      <c r="J504" s="59" t="str">
        <f>IF(TYPE($A504)=1,"",('NO USAR2'!$J502-J$1)/J$2*K504/$K$1)</f>
        <v/>
      </c>
      <c r="K504" s="60" t="str">
        <f>IF(TYPE($A504)=1,"",IF('NO USAR2'!J502=0,0,'NO USAR2'!I502/'NO USAR2'!J502))</f>
        <v/>
      </c>
      <c r="L504" s="58" t="str">
        <f>IF(TYPE($A504)=1,"",('NO USAR2'!$Q502-L$1)/L$2)</f>
        <v/>
      </c>
    </row>
    <row r="505">
      <c r="B505" s="58" t="str">
        <f>IF(TYPE($A505)=1,"",('NO USAR2'!$L503-B$1)/B$2)</f>
        <v/>
      </c>
      <c r="C505" s="58" t="str">
        <f>IF(TYPE($A505)=1,"",('NO USAR2'!$K503-C$1)/C$2)</f>
        <v/>
      </c>
      <c r="D505" s="58" t="str">
        <f>IF(TYPE($A505)=1,"",('NO USAR2'!$M503-D$1)/D$2)</f>
        <v/>
      </c>
      <c r="E505" s="58" t="str">
        <f>IF(TYPE($A505)=1,"",('NO USAR2'!$N503-E$1)/E$2)</f>
        <v/>
      </c>
      <c r="F505" s="58" t="str">
        <f>IF(TYPE($A505)=1,"",('NO USAR2'!$O503-F$1)/F$2)</f>
        <v/>
      </c>
      <c r="G505" s="58" t="str">
        <f>IF(TYPE($A505)=1,"",('NO USAR2'!$P503-G$1)/G$2)</f>
        <v/>
      </c>
      <c r="H505" s="58" t="str">
        <f>IF(TYPE($A505)=1,"",('NO USAR2'!$H503-H$1)/H$2*I505/$I$1)</f>
        <v/>
      </c>
      <c r="I505" s="58" t="str">
        <f>IF(TYPE($A505)=1,"",IF('NO USAR2'!H503=0,0,'NO USAR2'!G503/'NO USAR2'!H503))</f>
        <v/>
      </c>
      <c r="J505" s="59" t="str">
        <f>IF(TYPE($A505)=1,"",('NO USAR2'!$J503-J$1)/J$2*K505/$K$1)</f>
        <v/>
      </c>
      <c r="K505" s="60" t="str">
        <f>IF(TYPE($A505)=1,"",IF('NO USAR2'!J503=0,0,'NO USAR2'!I503/'NO USAR2'!J503))</f>
        <v/>
      </c>
      <c r="L505" s="58" t="str">
        <f>IF(TYPE($A505)=1,"",('NO USAR2'!$Q503-L$1)/L$2)</f>
        <v/>
      </c>
    </row>
    <row r="506">
      <c r="B506" s="58" t="str">
        <f>IF(TYPE($A506)=1,"",('NO USAR2'!$L504-B$1)/B$2)</f>
        <v/>
      </c>
      <c r="C506" s="58" t="str">
        <f>IF(TYPE($A506)=1,"",('NO USAR2'!$K504-C$1)/C$2)</f>
        <v/>
      </c>
      <c r="D506" s="58" t="str">
        <f>IF(TYPE($A506)=1,"",('NO USAR2'!$M504-D$1)/D$2)</f>
        <v/>
      </c>
      <c r="E506" s="58" t="str">
        <f>IF(TYPE($A506)=1,"",('NO USAR2'!$N504-E$1)/E$2)</f>
        <v/>
      </c>
      <c r="F506" s="58" t="str">
        <f>IF(TYPE($A506)=1,"",('NO USAR2'!$O504-F$1)/F$2)</f>
        <v/>
      </c>
      <c r="G506" s="58" t="str">
        <f>IF(TYPE($A506)=1,"",('NO USAR2'!$P504-G$1)/G$2)</f>
        <v/>
      </c>
      <c r="H506" s="58" t="str">
        <f>IF(TYPE($A506)=1,"",('NO USAR2'!$H504-H$1)/H$2*I506/$I$1)</f>
        <v/>
      </c>
      <c r="I506" s="58" t="str">
        <f>IF(TYPE($A506)=1,"",IF('NO USAR2'!H504=0,0,'NO USAR2'!G504/'NO USAR2'!H504))</f>
        <v/>
      </c>
      <c r="J506" s="59" t="str">
        <f>IF(TYPE($A506)=1,"",('NO USAR2'!$J504-J$1)/J$2*K506/$K$1)</f>
        <v/>
      </c>
      <c r="K506" s="60" t="str">
        <f>IF(TYPE($A506)=1,"",IF('NO USAR2'!J504=0,0,'NO USAR2'!I504/'NO USAR2'!J504))</f>
        <v/>
      </c>
      <c r="L506" s="58" t="str">
        <f>IF(TYPE($A506)=1,"",('NO USAR2'!$Q504-L$1)/L$2)</f>
        <v/>
      </c>
    </row>
    <row r="507">
      <c r="B507" s="58" t="str">
        <f>IF(TYPE($A507)=1,"",('NO USAR2'!$L505-B$1)/B$2)</f>
        <v/>
      </c>
      <c r="C507" s="58" t="str">
        <f>IF(TYPE($A507)=1,"",('NO USAR2'!$K505-C$1)/C$2)</f>
        <v/>
      </c>
      <c r="D507" s="58" t="str">
        <f>IF(TYPE($A507)=1,"",('NO USAR2'!$M505-D$1)/D$2)</f>
        <v/>
      </c>
      <c r="E507" s="58" t="str">
        <f>IF(TYPE($A507)=1,"",('NO USAR2'!$N505-E$1)/E$2)</f>
        <v/>
      </c>
      <c r="F507" s="58" t="str">
        <f>IF(TYPE($A507)=1,"",('NO USAR2'!$O505-F$1)/F$2)</f>
        <v/>
      </c>
      <c r="G507" s="58" t="str">
        <f>IF(TYPE($A507)=1,"",('NO USAR2'!$P505-G$1)/G$2)</f>
        <v/>
      </c>
      <c r="H507" s="58" t="str">
        <f>IF(TYPE($A507)=1,"",('NO USAR2'!$H505-H$1)/H$2*I507/$I$1)</f>
        <v/>
      </c>
      <c r="I507" s="58" t="str">
        <f>IF(TYPE($A507)=1,"",IF('NO USAR2'!H505=0,0,'NO USAR2'!G505/'NO USAR2'!H505))</f>
        <v/>
      </c>
      <c r="J507" s="59" t="str">
        <f>IF(TYPE($A507)=1,"",('NO USAR2'!$J505-J$1)/J$2*K507/$K$1)</f>
        <v/>
      </c>
      <c r="K507" s="60" t="str">
        <f>IF(TYPE($A507)=1,"",IF('NO USAR2'!J505=0,0,'NO USAR2'!I505/'NO USAR2'!J505))</f>
        <v/>
      </c>
      <c r="L507" s="58" t="str">
        <f>IF(TYPE($A507)=1,"",('NO USAR2'!$Q505-L$1)/L$2)</f>
        <v/>
      </c>
    </row>
    <row r="508">
      <c r="B508" s="58" t="str">
        <f>IF(TYPE($A508)=1,"",('NO USAR2'!$L506-B$1)/B$2)</f>
        <v/>
      </c>
      <c r="C508" s="58" t="str">
        <f>IF(TYPE($A508)=1,"",('NO USAR2'!$K506-C$1)/C$2)</f>
        <v/>
      </c>
      <c r="D508" s="58" t="str">
        <f>IF(TYPE($A508)=1,"",('NO USAR2'!$M506-D$1)/D$2)</f>
        <v/>
      </c>
      <c r="E508" s="58" t="str">
        <f>IF(TYPE($A508)=1,"",('NO USAR2'!$N506-E$1)/E$2)</f>
        <v/>
      </c>
      <c r="F508" s="58" t="str">
        <f>IF(TYPE($A508)=1,"",('NO USAR2'!$O506-F$1)/F$2)</f>
        <v/>
      </c>
      <c r="G508" s="58" t="str">
        <f>IF(TYPE($A508)=1,"",('NO USAR2'!$P506-G$1)/G$2)</f>
        <v/>
      </c>
      <c r="H508" s="58" t="str">
        <f>IF(TYPE($A508)=1,"",('NO USAR2'!$H506-H$1)/H$2*I508/$I$1)</f>
        <v/>
      </c>
      <c r="I508" s="58" t="str">
        <f>IF(TYPE($A508)=1,"",IF('NO USAR2'!H506=0,0,'NO USAR2'!G506/'NO USAR2'!H506))</f>
        <v/>
      </c>
      <c r="J508" s="59" t="str">
        <f>IF(TYPE($A508)=1,"",('NO USAR2'!$J506-J$1)/J$2*K508/$K$1)</f>
        <v/>
      </c>
      <c r="K508" s="60" t="str">
        <f>IF(TYPE($A508)=1,"",IF('NO USAR2'!J506=0,0,'NO USAR2'!I506/'NO USAR2'!J506))</f>
        <v/>
      </c>
      <c r="L508" s="58" t="str">
        <f>IF(TYPE($A508)=1,"",('NO USAR2'!$Q506-L$1)/L$2)</f>
        <v/>
      </c>
    </row>
    <row r="509">
      <c r="B509" s="58" t="str">
        <f>IF(TYPE($A509)=1,"",('NO USAR2'!$L507-B$1)/B$2)</f>
        <v/>
      </c>
      <c r="C509" s="58" t="str">
        <f>IF(TYPE($A509)=1,"",('NO USAR2'!$K507-C$1)/C$2)</f>
        <v/>
      </c>
      <c r="D509" s="58" t="str">
        <f>IF(TYPE($A509)=1,"",('NO USAR2'!$M507-D$1)/D$2)</f>
        <v/>
      </c>
      <c r="E509" s="58" t="str">
        <f>IF(TYPE($A509)=1,"",('NO USAR2'!$N507-E$1)/E$2)</f>
        <v/>
      </c>
      <c r="F509" s="58" t="str">
        <f>IF(TYPE($A509)=1,"",('NO USAR2'!$O507-F$1)/F$2)</f>
        <v/>
      </c>
      <c r="G509" s="58" t="str">
        <f>IF(TYPE($A509)=1,"",('NO USAR2'!$P507-G$1)/G$2)</f>
        <v/>
      </c>
      <c r="H509" s="58" t="str">
        <f>IF(TYPE($A509)=1,"",('NO USAR2'!$H507-H$1)/H$2*I509/$I$1)</f>
        <v/>
      </c>
      <c r="I509" s="58" t="str">
        <f>IF(TYPE($A509)=1,"",IF('NO USAR2'!H507=0,0,'NO USAR2'!G507/'NO USAR2'!H507))</f>
        <v/>
      </c>
      <c r="J509" s="59" t="str">
        <f>IF(TYPE($A509)=1,"",('NO USAR2'!$J507-J$1)/J$2*K509/$K$1)</f>
        <v/>
      </c>
      <c r="K509" s="60" t="str">
        <f>IF(TYPE($A509)=1,"",IF('NO USAR2'!J507=0,0,'NO USAR2'!I507/'NO USAR2'!J507))</f>
        <v/>
      </c>
      <c r="L509" s="58" t="str">
        <f>IF(TYPE($A509)=1,"",('NO USAR2'!$Q507-L$1)/L$2)</f>
        <v/>
      </c>
    </row>
    <row r="510">
      <c r="B510" s="58" t="str">
        <f>IF(TYPE($A510)=1,"",('NO USAR2'!$L508-B$1)/B$2)</f>
        <v/>
      </c>
      <c r="C510" s="58" t="str">
        <f>IF(TYPE($A510)=1,"",('NO USAR2'!$K508-C$1)/C$2)</f>
        <v/>
      </c>
      <c r="D510" s="58" t="str">
        <f>IF(TYPE($A510)=1,"",('NO USAR2'!$M508-D$1)/D$2)</f>
        <v/>
      </c>
      <c r="E510" s="58" t="str">
        <f>IF(TYPE($A510)=1,"",('NO USAR2'!$N508-E$1)/E$2)</f>
        <v/>
      </c>
      <c r="F510" s="58" t="str">
        <f>IF(TYPE($A510)=1,"",('NO USAR2'!$O508-F$1)/F$2)</f>
        <v/>
      </c>
      <c r="G510" s="58" t="str">
        <f>IF(TYPE($A510)=1,"",('NO USAR2'!$P508-G$1)/G$2)</f>
        <v/>
      </c>
      <c r="H510" s="58" t="str">
        <f>IF(TYPE($A510)=1,"",('NO USAR2'!$H508-H$1)/H$2*I510/$I$1)</f>
        <v/>
      </c>
      <c r="I510" s="58" t="str">
        <f>IF(TYPE($A510)=1,"",IF('NO USAR2'!H508=0,0,'NO USAR2'!G508/'NO USAR2'!H508))</f>
        <v/>
      </c>
      <c r="J510" s="59" t="str">
        <f>IF(TYPE($A510)=1,"",('NO USAR2'!$J508-J$1)/J$2*K510/$K$1)</f>
        <v/>
      </c>
      <c r="K510" s="60" t="str">
        <f>IF(TYPE($A510)=1,"",IF('NO USAR2'!J508=0,0,'NO USAR2'!I508/'NO USAR2'!J508))</f>
        <v/>
      </c>
      <c r="L510" s="58" t="str">
        <f>IF(TYPE($A510)=1,"",('NO USAR2'!$Q508-L$1)/L$2)</f>
        <v/>
      </c>
    </row>
    <row r="511">
      <c r="B511" s="58" t="str">
        <f>IF(TYPE($A511)=1,"",('NO USAR2'!$L509-B$1)/B$2)</f>
        <v/>
      </c>
      <c r="C511" s="58" t="str">
        <f>IF(TYPE($A511)=1,"",('NO USAR2'!$K509-C$1)/C$2)</f>
        <v/>
      </c>
      <c r="D511" s="58" t="str">
        <f>IF(TYPE($A511)=1,"",('NO USAR2'!$M509-D$1)/D$2)</f>
        <v/>
      </c>
      <c r="E511" s="58" t="str">
        <f>IF(TYPE($A511)=1,"",('NO USAR2'!$N509-E$1)/E$2)</f>
        <v/>
      </c>
      <c r="F511" s="58" t="str">
        <f>IF(TYPE($A511)=1,"",('NO USAR2'!$O509-F$1)/F$2)</f>
        <v/>
      </c>
      <c r="G511" s="58" t="str">
        <f>IF(TYPE($A511)=1,"",('NO USAR2'!$P509-G$1)/G$2)</f>
        <v/>
      </c>
      <c r="H511" s="58" t="str">
        <f>IF(TYPE($A511)=1,"",('NO USAR2'!$H509-H$1)/H$2*I511/$I$1)</f>
        <v/>
      </c>
      <c r="I511" s="58" t="str">
        <f>IF(TYPE($A511)=1,"",IF('NO USAR2'!H509=0,0,'NO USAR2'!G509/'NO USAR2'!H509))</f>
        <v/>
      </c>
      <c r="J511" s="59" t="str">
        <f>IF(TYPE($A511)=1,"",('NO USAR2'!$J509-J$1)/J$2*K511/$K$1)</f>
        <v/>
      </c>
      <c r="K511" s="60" t="str">
        <f>IF(TYPE($A511)=1,"",IF('NO USAR2'!J509=0,0,'NO USAR2'!I509/'NO USAR2'!J509))</f>
        <v/>
      </c>
      <c r="L511" s="58" t="str">
        <f>IF(TYPE($A511)=1,"",('NO USAR2'!$Q509-L$1)/L$2)</f>
        <v/>
      </c>
    </row>
    <row r="512">
      <c r="B512" s="58" t="str">
        <f>IF(TYPE($A512)=1,"",('NO USAR2'!$L510-B$1)/B$2)</f>
        <v/>
      </c>
      <c r="C512" s="58" t="str">
        <f>IF(TYPE($A512)=1,"",('NO USAR2'!$K510-C$1)/C$2)</f>
        <v/>
      </c>
      <c r="D512" s="58" t="str">
        <f>IF(TYPE($A512)=1,"",('NO USAR2'!$M510-D$1)/D$2)</f>
        <v/>
      </c>
      <c r="E512" s="58" t="str">
        <f>IF(TYPE($A512)=1,"",('NO USAR2'!$N510-E$1)/E$2)</f>
        <v/>
      </c>
      <c r="F512" s="58" t="str">
        <f>IF(TYPE($A512)=1,"",('NO USAR2'!$O510-F$1)/F$2)</f>
        <v/>
      </c>
      <c r="G512" s="58" t="str">
        <f>IF(TYPE($A512)=1,"",('NO USAR2'!$P510-G$1)/G$2)</f>
        <v/>
      </c>
      <c r="H512" s="58" t="str">
        <f>IF(TYPE($A512)=1,"",('NO USAR2'!$H510-H$1)/H$2*I512/$I$1)</f>
        <v/>
      </c>
      <c r="I512" s="58" t="str">
        <f>IF(TYPE($A512)=1,"",IF('NO USAR2'!H510=0,0,'NO USAR2'!G510/'NO USAR2'!H510))</f>
        <v/>
      </c>
      <c r="J512" s="59" t="str">
        <f>IF(TYPE($A512)=1,"",('NO USAR2'!$J510-J$1)/J$2*K512/$K$1)</f>
        <v/>
      </c>
      <c r="K512" s="60" t="str">
        <f>IF(TYPE($A512)=1,"",IF('NO USAR2'!J510=0,0,'NO USAR2'!I510/'NO USAR2'!J510))</f>
        <v/>
      </c>
      <c r="L512" s="58" t="str">
        <f>IF(TYPE($A512)=1,"",('NO USAR2'!$Q510-L$1)/L$2)</f>
        <v/>
      </c>
    </row>
    <row r="513">
      <c r="B513" s="58" t="str">
        <f>IF(TYPE($A513)=1,"",('NO USAR2'!$L511-B$1)/B$2)</f>
        <v/>
      </c>
      <c r="C513" s="58" t="str">
        <f>IF(TYPE($A513)=1,"",('NO USAR2'!$K511-C$1)/C$2)</f>
        <v/>
      </c>
      <c r="D513" s="58" t="str">
        <f>IF(TYPE($A513)=1,"",('NO USAR2'!$M511-D$1)/D$2)</f>
        <v/>
      </c>
      <c r="E513" s="58" t="str">
        <f>IF(TYPE($A513)=1,"",('NO USAR2'!$N511-E$1)/E$2)</f>
        <v/>
      </c>
      <c r="F513" s="58" t="str">
        <f>IF(TYPE($A513)=1,"",('NO USAR2'!$O511-F$1)/F$2)</f>
        <v/>
      </c>
      <c r="G513" s="58" t="str">
        <f>IF(TYPE($A513)=1,"",('NO USAR2'!$P511-G$1)/G$2)</f>
        <v/>
      </c>
      <c r="H513" s="58" t="str">
        <f>IF(TYPE($A513)=1,"",('NO USAR2'!$H511-H$1)/H$2*I513/$I$1)</f>
        <v/>
      </c>
      <c r="I513" s="58" t="str">
        <f>IF(TYPE($A513)=1,"",IF('NO USAR2'!H511=0,0,'NO USAR2'!G511/'NO USAR2'!H511))</f>
        <v/>
      </c>
      <c r="J513" s="59" t="str">
        <f>IF(TYPE($A513)=1,"",('NO USAR2'!$J511-J$1)/J$2*K513/$K$1)</f>
        <v/>
      </c>
      <c r="K513" s="60" t="str">
        <f>IF(TYPE($A513)=1,"",IF('NO USAR2'!J511=0,0,'NO USAR2'!I511/'NO USAR2'!J511))</f>
        <v/>
      </c>
      <c r="L513" s="58" t="str">
        <f>IF(TYPE($A513)=1,"",('NO USAR2'!$Q511-L$1)/L$2)</f>
        <v/>
      </c>
    </row>
    <row r="514">
      <c r="B514" s="58" t="str">
        <f>IF(TYPE($A514)=1,"",('NO USAR2'!$L512-B$1)/B$2)</f>
        <v/>
      </c>
      <c r="C514" s="58" t="str">
        <f>IF(TYPE($A514)=1,"",('NO USAR2'!$K512-C$1)/C$2)</f>
        <v/>
      </c>
      <c r="D514" s="58" t="str">
        <f>IF(TYPE($A514)=1,"",('NO USAR2'!$M512-D$1)/D$2)</f>
        <v/>
      </c>
      <c r="E514" s="58" t="str">
        <f>IF(TYPE($A514)=1,"",('NO USAR2'!$N512-E$1)/E$2)</f>
        <v/>
      </c>
      <c r="F514" s="58" t="str">
        <f>IF(TYPE($A514)=1,"",('NO USAR2'!$O512-F$1)/F$2)</f>
        <v/>
      </c>
      <c r="G514" s="58" t="str">
        <f>IF(TYPE($A514)=1,"",('NO USAR2'!$P512-G$1)/G$2)</f>
        <v/>
      </c>
      <c r="H514" s="58" t="str">
        <f>IF(TYPE($A514)=1,"",('NO USAR2'!$H512-H$1)/H$2*I514/$I$1)</f>
        <v/>
      </c>
      <c r="I514" s="58" t="str">
        <f>IF(TYPE($A514)=1,"",IF('NO USAR2'!H512=0,0,'NO USAR2'!G512/'NO USAR2'!H512))</f>
        <v/>
      </c>
      <c r="J514" s="59" t="str">
        <f>IF(TYPE($A514)=1,"",('NO USAR2'!$J512-J$1)/J$2*K514/$K$1)</f>
        <v/>
      </c>
      <c r="K514" s="60" t="str">
        <f>IF(TYPE($A514)=1,"",IF('NO USAR2'!J512=0,0,'NO USAR2'!I512/'NO USAR2'!J512))</f>
        <v/>
      </c>
      <c r="L514" s="58" t="str">
        <f>IF(TYPE($A514)=1,"",('NO USAR2'!$Q512-L$1)/L$2)</f>
        <v/>
      </c>
    </row>
    <row r="515">
      <c r="B515" s="58" t="str">
        <f>IF(TYPE($A515)=1,"",('NO USAR2'!$L513-B$1)/B$2)</f>
        <v/>
      </c>
      <c r="C515" s="58" t="str">
        <f>IF(TYPE($A515)=1,"",('NO USAR2'!$K513-C$1)/C$2)</f>
        <v/>
      </c>
      <c r="D515" s="58" t="str">
        <f>IF(TYPE($A515)=1,"",('NO USAR2'!$M513-D$1)/D$2)</f>
        <v/>
      </c>
      <c r="E515" s="58" t="str">
        <f>IF(TYPE($A515)=1,"",('NO USAR2'!$N513-E$1)/E$2)</f>
        <v/>
      </c>
      <c r="F515" s="58" t="str">
        <f>IF(TYPE($A515)=1,"",('NO USAR2'!$O513-F$1)/F$2)</f>
        <v/>
      </c>
      <c r="G515" s="58" t="str">
        <f>IF(TYPE($A515)=1,"",('NO USAR2'!$P513-G$1)/G$2)</f>
        <v/>
      </c>
      <c r="H515" s="58" t="str">
        <f>IF(TYPE($A515)=1,"",('NO USAR2'!$H513-H$1)/H$2*I515/$I$1)</f>
        <v/>
      </c>
      <c r="I515" s="58" t="str">
        <f>IF(TYPE($A515)=1,"",IF('NO USAR2'!H513=0,0,'NO USAR2'!G513/'NO USAR2'!H513))</f>
        <v/>
      </c>
      <c r="J515" s="59" t="str">
        <f>IF(TYPE($A515)=1,"",('NO USAR2'!$J513-J$1)/J$2*K515/$K$1)</f>
        <v/>
      </c>
      <c r="K515" s="60" t="str">
        <f>IF(TYPE($A515)=1,"",IF('NO USAR2'!J513=0,0,'NO USAR2'!I513/'NO USAR2'!J513))</f>
        <v/>
      </c>
      <c r="L515" s="58" t="str">
        <f>IF(TYPE($A515)=1,"",('NO USAR2'!$Q513-L$1)/L$2)</f>
        <v/>
      </c>
    </row>
    <row r="516">
      <c r="B516" s="58" t="str">
        <f>IF(TYPE($A516)=1,"",('NO USAR2'!$L514-B$1)/B$2)</f>
        <v/>
      </c>
      <c r="C516" s="58" t="str">
        <f>IF(TYPE($A516)=1,"",('NO USAR2'!$K514-C$1)/C$2)</f>
        <v/>
      </c>
      <c r="D516" s="58" t="str">
        <f>IF(TYPE($A516)=1,"",('NO USAR2'!$M514-D$1)/D$2)</f>
        <v/>
      </c>
      <c r="E516" s="58" t="str">
        <f>IF(TYPE($A516)=1,"",('NO USAR2'!$N514-E$1)/E$2)</f>
        <v/>
      </c>
      <c r="F516" s="58" t="str">
        <f>IF(TYPE($A516)=1,"",('NO USAR2'!$O514-F$1)/F$2)</f>
        <v/>
      </c>
      <c r="G516" s="58" t="str">
        <f>IF(TYPE($A516)=1,"",('NO USAR2'!$P514-G$1)/G$2)</f>
        <v/>
      </c>
      <c r="H516" s="58" t="str">
        <f>IF(TYPE($A516)=1,"",('NO USAR2'!$H514-H$1)/H$2*I516/$I$1)</f>
        <v/>
      </c>
      <c r="I516" s="58" t="str">
        <f>IF(TYPE($A516)=1,"",IF('NO USAR2'!H514=0,0,'NO USAR2'!G514/'NO USAR2'!H514))</f>
        <v/>
      </c>
      <c r="J516" s="59" t="str">
        <f>IF(TYPE($A516)=1,"",('NO USAR2'!$J514-J$1)/J$2*K516/$K$1)</f>
        <v/>
      </c>
      <c r="K516" s="60" t="str">
        <f>IF(TYPE($A516)=1,"",IF('NO USAR2'!J514=0,0,'NO USAR2'!I514/'NO USAR2'!J514))</f>
        <v/>
      </c>
      <c r="L516" s="58" t="str">
        <f>IF(TYPE($A516)=1,"",('NO USAR2'!$Q514-L$1)/L$2)</f>
        <v/>
      </c>
    </row>
    <row r="517">
      <c r="B517" s="58" t="str">
        <f>IF(TYPE($A517)=1,"",('NO USAR2'!$L515-B$1)/B$2)</f>
        <v/>
      </c>
      <c r="C517" s="58" t="str">
        <f>IF(TYPE($A517)=1,"",('NO USAR2'!$K515-C$1)/C$2)</f>
        <v/>
      </c>
      <c r="D517" s="58" t="str">
        <f>IF(TYPE($A517)=1,"",('NO USAR2'!$M515-D$1)/D$2)</f>
        <v/>
      </c>
      <c r="E517" s="58" t="str">
        <f>IF(TYPE($A517)=1,"",('NO USAR2'!$N515-E$1)/E$2)</f>
        <v/>
      </c>
      <c r="F517" s="58" t="str">
        <f>IF(TYPE($A517)=1,"",('NO USAR2'!$O515-F$1)/F$2)</f>
        <v/>
      </c>
      <c r="G517" s="58" t="str">
        <f>IF(TYPE($A517)=1,"",('NO USAR2'!$P515-G$1)/G$2)</f>
        <v/>
      </c>
      <c r="H517" s="58" t="str">
        <f>IF(TYPE($A517)=1,"",('NO USAR2'!$H515-H$1)/H$2*I517/$I$1)</f>
        <v/>
      </c>
      <c r="I517" s="58" t="str">
        <f>IF(TYPE($A517)=1,"",IF('NO USAR2'!H515=0,0,'NO USAR2'!G515/'NO USAR2'!H515))</f>
        <v/>
      </c>
      <c r="J517" s="59" t="str">
        <f>IF(TYPE($A517)=1,"",('NO USAR2'!$J515-J$1)/J$2*K517/$K$1)</f>
        <v/>
      </c>
      <c r="K517" s="60" t="str">
        <f>IF(TYPE($A517)=1,"",IF('NO USAR2'!J515=0,0,'NO USAR2'!I515/'NO USAR2'!J515))</f>
        <v/>
      </c>
      <c r="L517" s="58" t="str">
        <f>IF(TYPE($A517)=1,"",('NO USAR2'!$Q515-L$1)/L$2)</f>
        <v/>
      </c>
    </row>
    <row r="518">
      <c r="B518" s="58" t="str">
        <f>IF(TYPE($A518)=1,"",('NO USAR2'!$L516-B$1)/B$2)</f>
        <v/>
      </c>
      <c r="C518" s="58" t="str">
        <f>IF(TYPE($A518)=1,"",('NO USAR2'!$K516-C$1)/C$2)</f>
        <v/>
      </c>
      <c r="D518" s="58" t="str">
        <f>IF(TYPE($A518)=1,"",('NO USAR2'!$M516-D$1)/D$2)</f>
        <v/>
      </c>
      <c r="E518" s="58" t="str">
        <f>IF(TYPE($A518)=1,"",('NO USAR2'!$N516-E$1)/E$2)</f>
        <v/>
      </c>
      <c r="F518" s="58" t="str">
        <f>IF(TYPE($A518)=1,"",('NO USAR2'!$O516-F$1)/F$2)</f>
        <v/>
      </c>
      <c r="G518" s="58" t="str">
        <f>IF(TYPE($A518)=1,"",('NO USAR2'!$P516-G$1)/G$2)</f>
        <v/>
      </c>
      <c r="H518" s="58" t="str">
        <f>IF(TYPE($A518)=1,"",('NO USAR2'!$H516-H$1)/H$2*I518/$I$1)</f>
        <v/>
      </c>
      <c r="I518" s="58" t="str">
        <f>IF(TYPE($A518)=1,"",IF('NO USAR2'!H516=0,0,'NO USAR2'!G516/'NO USAR2'!H516))</f>
        <v/>
      </c>
      <c r="J518" s="59" t="str">
        <f>IF(TYPE($A518)=1,"",('NO USAR2'!$J516-J$1)/J$2*K518/$K$1)</f>
        <v/>
      </c>
      <c r="K518" s="60" t="str">
        <f>IF(TYPE($A518)=1,"",IF('NO USAR2'!J516=0,0,'NO USAR2'!I516/'NO USAR2'!J516))</f>
        <v/>
      </c>
      <c r="L518" s="58" t="str">
        <f>IF(TYPE($A518)=1,"",('NO USAR2'!$Q516-L$1)/L$2)</f>
        <v/>
      </c>
    </row>
    <row r="519">
      <c r="B519" s="58" t="str">
        <f>IF(TYPE($A519)=1,"",('NO USAR2'!$L517-B$1)/B$2)</f>
        <v/>
      </c>
      <c r="C519" s="58" t="str">
        <f>IF(TYPE($A519)=1,"",('NO USAR2'!$K517-C$1)/C$2)</f>
        <v/>
      </c>
      <c r="D519" s="58" t="str">
        <f>IF(TYPE($A519)=1,"",('NO USAR2'!$M517-D$1)/D$2)</f>
        <v/>
      </c>
      <c r="E519" s="58" t="str">
        <f>IF(TYPE($A519)=1,"",('NO USAR2'!$N517-E$1)/E$2)</f>
        <v/>
      </c>
      <c r="F519" s="58" t="str">
        <f>IF(TYPE($A519)=1,"",('NO USAR2'!$O517-F$1)/F$2)</f>
        <v/>
      </c>
      <c r="G519" s="58" t="str">
        <f>IF(TYPE($A519)=1,"",('NO USAR2'!$P517-G$1)/G$2)</f>
        <v/>
      </c>
      <c r="H519" s="58" t="str">
        <f>IF(TYPE($A519)=1,"",('NO USAR2'!$H517-H$1)/H$2*I519/$I$1)</f>
        <v/>
      </c>
      <c r="I519" s="58" t="str">
        <f>IF(TYPE($A519)=1,"",IF('NO USAR2'!H517=0,0,'NO USAR2'!G517/'NO USAR2'!H517))</f>
        <v/>
      </c>
      <c r="J519" s="59" t="str">
        <f>IF(TYPE($A519)=1,"",('NO USAR2'!$J517-J$1)/J$2*K519/$K$1)</f>
        <v/>
      </c>
      <c r="K519" s="60" t="str">
        <f>IF(TYPE($A519)=1,"",IF('NO USAR2'!J517=0,0,'NO USAR2'!I517/'NO USAR2'!J517))</f>
        <v/>
      </c>
      <c r="L519" s="58" t="str">
        <f>IF(TYPE($A519)=1,"",('NO USAR2'!$Q517-L$1)/L$2)</f>
        <v/>
      </c>
    </row>
    <row r="520">
      <c r="B520" s="58" t="str">
        <f>IF(TYPE($A520)=1,"",('NO USAR2'!$L518-B$1)/B$2)</f>
        <v/>
      </c>
      <c r="C520" s="58" t="str">
        <f>IF(TYPE($A520)=1,"",('NO USAR2'!$K518-C$1)/C$2)</f>
        <v/>
      </c>
      <c r="D520" s="58" t="str">
        <f>IF(TYPE($A520)=1,"",('NO USAR2'!$M518-D$1)/D$2)</f>
        <v/>
      </c>
      <c r="E520" s="58" t="str">
        <f>IF(TYPE($A520)=1,"",('NO USAR2'!$N518-E$1)/E$2)</f>
        <v/>
      </c>
      <c r="F520" s="58" t="str">
        <f>IF(TYPE($A520)=1,"",('NO USAR2'!$O518-F$1)/F$2)</f>
        <v/>
      </c>
      <c r="G520" s="58" t="str">
        <f>IF(TYPE($A520)=1,"",('NO USAR2'!$P518-G$1)/G$2)</f>
        <v/>
      </c>
      <c r="H520" s="58" t="str">
        <f>IF(TYPE($A520)=1,"",('NO USAR2'!$H518-H$1)/H$2*I520/$I$1)</f>
        <v/>
      </c>
      <c r="I520" s="58" t="str">
        <f>IF(TYPE($A520)=1,"",IF('NO USAR2'!H518=0,0,'NO USAR2'!G518/'NO USAR2'!H518))</f>
        <v/>
      </c>
      <c r="J520" s="59" t="str">
        <f>IF(TYPE($A520)=1,"",('NO USAR2'!$J518-J$1)/J$2*K520/$K$1)</f>
        <v/>
      </c>
      <c r="K520" s="60" t="str">
        <f>IF(TYPE($A520)=1,"",IF('NO USAR2'!J518=0,0,'NO USAR2'!I518/'NO USAR2'!J518))</f>
        <v/>
      </c>
      <c r="L520" s="58" t="str">
        <f>IF(TYPE($A520)=1,"",('NO USAR2'!$Q518-L$1)/L$2)</f>
        <v/>
      </c>
    </row>
    <row r="521">
      <c r="B521" s="58" t="str">
        <f>IF(TYPE($A521)=1,"",('NO USAR2'!$L519-B$1)/B$2)</f>
        <v/>
      </c>
      <c r="C521" s="58" t="str">
        <f>IF(TYPE($A521)=1,"",('NO USAR2'!$K519-C$1)/C$2)</f>
        <v/>
      </c>
      <c r="D521" s="58" t="str">
        <f>IF(TYPE($A521)=1,"",('NO USAR2'!$M519-D$1)/D$2)</f>
        <v/>
      </c>
      <c r="E521" s="58" t="str">
        <f>IF(TYPE($A521)=1,"",('NO USAR2'!$N519-E$1)/E$2)</f>
        <v/>
      </c>
      <c r="F521" s="58" t="str">
        <f>IF(TYPE($A521)=1,"",('NO USAR2'!$O519-F$1)/F$2)</f>
        <v/>
      </c>
      <c r="G521" s="58" t="str">
        <f>IF(TYPE($A521)=1,"",('NO USAR2'!$P519-G$1)/G$2)</f>
        <v/>
      </c>
      <c r="H521" s="58" t="str">
        <f>IF(TYPE($A521)=1,"",('NO USAR2'!$H519-H$1)/H$2*I521/$I$1)</f>
        <v/>
      </c>
      <c r="I521" s="58" t="str">
        <f>IF(TYPE($A521)=1,"",IF('NO USAR2'!H519=0,0,'NO USAR2'!G519/'NO USAR2'!H519))</f>
        <v/>
      </c>
      <c r="J521" s="59" t="str">
        <f>IF(TYPE($A521)=1,"",('NO USAR2'!$J519-J$1)/J$2*K521/$K$1)</f>
        <v/>
      </c>
      <c r="K521" s="60" t="str">
        <f>IF(TYPE($A521)=1,"",IF('NO USAR2'!J519=0,0,'NO USAR2'!I519/'NO USAR2'!J519))</f>
        <v/>
      </c>
      <c r="L521" s="58" t="str">
        <f>IF(TYPE($A521)=1,"",('NO USAR2'!$Q519-L$1)/L$2)</f>
        <v/>
      </c>
    </row>
    <row r="522">
      <c r="B522" s="58" t="str">
        <f>IF(TYPE($A522)=1,"",('NO USAR2'!$L520-B$1)/B$2)</f>
        <v/>
      </c>
      <c r="C522" s="58" t="str">
        <f>IF(TYPE($A522)=1,"",('NO USAR2'!$K520-C$1)/C$2)</f>
        <v/>
      </c>
      <c r="D522" s="58" t="str">
        <f>IF(TYPE($A522)=1,"",('NO USAR2'!$M520-D$1)/D$2)</f>
        <v/>
      </c>
      <c r="E522" s="58" t="str">
        <f>IF(TYPE($A522)=1,"",('NO USAR2'!$N520-E$1)/E$2)</f>
        <v/>
      </c>
      <c r="F522" s="58" t="str">
        <f>IF(TYPE($A522)=1,"",('NO USAR2'!$O520-F$1)/F$2)</f>
        <v/>
      </c>
      <c r="G522" s="58" t="str">
        <f>IF(TYPE($A522)=1,"",('NO USAR2'!$P520-G$1)/G$2)</f>
        <v/>
      </c>
      <c r="H522" s="58" t="str">
        <f>IF(TYPE($A522)=1,"",('NO USAR2'!$H520-H$1)/H$2*I522/$I$1)</f>
        <v/>
      </c>
      <c r="I522" s="58" t="str">
        <f>IF(TYPE($A522)=1,"",IF('NO USAR2'!H520=0,0,'NO USAR2'!G520/'NO USAR2'!H520))</f>
        <v/>
      </c>
      <c r="J522" s="59" t="str">
        <f>IF(TYPE($A522)=1,"",('NO USAR2'!$J520-J$1)/J$2*K522/$K$1)</f>
        <v/>
      </c>
      <c r="K522" s="60" t="str">
        <f>IF(TYPE($A522)=1,"",IF('NO USAR2'!J520=0,0,'NO USAR2'!I520/'NO USAR2'!J520))</f>
        <v/>
      </c>
      <c r="L522" s="58" t="str">
        <f>IF(TYPE($A522)=1,"",('NO USAR2'!$Q520-L$1)/L$2)</f>
        <v/>
      </c>
    </row>
    <row r="523">
      <c r="B523" s="58" t="str">
        <f>IF(TYPE($A523)=1,"",('NO USAR2'!$L521-B$1)/B$2)</f>
        <v/>
      </c>
      <c r="C523" s="58" t="str">
        <f>IF(TYPE($A523)=1,"",('NO USAR2'!$K521-C$1)/C$2)</f>
        <v/>
      </c>
      <c r="D523" s="58" t="str">
        <f>IF(TYPE($A523)=1,"",('NO USAR2'!$M521-D$1)/D$2)</f>
        <v/>
      </c>
      <c r="E523" s="58" t="str">
        <f>IF(TYPE($A523)=1,"",('NO USAR2'!$N521-E$1)/E$2)</f>
        <v/>
      </c>
      <c r="F523" s="58" t="str">
        <f>IF(TYPE($A523)=1,"",('NO USAR2'!$O521-F$1)/F$2)</f>
        <v/>
      </c>
      <c r="G523" s="58" t="str">
        <f>IF(TYPE($A523)=1,"",('NO USAR2'!$P521-G$1)/G$2)</f>
        <v/>
      </c>
      <c r="H523" s="58" t="str">
        <f>IF(TYPE($A523)=1,"",('NO USAR2'!$H521-H$1)/H$2*I523/$I$1)</f>
        <v/>
      </c>
      <c r="I523" s="58" t="str">
        <f>IF(TYPE($A523)=1,"",IF('NO USAR2'!H521=0,0,'NO USAR2'!G521/'NO USAR2'!H521))</f>
        <v/>
      </c>
      <c r="J523" s="59" t="str">
        <f>IF(TYPE($A523)=1,"",('NO USAR2'!$J521-J$1)/J$2*K523/$K$1)</f>
        <v/>
      </c>
      <c r="K523" s="60" t="str">
        <f>IF(TYPE($A523)=1,"",IF('NO USAR2'!J521=0,0,'NO USAR2'!I521/'NO USAR2'!J521))</f>
        <v/>
      </c>
      <c r="L523" s="58" t="str">
        <f>IF(TYPE($A523)=1,"",('NO USAR2'!$Q521-L$1)/L$2)</f>
        <v/>
      </c>
    </row>
    <row r="524">
      <c r="B524" s="58" t="str">
        <f>IF(TYPE($A524)=1,"",('NO USAR2'!$L522-B$1)/B$2)</f>
        <v/>
      </c>
      <c r="C524" s="58" t="str">
        <f>IF(TYPE($A524)=1,"",('NO USAR2'!$K522-C$1)/C$2)</f>
        <v/>
      </c>
      <c r="D524" s="58" t="str">
        <f>IF(TYPE($A524)=1,"",('NO USAR2'!$M522-D$1)/D$2)</f>
        <v/>
      </c>
      <c r="E524" s="58" t="str">
        <f>IF(TYPE($A524)=1,"",('NO USAR2'!$N522-E$1)/E$2)</f>
        <v/>
      </c>
      <c r="F524" s="58" t="str">
        <f>IF(TYPE($A524)=1,"",('NO USAR2'!$O522-F$1)/F$2)</f>
        <v/>
      </c>
      <c r="G524" s="58" t="str">
        <f>IF(TYPE($A524)=1,"",('NO USAR2'!$P522-G$1)/G$2)</f>
        <v/>
      </c>
      <c r="H524" s="58" t="str">
        <f>IF(TYPE($A524)=1,"",('NO USAR2'!$H522-H$1)/H$2*I524/$I$1)</f>
        <v/>
      </c>
      <c r="I524" s="58" t="str">
        <f>IF(TYPE($A524)=1,"",IF('NO USAR2'!H522=0,0,'NO USAR2'!G522/'NO USAR2'!H522))</f>
        <v/>
      </c>
      <c r="J524" s="59" t="str">
        <f>IF(TYPE($A524)=1,"",('NO USAR2'!$J522-J$1)/J$2*K524/$K$1)</f>
        <v/>
      </c>
      <c r="K524" s="60" t="str">
        <f>IF(TYPE($A524)=1,"",IF('NO USAR2'!J522=0,0,'NO USAR2'!I522/'NO USAR2'!J522))</f>
        <v/>
      </c>
      <c r="L524" s="58" t="str">
        <f>IF(TYPE($A524)=1,"",('NO USAR2'!$Q522-L$1)/L$2)</f>
        <v/>
      </c>
    </row>
    <row r="525">
      <c r="B525" s="58" t="str">
        <f>IF(TYPE($A525)=1,"",('NO USAR2'!$L523-B$1)/B$2)</f>
        <v/>
      </c>
      <c r="C525" s="58" t="str">
        <f>IF(TYPE($A525)=1,"",('NO USAR2'!$K523-C$1)/C$2)</f>
        <v/>
      </c>
      <c r="D525" s="58" t="str">
        <f>IF(TYPE($A525)=1,"",('NO USAR2'!$M523-D$1)/D$2)</f>
        <v/>
      </c>
      <c r="E525" s="58" t="str">
        <f>IF(TYPE($A525)=1,"",('NO USAR2'!$N523-E$1)/E$2)</f>
        <v/>
      </c>
      <c r="F525" s="58" t="str">
        <f>IF(TYPE($A525)=1,"",('NO USAR2'!$O523-F$1)/F$2)</f>
        <v/>
      </c>
      <c r="G525" s="58" t="str">
        <f>IF(TYPE($A525)=1,"",('NO USAR2'!$P523-G$1)/G$2)</f>
        <v/>
      </c>
      <c r="H525" s="58" t="str">
        <f>IF(TYPE($A525)=1,"",('NO USAR2'!$H523-H$1)/H$2*I525/$I$1)</f>
        <v/>
      </c>
      <c r="I525" s="58" t="str">
        <f>IF(TYPE($A525)=1,"",IF('NO USAR2'!H523=0,0,'NO USAR2'!G523/'NO USAR2'!H523))</f>
        <v/>
      </c>
      <c r="J525" s="59" t="str">
        <f>IF(TYPE($A525)=1,"",('NO USAR2'!$J523-J$1)/J$2*K525/$K$1)</f>
        <v/>
      </c>
      <c r="K525" s="60" t="str">
        <f>IF(TYPE($A525)=1,"",IF('NO USAR2'!J523=0,0,'NO USAR2'!I523/'NO USAR2'!J523))</f>
        <v/>
      </c>
      <c r="L525" s="58" t="str">
        <f>IF(TYPE($A525)=1,"",('NO USAR2'!$Q523-L$1)/L$2)</f>
        <v/>
      </c>
    </row>
    <row r="526">
      <c r="B526" s="58" t="str">
        <f>IF(TYPE($A526)=1,"",('NO USAR2'!$L524-B$1)/B$2)</f>
        <v/>
      </c>
      <c r="C526" s="58" t="str">
        <f>IF(TYPE($A526)=1,"",('NO USAR2'!$K524-C$1)/C$2)</f>
        <v/>
      </c>
      <c r="D526" s="58" t="str">
        <f>IF(TYPE($A526)=1,"",('NO USAR2'!$M524-D$1)/D$2)</f>
        <v/>
      </c>
      <c r="E526" s="58" t="str">
        <f>IF(TYPE($A526)=1,"",('NO USAR2'!$N524-E$1)/E$2)</f>
        <v/>
      </c>
      <c r="F526" s="58" t="str">
        <f>IF(TYPE($A526)=1,"",('NO USAR2'!$O524-F$1)/F$2)</f>
        <v/>
      </c>
      <c r="G526" s="58" t="str">
        <f>IF(TYPE($A526)=1,"",('NO USAR2'!$P524-G$1)/G$2)</f>
        <v/>
      </c>
      <c r="H526" s="58" t="str">
        <f>IF(TYPE($A526)=1,"",('NO USAR2'!$H524-H$1)/H$2*I526/$I$1)</f>
        <v/>
      </c>
      <c r="I526" s="58" t="str">
        <f>IF(TYPE($A526)=1,"",IF('NO USAR2'!H524=0,0,'NO USAR2'!G524/'NO USAR2'!H524))</f>
        <v/>
      </c>
      <c r="J526" s="59" t="str">
        <f>IF(TYPE($A526)=1,"",('NO USAR2'!$J524-J$1)/J$2*K526/$K$1)</f>
        <v/>
      </c>
      <c r="K526" s="60" t="str">
        <f>IF(TYPE($A526)=1,"",IF('NO USAR2'!J524=0,0,'NO USAR2'!I524/'NO USAR2'!J524))</f>
        <v/>
      </c>
      <c r="L526" s="58" t="str">
        <f>IF(TYPE($A526)=1,"",('NO USAR2'!$Q524-L$1)/L$2)</f>
        <v/>
      </c>
    </row>
    <row r="527">
      <c r="B527" s="58" t="str">
        <f>IF(TYPE($A527)=1,"",('NO USAR2'!$L525-B$1)/B$2)</f>
        <v/>
      </c>
      <c r="C527" s="58" t="str">
        <f>IF(TYPE($A527)=1,"",('NO USAR2'!$K525-C$1)/C$2)</f>
        <v/>
      </c>
      <c r="D527" s="58" t="str">
        <f>IF(TYPE($A527)=1,"",('NO USAR2'!$M525-D$1)/D$2)</f>
        <v/>
      </c>
      <c r="E527" s="58" t="str">
        <f>IF(TYPE($A527)=1,"",('NO USAR2'!$N525-E$1)/E$2)</f>
        <v/>
      </c>
      <c r="F527" s="58" t="str">
        <f>IF(TYPE($A527)=1,"",('NO USAR2'!$O525-F$1)/F$2)</f>
        <v/>
      </c>
      <c r="G527" s="58" t="str">
        <f>IF(TYPE($A527)=1,"",('NO USAR2'!$P525-G$1)/G$2)</f>
        <v/>
      </c>
      <c r="H527" s="58" t="str">
        <f>IF(TYPE($A527)=1,"",('NO USAR2'!$H525-H$1)/H$2*I527/$I$1)</f>
        <v/>
      </c>
      <c r="I527" s="58" t="str">
        <f>IF(TYPE($A527)=1,"",IF('NO USAR2'!H525=0,0,'NO USAR2'!G525/'NO USAR2'!H525))</f>
        <v/>
      </c>
      <c r="J527" s="59" t="str">
        <f>IF(TYPE($A527)=1,"",('NO USAR2'!$J525-J$1)/J$2*K527/$K$1)</f>
        <v/>
      </c>
      <c r="K527" s="60" t="str">
        <f>IF(TYPE($A527)=1,"",IF('NO USAR2'!J525=0,0,'NO USAR2'!I525/'NO USAR2'!J525))</f>
        <v/>
      </c>
      <c r="L527" s="58" t="str">
        <f>IF(TYPE($A527)=1,"",('NO USAR2'!$Q525-L$1)/L$2)</f>
        <v/>
      </c>
    </row>
    <row r="528">
      <c r="B528" s="58" t="str">
        <f>IF(TYPE($A528)=1,"",('NO USAR2'!$L526-B$1)/B$2)</f>
        <v/>
      </c>
      <c r="C528" s="58" t="str">
        <f>IF(TYPE($A528)=1,"",('NO USAR2'!$K526-C$1)/C$2)</f>
        <v/>
      </c>
      <c r="D528" s="58" t="str">
        <f>IF(TYPE($A528)=1,"",('NO USAR2'!$M526-D$1)/D$2)</f>
        <v/>
      </c>
      <c r="E528" s="58" t="str">
        <f>IF(TYPE($A528)=1,"",('NO USAR2'!$N526-E$1)/E$2)</f>
        <v/>
      </c>
      <c r="F528" s="58" t="str">
        <f>IF(TYPE($A528)=1,"",('NO USAR2'!$O526-F$1)/F$2)</f>
        <v/>
      </c>
      <c r="G528" s="58" t="str">
        <f>IF(TYPE($A528)=1,"",('NO USAR2'!$P526-G$1)/G$2)</f>
        <v/>
      </c>
      <c r="H528" s="58" t="str">
        <f>IF(TYPE($A528)=1,"",('NO USAR2'!$H526-H$1)/H$2*I528/$I$1)</f>
        <v/>
      </c>
      <c r="I528" s="58" t="str">
        <f>IF(TYPE($A528)=1,"",IF('NO USAR2'!H526=0,0,'NO USAR2'!G526/'NO USAR2'!H526))</f>
        <v/>
      </c>
      <c r="J528" s="59" t="str">
        <f>IF(TYPE($A528)=1,"",('NO USAR2'!$J526-J$1)/J$2*K528/$K$1)</f>
        <v/>
      </c>
      <c r="K528" s="60" t="str">
        <f>IF(TYPE($A528)=1,"",IF('NO USAR2'!J526=0,0,'NO USAR2'!I526/'NO USAR2'!J526))</f>
        <v/>
      </c>
      <c r="L528" s="58" t="str">
        <f>IF(TYPE($A528)=1,"",('NO USAR2'!$Q526-L$1)/L$2)</f>
        <v/>
      </c>
    </row>
    <row r="529">
      <c r="B529" s="58" t="str">
        <f>IF(TYPE($A529)=1,"",('NO USAR2'!$L527-B$1)/B$2)</f>
        <v/>
      </c>
      <c r="C529" s="58" t="str">
        <f>IF(TYPE($A529)=1,"",('NO USAR2'!$K527-C$1)/C$2)</f>
        <v/>
      </c>
      <c r="D529" s="58" t="str">
        <f>IF(TYPE($A529)=1,"",('NO USAR2'!$M527-D$1)/D$2)</f>
        <v/>
      </c>
      <c r="E529" s="58" t="str">
        <f>IF(TYPE($A529)=1,"",('NO USAR2'!$N527-E$1)/E$2)</f>
        <v/>
      </c>
      <c r="F529" s="58" t="str">
        <f>IF(TYPE($A529)=1,"",('NO USAR2'!$O527-F$1)/F$2)</f>
        <v/>
      </c>
      <c r="G529" s="58" t="str">
        <f>IF(TYPE($A529)=1,"",('NO USAR2'!$P527-G$1)/G$2)</f>
        <v/>
      </c>
      <c r="H529" s="58" t="str">
        <f>IF(TYPE($A529)=1,"",('NO USAR2'!$H527-H$1)/H$2*I529/$I$1)</f>
        <v/>
      </c>
      <c r="I529" s="58" t="str">
        <f>IF(TYPE($A529)=1,"",IF('NO USAR2'!H527=0,0,'NO USAR2'!G527/'NO USAR2'!H527))</f>
        <v/>
      </c>
      <c r="J529" s="59" t="str">
        <f>IF(TYPE($A529)=1,"",('NO USAR2'!$J527-J$1)/J$2*K529/$K$1)</f>
        <v/>
      </c>
      <c r="K529" s="60" t="str">
        <f>IF(TYPE($A529)=1,"",IF('NO USAR2'!J527=0,0,'NO USAR2'!I527/'NO USAR2'!J527))</f>
        <v/>
      </c>
      <c r="L529" s="58" t="str">
        <f>IF(TYPE($A529)=1,"",('NO USAR2'!$Q527-L$1)/L$2)</f>
        <v/>
      </c>
    </row>
    <row r="530">
      <c r="B530" s="58" t="str">
        <f>IF(TYPE($A530)=1,"",('NO USAR2'!$L528-B$1)/B$2)</f>
        <v/>
      </c>
      <c r="C530" s="58" t="str">
        <f>IF(TYPE($A530)=1,"",('NO USAR2'!$K528-C$1)/C$2)</f>
        <v/>
      </c>
      <c r="D530" s="58" t="str">
        <f>IF(TYPE($A530)=1,"",('NO USAR2'!$M528-D$1)/D$2)</f>
        <v/>
      </c>
      <c r="E530" s="58" t="str">
        <f>IF(TYPE($A530)=1,"",('NO USAR2'!$N528-E$1)/E$2)</f>
        <v/>
      </c>
      <c r="F530" s="58" t="str">
        <f>IF(TYPE($A530)=1,"",('NO USAR2'!$O528-F$1)/F$2)</f>
        <v/>
      </c>
      <c r="G530" s="58" t="str">
        <f>IF(TYPE($A530)=1,"",('NO USAR2'!$P528-G$1)/G$2)</f>
        <v/>
      </c>
      <c r="H530" s="58" t="str">
        <f>IF(TYPE($A530)=1,"",('NO USAR2'!$H528-H$1)/H$2*I530/$I$1)</f>
        <v/>
      </c>
      <c r="I530" s="58" t="str">
        <f>IF(TYPE($A530)=1,"",IF('NO USAR2'!H528=0,0,'NO USAR2'!G528/'NO USAR2'!H528))</f>
        <v/>
      </c>
      <c r="J530" s="59" t="str">
        <f>IF(TYPE($A530)=1,"",('NO USAR2'!$J528-J$1)/J$2*K530/$K$1)</f>
        <v/>
      </c>
      <c r="K530" s="60" t="str">
        <f>IF(TYPE($A530)=1,"",IF('NO USAR2'!J528=0,0,'NO USAR2'!I528/'NO USAR2'!J528))</f>
        <v/>
      </c>
      <c r="L530" s="58" t="str">
        <f>IF(TYPE($A530)=1,"",('NO USAR2'!$Q528-L$1)/L$2)</f>
        <v/>
      </c>
    </row>
    <row r="531">
      <c r="B531" s="58" t="str">
        <f>IF(TYPE($A531)=1,"",('NO USAR2'!$L529-B$1)/B$2)</f>
        <v/>
      </c>
      <c r="C531" s="58" t="str">
        <f>IF(TYPE($A531)=1,"",('NO USAR2'!$K529-C$1)/C$2)</f>
        <v/>
      </c>
      <c r="D531" s="58" t="str">
        <f>IF(TYPE($A531)=1,"",('NO USAR2'!$M529-D$1)/D$2)</f>
        <v/>
      </c>
      <c r="E531" s="58" t="str">
        <f>IF(TYPE($A531)=1,"",('NO USAR2'!$N529-E$1)/E$2)</f>
        <v/>
      </c>
      <c r="F531" s="58" t="str">
        <f>IF(TYPE($A531)=1,"",('NO USAR2'!$O529-F$1)/F$2)</f>
        <v/>
      </c>
      <c r="G531" s="58" t="str">
        <f>IF(TYPE($A531)=1,"",('NO USAR2'!$P529-G$1)/G$2)</f>
        <v/>
      </c>
      <c r="H531" s="58" t="str">
        <f>IF(TYPE($A531)=1,"",('NO USAR2'!$H529-H$1)/H$2*I531/$I$1)</f>
        <v/>
      </c>
      <c r="I531" s="58" t="str">
        <f>IF(TYPE($A531)=1,"",IF('NO USAR2'!H529=0,0,'NO USAR2'!G529/'NO USAR2'!H529))</f>
        <v/>
      </c>
      <c r="J531" s="59" t="str">
        <f>IF(TYPE($A531)=1,"",('NO USAR2'!$J529-J$1)/J$2*K531/$K$1)</f>
        <v/>
      </c>
      <c r="K531" s="60" t="str">
        <f>IF(TYPE($A531)=1,"",IF('NO USAR2'!J529=0,0,'NO USAR2'!I529/'NO USAR2'!J529))</f>
        <v/>
      </c>
      <c r="L531" s="58" t="str">
        <f>IF(TYPE($A531)=1,"",('NO USAR2'!$Q529-L$1)/L$2)</f>
        <v/>
      </c>
    </row>
    <row r="532">
      <c r="B532" s="58" t="str">
        <f>IF(TYPE($A532)=1,"",('NO USAR2'!$L530-B$1)/B$2)</f>
        <v/>
      </c>
      <c r="C532" s="58" t="str">
        <f>IF(TYPE($A532)=1,"",('NO USAR2'!$K530-C$1)/C$2)</f>
        <v/>
      </c>
      <c r="D532" s="58" t="str">
        <f>IF(TYPE($A532)=1,"",('NO USAR2'!$M530-D$1)/D$2)</f>
        <v/>
      </c>
      <c r="E532" s="58" t="str">
        <f>IF(TYPE($A532)=1,"",('NO USAR2'!$N530-E$1)/E$2)</f>
        <v/>
      </c>
      <c r="F532" s="58" t="str">
        <f>IF(TYPE($A532)=1,"",('NO USAR2'!$O530-F$1)/F$2)</f>
        <v/>
      </c>
      <c r="G532" s="58" t="str">
        <f>IF(TYPE($A532)=1,"",('NO USAR2'!$P530-G$1)/G$2)</f>
        <v/>
      </c>
      <c r="H532" s="58" t="str">
        <f>IF(TYPE($A532)=1,"",('NO USAR2'!$H530-H$1)/H$2*I532/$I$1)</f>
        <v/>
      </c>
      <c r="I532" s="58" t="str">
        <f>IF(TYPE($A532)=1,"",IF('NO USAR2'!H530=0,0,'NO USAR2'!G530/'NO USAR2'!H530))</f>
        <v/>
      </c>
      <c r="J532" s="59" t="str">
        <f>IF(TYPE($A532)=1,"",('NO USAR2'!$J530-J$1)/J$2*K532/$K$1)</f>
        <v/>
      </c>
      <c r="K532" s="60" t="str">
        <f>IF(TYPE($A532)=1,"",IF('NO USAR2'!J530=0,0,'NO USAR2'!I530/'NO USAR2'!J530))</f>
        <v/>
      </c>
      <c r="L532" s="58" t="str">
        <f>IF(TYPE($A532)=1,"",('NO USAR2'!$Q530-L$1)/L$2)</f>
        <v/>
      </c>
    </row>
    <row r="533">
      <c r="B533" s="58" t="str">
        <f>IF(TYPE($A533)=1,"",('NO USAR2'!$L531-B$1)/B$2)</f>
        <v/>
      </c>
      <c r="C533" s="58" t="str">
        <f>IF(TYPE($A533)=1,"",('NO USAR2'!$K531-C$1)/C$2)</f>
        <v/>
      </c>
      <c r="D533" s="58" t="str">
        <f>IF(TYPE($A533)=1,"",('NO USAR2'!$M531-D$1)/D$2)</f>
        <v/>
      </c>
      <c r="E533" s="58" t="str">
        <f>IF(TYPE($A533)=1,"",('NO USAR2'!$N531-E$1)/E$2)</f>
        <v/>
      </c>
      <c r="F533" s="58" t="str">
        <f>IF(TYPE($A533)=1,"",('NO USAR2'!$O531-F$1)/F$2)</f>
        <v/>
      </c>
      <c r="G533" s="58" t="str">
        <f>IF(TYPE($A533)=1,"",('NO USAR2'!$P531-G$1)/G$2)</f>
        <v/>
      </c>
      <c r="H533" s="58" t="str">
        <f>IF(TYPE($A533)=1,"",('NO USAR2'!$H531-H$1)/H$2*I533/$I$1)</f>
        <v/>
      </c>
      <c r="I533" s="58" t="str">
        <f>IF(TYPE($A533)=1,"",IF('NO USAR2'!H531=0,0,'NO USAR2'!G531/'NO USAR2'!H531))</f>
        <v/>
      </c>
      <c r="J533" s="59" t="str">
        <f>IF(TYPE($A533)=1,"",('NO USAR2'!$J531-J$1)/J$2*K533/$K$1)</f>
        <v/>
      </c>
      <c r="K533" s="60" t="str">
        <f>IF(TYPE($A533)=1,"",IF('NO USAR2'!J531=0,0,'NO USAR2'!I531/'NO USAR2'!J531))</f>
        <v/>
      </c>
      <c r="L533" s="58" t="str">
        <f>IF(TYPE($A533)=1,"",('NO USAR2'!$Q531-L$1)/L$2)</f>
        <v/>
      </c>
    </row>
    <row r="534">
      <c r="B534" s="58" t="str">
        <f>IF(TYPE($A534)=1,"",('NO USAR2'!$L532-B$1)/B$2)</f>
        <v/>
      </c>
      <c r="C534" s="58" t="str">
        <f>IF(TYPE($A534)=1,"",('NO USAR2'!$K532-C$1)/C$2)</f>
        <v/>
      </c>
      <c r="D534" s="58" t="str">
        <f>IF(TYPE($A534)=1,"",('NO USAR2'!$M532-D$1)/D$2)</f>
        <v/>
      </c>
      <c r="E534" s="58" t="str">
        <f>IF(TYPE($A534)=1,"",('NO USAR2'!$N532-E$1)/E$2)</f>
        <v/>
      </c>
      <c r="F534" s="58" t="str">
        <f>IF(TYPE($A534)=1,"",('NO USAR2'!$O532-F$1)/F$2)</f>
        <v/>
      </c>
      <c r="G534" s="58" t="str">
        <f>IF(TYPE($A534)=1,"",('NO USAR2'!$P532-G$1)/G$2)</f>
        <v/>
      </c>
      <c r="H534" s="58" t="str">
        <f>IF(TYPE($A534)=1,"",('NO USAR2'!$H532-H$1)/H$2*I534/$I$1)</f>
        <v/>
      </c>
      <c r="I534" s="58" t="str">
        <f>IF(TYPE($A534)=1,"",IF('NO USAR2'!H532=0,0,'NO USAR2'!G532/'NO USAR2'!H532))</f>
        <v/>
      </c>
      <c r="J534" s="59" t="str">
        <f>IF(TYPE($A534)=1,"",('NO USAR2'!$J532-J$1)/J$2*K534/$K$1)</f>
        <v/>
      </c>
      <c r="K534" s="60" t="str">
        <f>IF(TYPE($A534)=1,"",IF('NO USAR2'!J532=0,0,'NO USAR2'!I532/'NO USAR2'!J532))</f>
        <v/>
      </c>
      <c r="L534" s="58" t="str">
        <f>IF(TYPE($A534)=1,"",('NO USAR2'!$Q532-L$1)/L$2)</f>
        <v/>
      </c>
    </row>
    <row r="535">
      <c r="B535" s="58" t="str">
        <f>IF(TYPE($A535)=1,"",('NO USAR2'!$L533-B$1)/B$2)</f>
        <v/>
      </c>
      <c r="C535" s="58" t="str">
        <f>IF(TYPE($A535)=1,"",('NO USAR2'!$K533-C$1)/C$2)</f>
        <v/>
      </c>
      <c r="D535" s="58" t="str">
        <f>IF(TYPE($A535)=1,"",('NO USAR2'!$M533-D$1)/D$2)</f>
        <v/>
      </c>
      <c r="E535" s="58" t="str">
        <f>IF(TYPE($A535)=1,"",('NO USAR2'!$N533-E$1)/E$2)</f>
        <v/>
      </c>
      <c r="F535" s="58" t="str">
        <f>IF(TYPE($A535)=1,"",('NO USAR2'!$O533-F$1)/F$2)</f>
        <v/>
      </c>
      <c r="G535" s="58" t="str">
        <f>IF(TYPE($A535)=1,"",('NO USAR2'!$P533-G$1)/G$2)</f>
        <v/>
      </c>
      <c r="H535" s="58" t="str">
        <f>IF(TYPE($A535)=1,"",('NO USAR2'!$H533-H$1)/H$2*I535/$I$1)</f>
        <v/>
      </c>
      <c r="I535" s="58" t="str">
        <f>IF(TYPE($A535)=1,"",IF('NO USAR2'!H533=0,0,'NO USAR2'!G533/'NO USAR2'!H533))</f>
        <v/>
      </c>
      <c r="J535" s="59" t="str">
        <f>IF(TYPE($A535)=1,"",('NO USAR2'!$J533-J$1)/J$2*K535/$K$1)</f>
        <v/>
      </c>
      <c r="K535" s="60" t="str">
        <f>IF(TYPE($A535)=1,"",IF('NO USAR2'!J533=0,0,'NO USAR2'!I533/'NO USAR2'!J533))</f>
        <v/>
      </c>
      <c r="L535" s="58" t="str">
        <f>IF(TYPE($A535)=1,"",('NO USAR2'!$Q533-L$1)/L$2)</f>
        <v/>
      </c>
    </row>
    <row r="536">
      <c r="B536" s="58" t="str">
        <f>IF(TYPE($A536)=1,"",('NO USAR2'!$L534-B$1)/B$2)</f>
        <v/>
      </c>
      <c r="C536" s="58" t="str">
        <f>IF(TYPE($A536)=1,"",('NO USAR2'!$K534-C$1)/C$2)</f>
        <v/>
      </c>
      <c r="D536" s="58" t="str">
        <f>IF(TYPE($A536)=1,"",('NO USAR2'!$M534-D$1)/D$2)</f>
        <v/>
      </c>
      <c r="E536" s="58" t="str">
        <f>IF(TYPE($A536)=1,"",('NO USAR2'!$N534-E$1)/E$2)</f>
        <v/>
      </c>
      <c r="F536" s="58" t="str">
        <f>IF(TYPE($A536)=1,"",('NO USAR2'!$O534-F$1)/F$2)</f>
        <v/>
      </c>
      <c r="G536" s="58" t="str">
        <f>IF(TYPE($A536)=1,"",('NO USAR2'!$P534-G$1)/G$2)</f>
        <v/>
      </c>
      <c r="H536" s="58" t="str">
        <f>IF(TYPE($A536)=1,"",('NO USAR2'!$H534-H$1)/H$2*I536/$I$1)</f>
        <v/>
      </c>
      <c r="I536" s="58" t="str">
        <f>IF(TYPE($A536)=1,"",IF('NO USAR2'!H534=0,0,'NO USAR2'!G534/'NO USAR2'!H534))</f>
        <v/>
      </c>
      <c r="J536" s="59" t="str">
        <f>IF(TYPE($A536)=1,"",('NO USAR2'!$J534-J$1)/J$2*K536/$K$1)</f>
        <v/>
      </c>
      <c r="K536" s="60" t="str">
        <f>IF(TYPE($A536)=1,"",IF('NO USAR2'!J534=0,0,'NO USAR2'!I534/'NO USAR2'!J534))</f>
        <v/>
      </c>
      <c r="L536" s="58" t="str">
        <f>IF(TYPE($A536)=1,"",('NO USAR2'!$Q534-L$1)/L$2)</f>
        <v/>
      </c>
    </row>
    <row r="537">
      <c r="B537" s="58" t="str">
        <f>IF(TYPE($A537)=1,"",('NO USAR2'!$L535-B$1)/B$2)</f>
        <v/>
      </c>
      <c r="C537" s="58" t="str">
        <f>IF(TYPE($A537)=1,"",('NO USAR2'!$K535-C$1)/C$2)</f>
        <v/>
      </c>
      <c r="D537" s="58" t="str">
        <f>IF(TYPE($A537)=1,"",('NO USAR2'!$M535-D$1)/D$2)</f>
        <v/>
      </c>
      <c r="E537" s="58" t="str">
        <f>IF(TYPE($A537)=1,"",('NO USAR2'!$N535-E$1)/E$2)</f>
        <v/>
      </c>
      <c r="F537" s="58" t="str">
        <f>IF(TYPE($A537)=1,"",('NO USAR2'!$O535-F$1)/F$2)</f>
        <v/>
      </c>
      <c r="G537" s="58" t="str">
        <f>IF(TYPE($A537)=1,"",('NO USAR2'!$P535-G$1)/G$2)</f>
        <v/>
      </c>
      <c r="H537" s="58" t="str">
        <f>IF(TYPE($A537)=1,"",('NO USAR2'!$H535-H$1)/H$2*I537/$I$1)</f>
        <v/>
      </c>
      <c r="I537" s="58" t="str">
        <f>IF(TYPE($A537)=1,"",IF('NO USAR2'!H535=0,0,'NO USAR2'!G535/'NO USAR2'!H535))</f>
        <v/>
      </c>
      <c r="J537" s="59" t="str">
        <f>IF(TYPE($A537)=1,"",('NO USAR2'!$J535-J$1)/J$2*K537/$K$1)</f>
        <v/>
      </c>
      <c r="K537" s="60" t="str">
        <f>IF(TYPE($A537)=1,"",IF('NO USAR2'!J535=0,0,'NO USAR2'!I535/'NO USAR2'!J535))</f>
        <v/>
      </c>
      <c r="L537" s="58" t="str">
        <f>IF(TYPE($A537)=1,"",('NO USAR2'!$Q535-L$1)/L$2)</f>
        <v/>
      </c>
    </row>
    <row r="538">
      <c r="B538" s="58" t="str">
        <f>IF(TYPE($A538)=1,"",('NO USAR2'!$L536-B$1)/B$2)</f>
        <v/>
      </c>
      <c r="C538" s="58" t="str">
        <f>IF(TYPE($A538)=1,"",('NO USAR2'!$K536-C$1)/C$2)</f>
        <v/>
      </c>
      <c r="D538" s="58" t="str">
        <f>IF(TYPE($A538)=1,"",('NO USAR2'!$M536-D$1)/D$2)</f>
        <v/>
      </c>
      <c r="E538" s="58" t="str">
        <f>IF(TYPE($A538)=1,"",('NO USAR2'!$N536-E$1)/E$2)</f>
        <v/>
      </c>
      <c r="F538" s="58" t="str">
        <f>IF(TYPE($A538)=1,"",('NO USAR2'!$O536-F$1)/F$2)</f>
        <v/>
      </c>
      <c r="G538" s="58" t="str">
        <f>IF(TYPE($A538)=1,"",('NO USAR2'!$P536-G$1)/G$2)</f>
        <v/>
      </c>
      <c r="H538" s="58" t="str">
        <f>IF(TYPE($A538)=1,"",('NO USAR2'!$H536-H$1)/H$2*I538/$I$1)</f>
        <v/>
      </c>
      <c r="I538" s="58" t="str">
        <f>IF(TYPE($A538)=1,"",IF('NO USAR2'!H536=0,0,'NO USAR2'!G536/'NO USAR2'!H536))</f>
        <v/>
      </c>
      <c r="J538" s="59" t="str">
        <f>IF(TYPE($A538)=1,"",('NO USAR2'!$J536-J$1)/J$2*K538/$K$1)</f>
        <v/>
      </c>
      <c r="K538" s="60" t="str">
        <f>IF(TYPE($A538)=1,"",IF('NO USAR2'!J536=0,0,'NO USAR2'!I536/'NO USAR2'!J536))</f>
        <v/>
      </c>
      <c r="L538" s="58" t="str">
        <f>IF(TYPE($A538)=1,"",('NO USAR2'!$Q536-L$1)/L$2)</f>
        <v/>
      </c>
    </row>
    <row r="539">
      <c r="B539" s="58" t="str">
        <f>IF(TYPE($A539)=1,"",('NO USAR2'!$L537-B$1)/B$2)</f>
        <v/>
      </c>
      <c r="C539" s="58" t="str">
        <f>IF(TYPE($A539)=1,"",('NO USAR2'!$K537-C$1)/C$2)</f>
        <v/>
      </c>
      <c r="D539" s="58" t="str">
        <f>IF(TYPE($A539)=1,"",('NO USAR2'!$M537-D$1)/D$2)</f>
        <v/>
      </c>
      <c r="E539" s="58" t="str">
        <f>IF(TYPE($A539)=1,"",('NO USAR2'!$N537-E$1)/E$2)</f>
        <v/>
      </c>
      <c r="F539" s="58" t="str">
        <f>IF(TYPE($A539)=1,"",('NO USAR2'!$O537-F$1)/F$2)</f>
        <v/>
      </c>
      <c r="G539" s="58" t="str">
        <f>IF(TYPE($A539)=1,"",('NO USAR2'!$P537-G$1)/G$2)</f>
        <v/>
      </c>
      <c r="H539" s="58" t="str">
        <f>IF(TYPE($A539)=1,"",('NO USAR2'!$H537-H$1)/H$2*I539/$I$1)</f>
        <v/>
      </c>
      <c r="I539" s="58" t="str">
        <f>IF(TYPE($A539)=1,"",IF('NO USAR2'!H537=0,0,'NO USAR2'!G537/'NO USAR2'!H537))</f>
        <v/>
      </c>
      <c r="J539" s="59" t="str">
        <f>IF(TYPE($A539)=1,"",('NO USAR2'!$J537-J$1)/J$2*K539/$K$1)</f>
        <v/>
      </c>
      <c r="K539" s="60" t="str">
        <f>IF(TYPE($A539)=1,"",IF('NO USAR2'!J537=0,0,'NO USAR2'!I537/'NO USAR2'!J537))</f>
        <v/>
      </c>
      <c r="L539" s="58" t="str">
        <f>IF(TYPE($A539)=1,"",('NO USAR2'!$Q537-L$1)/L$2)</f>
        <v/>
      </c>
    </row>
    <row r="540">
      <c r="B540" s="58" t="str">
        <f>IF(TYPE($A540)=1,"",('NO USAR2'!$L538-B$1)/B$2)</f>
        <v/>
      </c>
      <c r="C540" s="58" t="str">
        <f>IF(TYPE($A540)=1,"",('NO USAR2'!$K538-C$1)/C$2)</f>
        <v/>
      </c>
      <c r="D540" s="58" t="str">
        <f>IF(TYPE($A540)=1,"",('NO USAR2'!$M538-D$1)/D$2)</f>
        <v/>
      </c>
      <c r="E540" s="58" t="str">
        <f>IF(TYPE($A540)=1,"",('NO USAR2'!$N538-E$1)/E$2)</f>
        <v/>
      </c>
      <c r="F540" s="58" t="str">
        <f>IF(TYPE($A540)=1,"",('NO USAR2'!$O538-F$1)/F$2)</f>
        <v/>
      </c>
      <c r="G540" s="58" t="str">
        <f>IF(TYPE($A540)=1,"",('NO USAR2'!$P538-G$1)/G$2)</f>
        <v/>
      </c>
      <c r="H540" s="58" t="str">
        <f>IF(TYPE($A540)=1,"",('NO USAR2'!$H538-H$1)/H$2*I540/$I$1)</f>
        <v/>
      </c>
      <c r="I540" s="58" t="str">
        <f>IF(TYPE($A540)=1,"",IF('NO USAR2'!H538=0,0,'NO USAR2'!G538/'NO USAR2'!H538))</f>
        <v/>
      </c>
      <c r="J540" s="59" t="str">
        <f>IF(TYPE($A540)=1,"",('NO USAR2'!$J538-J$1)/J$2*K540/$K$1)</f>
        <v/>
      </c>
      <c r="K540" s="60" t="str">
        <f>IF(TYPE($A540)=1,"",IF('NO USAR2'!J538=0,0,'NO USAR2'!I538/'NO USAR2'!J538))</f>
        <v/>
      </c>
      <c r="L540" s="58" t="str">
        <f>IF(TYPE($A540)=1,"",('NO USAR2'!$Q538-L$1)/L$2)</f>
        <v/>
      </c>
    </row>
    <row r="541">
      <c r="B541" s="58" t="str">
        <f>IF(TYPE($A541)=1,"",('NO USAR2'!$L539-B$1)/B$2)</f>
        <v/>
      </c>
      <c r="C541" s="58" t="str">
        <f>IF(TYPE($A541)=1,"",('NO USAR2'!$K539-C$1)/C$2)</f>
        <v/>
      </c>
      <c r="D541" s="58" t="str">
        <f>IF(TYPE($A541)=1,"",('NO USAR2'!$M539-D$1)/D$2)</f>
        <v/>
      </c>
      <c r="E541" s="58" t="str">
        <f>IF(TYPE($A541)=1,"",('NO USAR2'!$N539-E$1)/E$2)</f>
        <v/>
      </c>
      <c r="F541" s="58" t="str">
        <f>IF(TYPE($A541)=1,"",('NO USAR2'!$O539-F$1)/F$2)</f>
        <v/>
      </c>
      <c r="G541" s="58" t="str">
        <f>IF(TYPE($A541)=1,"",('NO USAR2'!$P539-G$1)/G$2)</f>
        <v/>
      </c>
      <c r="H541" s="58" t="str">
        <f>IF(TYPE($A541)=1,"",('NO USAR2'!$H539-H$1)/H$2*I541/$I$1)</f>
        <v/>
      </c>
      <c r="I541" s="58" t="str">
        <f>IF(TYPE($A541)=1,"",IF('NO USAR2'!H539=0,0,'NO USAR2'!G539/'NO USAR2'!H539))</f>
        <v/>
      </c>
      <c r="J541" s="59" t="str">
        <f>IF(TYPE($A541)=1,"",('NO USAR2'!$J539-J$1)/J$2*K541/$K$1)</f>
        <v/>
      </c>
      <c r="K541" s="60" t="str">
        <f>IF(TYPE($A541)=1,"",IF('NO USAR2'!J539=0,0,'NO USAR2'!I539/'NO USAR2'!J539))</f>
        <v/>
      </c>
      <c r="L541" s="58" t="str">
        <f>IF(TYPE($A541)=1,"",('NO USAR2'!$Q539-L$1)/L$2)</f>
        <v/>
      </c>
    </row>
    <row r="542">
      <c r="B542" s="58" t="str">
        <f>IF(TYPE($A542)=1,"",('NO USAR2'!$L540-B$1)/B$2)</f>
        <v/>
      </c>
      <c r="C542" s="58" t="str">
        <f>IF(TYPE($A542)=1,"",('NO USAR2'!$K540-C$1)/C$2)</f>
        <v/>
      </c>
      <c r="D542" s="58" t="str">
        <f>IF(TYPE($A542)=1,"",('NO USAR2'!$M540-D$1)/D$2)</f>
        <v/>
      </c>
      <c r="E542" s="58" t="str">
        <f>IF(TYPE($A542)=1,"",('NO USAR2'!$N540-E$1)/E$2)</f>
        <v/>
      </c>
      <c r="F542" s="58" t="str">
        <f>IF(TYPE($A542)=1,"",('NO USAR2'!$O540-F$1)/F$2)</f>
        <v/>
      </c>
      <c r="G542" s="58" t="str">
        <f>IF(TYPE($A542)=1,"",('NO USAR2'!$P540-G$1)/G$2)</f>
        <v/>
      </c>
      <c r="H542" s="58" t="str">
        <f>IF(TYPE($A542)=1,"",('NO USAR2'!$H540-H$1)/H$2*I542/$I$1)</f>
        <v/>
      </c>
      <c r="I542" s="58" t="str">
        <f>IF(TYPE($A542)=1,"",IF('NO USAR2'!H540=0,0,'NO USAR2'!G540/'NO USAR2'!H540))</f>
        <v/>
      </c>
      <c r="J542" s="59" t="str">
        <f>IF(TYPE($A542)=1,"",('NO USAR2'!$J540-J$1)/J$2*K542/$K$1)</f>
        <v/>
      </c>
      <c r="K542" s="60" t="str">
        <f>IF(TYPE($A542)=1,"",IF('NO USAR2'!J540=0,0,'NO USAR2'!I540/'NO USAR2'!J540))</f>
        <v/>
      </c>
      <c r="L542" s="58" t="str">
        <f>IF(TYPE($A542)=1,"",('NO USAR2'!$Q540-L$1)/L$2)</f>
        <v/>
      </c>
    </row>
    <row r="543">
      <c r="B543" s="58" t="str">
        <f>IF(TYPE($A543)=1,"",('NO USAR2'!$L541-B$1)/B$2)</f>
        <v/>
      </c>
      <c r="C543" s="58" t="str">
        <f>IF(TYPE($A543)=1,"",('NO USAR2'!$K541-C$1)/C$2)</f>
        <v/>
      </c>
      <c r="D543" s="58" t="str">
        <f>IF(TYPE($A543)=1,"",('NO USAR2'!$M541-D$1)/D$2)</f>
        <v/>
      </c>
      <c r="E543" s="58" t="str">
        <f>IF(TYPE($A543)=1,"",('NO USAR2'!$N541-E$1)/E$2)</f>
        <v/>
      </c>
      <c r="F543" s="58" t="str">
        <f>IF(TYPE($A543)=1,"",('NO USAR2'!$O541-F$1)/F$2)</f>
        <v/>
      </c>
      <c r="G543" s="58" t="str">
        <f>IF(TYPE($A543)=1,"",('NO USAR2'!$P541-G$1)/G$2)</f>
        <v/>
      </c>
      <c r="H543" s="58" t="str">
        <f>IF(TYPE($A543)=1,"",('NO USAR2'!$H541-H$1)/H$2*I543/$I$1)</f>
        <v/>
      </c>
      <c r="I543" s="58" t="str">
        <f>IF(TYPE($A543)=1,"",IF('NO USAR2'!H541=0,0,'NO USAR2'!G541/'NO USAR2'!H541))</f>
        <v/>
      </c>
      <c r="J543" s="59" t="str">
        <f>IF(TYPE($A543)=1,"",('NO USAR2'!$J541-J$1)/J$2*K543/$K$1)</f>
        <v/>
      </c>
      <c r="K543" s="60" t="str">
        <f>IF(TYPE($A543)=1,"",IF('NO USAR2'!J541=0,0,'NO USAR2'!I541/'NO USAR2'!J541))</f>
        <v/>
      </c>
      <c r="L543" s="58" t="str">
        <f>IF(TYPE($A543)=1,"",('NO USAR2'!$Q541-L$1)/L$2)</f>
        <v/>
      </c>
    </row>
    <row r="544">
      <c r="B544" s="58" t="str">
        <f>IF(TYPE($A544)=1,"",('NO USAR2'!$L542-B$1)/B$2)</f>
        <v/>
      </c>
      <c r="C544" s="58" t="str">
        <f>IF(TYPE($A544)=1,"",('NO USAR2'!$K542-C$1)/C$2)</f>
        <v/>
      </c>
      <c r="D544" s="58" t="str">
        <f>IF(TYPE($A544)=1,"",('NO USAR2'!$M542-D$1)/D$2)</f>
        <v/>
      </c>
      <c r="E544" s="58" t="str">
        <f>IF(TYPE($A544)=1,"",('NO USAR2'!$N542-E$1)/E$2)</f>
        <v/>
      </c>
      <c r="F544" s="58" t="str">
        <f>IF(TYPE($A544)=1,"",('NO USAR2'!$O542-F$1)/F$2)</f>
        <v/>
      </c>
      <c r="G544" s="58" t="str">
        <f>IF(TYPE($A544)=1,"",('NO USAR2'!$P542-G$1)/G$2)</f>
        <v/>
      </c>
      <c r="H544" s="58" t="str">
        <f>IF(TYPE($A544)=1,"",('NO USAR2'!$H542-H$1)/H$2*I544/$I$1)</f>
        <v/>
      </c>
      <c r="I544" s="58" t="str">
        <f>IF(TYPE($A544)=1,"",IF('NO USAR2'!H542=0,0,'NO USAR2'!G542/'NO USAR2'!H542))</f>
        <v/>
      </c>
      <c r="J544" s="59" t="str">
        <f>IF(TYPE($A544)=1,"",('NO USAR2'!$J542-J$1)/J$2*K544/$K$1)</f>
        <v/>
      </c>
      <c r="K544" s="60" t="str">
        <f>IF(TYPE($A544)=1,"",IF('NO USAR2'!J542=0,0,'NO USAR2'!I542/'NO USAR2'!J542))</f>
        <v/>
      </c>
      <c r="L544" s="58" t="str">
        <f>IF(TYPE($A544)=1,"",('NO USAR2'!$Q542-L$1)/L$2)</f>
        <v/>
      </c>
    </row>
    <row r="545">
      <c r="B545" s="58" t="str">
        <f>IF(TYPE($A545)=1,"",('NO USAR2'!$L543-B$1)/B$2)</f>
        <v/>
      </c>
      <c r="C545" s="58" t="str">
        <f>IF(TYPE($A545)=1,"",('NO USAR2'!$K543-C$1)/C$2)</f>
        <v/>
      </c>
      <c r="D545" s="58" t="str">
        <f>IF(TYPE($A545)=1,"",('NO USAR2'!$M543-D$1)/D$2)</f>
        <v/>
      </c>
      <c r="E545" s="58" t="str">
        <f>IF(TYPE($A545)=1,"",('NO USAR2'!$N543-E$1)/E$2)</f>
        <v/>
      </c>
      <c r="F545" s="58" t="str">
        <f>IF(TYPE($A545)=1,"",('NO USAR2'!$O543-F$1)/F$2)</f>
        <v/>
      </c>
      <c r="G545" s="58" t="str">
        <f>IF(TYPE($A545)=1,"",('NO USAR2'!$P543-G$1)/G$2)</f>
        <v/>
      </c>
      <c r="H545" s="58" t="str">
        <f>IF(TYPE($A545)=1,"",('NO USAR2'!$H543-H$1)/H$2*I545/$I$1)</f>
        <v/>
      </c>
      <c r="I545" s="58" t="str">
        <f>IF(TYPE($A545)=1,"",IF('NO USAR2'!H543=0,0,'NO USAR2'!G543/'NO USAR2'!H543))</f>
        <v/>
      </c>
      <c r="J545" s="59" t="str">
        <f>IF(TYPE($A545)=1,"",('NO USAR2'!$J543-J$1)/J$2*K545/$K$1)</f>
        <v/>
      </c>
      <c r="K545" s="60" t="str">
        <f>IF(TYPE($A545)=1,"",IF('NO USAR2'!J543=0,0,'NO USAR2'!I543/'NO USAR2'!J543))</f>
        <v/>
      </c>
      <c r="L545" s="58" t="str">
        <f>IF(TYPE($A545)=1,"",('NO USAR2'!$Q543-L$1)/L$2)</f>
        <v/>
      </c>
    </row>
    <row r="546">
      <c r="B546" s="58" t="str">
        <f>IF(TYPE($A546)=1,"",('NO USAR2'!$L544-B$1)/B$2)</f>
        <v/>
      </c>
      <c r="C546" s="58" t="str">
        <f>IF(TYPE($A546)=1,"",('NO USAR2'!$K544-C$1)/C$2)</f>
        <v/>
      </c>
      <c r="D546" s="58" t="str">
        <f>IF(TYPE($A546)=1,"",('NO USAR2'!$M544-D$1)/D$2)</f>
        <v/>
      </c>
      <c r="E546" s="58" t="str">
        <f>IF(TYPE($A546)=1,"",('NO USAR2'!$N544-E$1)/E$2)</f>
        <v/>
      </c>
      <c r="F546" s="58" t="str">
        <f>IF(TYPE($A546)=1,"",('NO USAR2'!$O544-F$1)/F$2)</f>
        <v/>
      </c>
      <c r="G546" s="58" t="str">
        <f>IF(TYPE($A546)=1,"",('NO USAR2'!$P544-G$1)/G$2)</f>
        <v/>
      </c>
      <c r="H546" s="58" t="str">
        <f>IF(TYPE($A546)=1,"",('NO USAR2'!$H544-H$1)/H$2*I546/$I$1)</f>
        <v/>
      </c>
      <c r="I546" s="58" t="str">
        <f>IF(TYPE($A546)=1,"",IF('NO USAR2'!H544=0,0,'NO USAR2'!G544/'NO USAR2'!H544))</f>
        <v/>
      </c>
      <c r="J546" s="59" t="str">
        <f>IF(TYPE($A546)=1,"",('NO USAR2'!$J544-J$1)/J$2*K546/$K$1)</f>
        <v/>
      </c>
      <c r="K546" s="60" t="str">
        <f>IF(TYPE($A546)=1,"",IF('NO USAR2'!J544=0,0,'NO USAR2'!I544/'NO USAR2'!J544))</f>
        <v/>
      </c>
      <c r="L546" s="58" t="str">
        <f>IF(TYPE($A546)=1,"",('NO USAR2'!$Q544-L$1)/L$2)</f>
        <v/>
      </c>
    </row>
    <row r="547">
      <c r="B547" s="58" t="str">
        <f>IF(TYPE($A547)=1,"",('NO USAR2'!$L545-B$1)/B$2)</f>
        <v/>
      </c>
      <c r="C547" s="58" t="str">
        <f>IF(TYPE($A547)=1,"",('NO USAR2'!$K545-C$1)/C$2)</f>
        <v/>
      </c>
      <c r="D547" s="58" t="str">
        <f>IF(TYPE($A547)=1,"",('NO USAR2'!$M545-D$1)/D$2)</f>
        <v/>
      </c>
      <c r="E547" s="58" t="str">
        <f>IF(TYPE($A547)=1,"",('NO USAR2'!$N545-E$1)/E$2)</f>
        <v/>
      </c>
      <c r="F547" s="58" t="str">
        <f>IF(TYPE($A547)=1,"",('NO USAR2'!$O545-F$1)/F$2)</f>
        <v/>
      </c>
      <c r="G547" s="58" t="str">
        <f>IF(TYPE($A547)=1,"",('NO USAR2'!$P545-G$1)/G$2)</f>
        <v/>
      </c>
      <c r="H547" s="58" t="str">
        <f>IF(TYPE($A547)=1,"",('NO USAR2'!$H545-H$1)/H$2*I547/$I$1)</f>
        <v/>
      </c>
      <c r="I547" s="58" t="str">
        <f>IF(TYPE($A547)=1,"",IF('NO USAR2'!H545=0,0,'NO USAR2'!G545/'NO USAR2'!H545))</f>
        <v/>
      </c>
      <c r="J547" s="59" t="str">
        <f>IF(TYPE($A547)=1,"",('NO USAR2'!$J545-J$1)/J$2*K547/$K$1)</f>
        <v/>
      </c>
      <c r="K547" s="60" t="str">
        <f>IF(TYPE($A547)=1,"",IF('NO USAR2'!J545=0,0,'NO USAR2'!I545/'NO USAR2'!J545))</f>
        <v/>
      </c>
      <c r="L547" s="58" t="str">
        <f>IF(TYPE($A547)=1,"",('NO USAR2'!$Q545-L$1)/L$2)</f>
        <v/>
      </c>
    </row>
    <row r="548">
      <c r="B548" s="58" t="str">
        <f>IF(TYPE($A548)=1,"",('NO USAR2'!$L546-B$1)/B$2)</f>
        <v/>
      </c>
      <c r="C548" s="58" t="str">
        <f>IF(TYPE($A548)=1,"",('NO USAR2'!$K546-C$1)/C$2)</f>
        <v/>
      </c>
      <c r="D548" s="58" t="str">
        <f>IF(TYPE($A548)=1,"",('NO USAR2'!$M546-D$1)/D$2)</f>
        <v/>
      </c>
      <c r="E548" s="58" t="str">
        <f>IF(TYPE($A548)=1,"",('NO USAR2'!$N546-E$1)/E$2)</f>
        <v/>
      </c>
      <c r="F548" s="58" t="str">
        <f>IF(TYPE($A548)=1,"",('NO USAR2'!$O546-F$1)/F$2)</f>
        <v/>
      </c>
      <c r="G548" s="58" t="str">
        <f>IF(TYPE($A548)=1,"",('NO USAR2'!$P546-G$1)/G$2)</f>
        <v/>
      </c>
      <c r="H548" s="58" t="str">
        <f>IF(TYPE($A548)=1,"",('NO USAR2'!$H546-H$1)/H$2*I548/$I$1)</f>
        <v/>
      </c>
      <c r="I548" s="58" t="str">
        <f>IF(TYPE($A548)=1,"",IF('NO USAR2'!H546=0,0,'NO USAR2'!G546/'NO USAR2'!H546))</f>
        <v/>
      </c>
      <c r="J548" s="59" t="str">
        <f>IF(TYPE($A548)=1,"",('NO USAR2'!$J546-J$1)/J$2*K548/$K$1)</f>
        <v/>
      </c>
      <c r="K548" s="60" t="str">
        <f>IF(TYPE($A548)=1,"",IF('NO USAR2'!J546=0,0,'NO USAR2'!I546/'NO USAR2'!J546))</f>
        <v/>
      </c>
      <c r="L548" s="58" t="str">
        <f>IF(TYPE($A548)=1,"",('NO USAR2'!$Q546-L$1)/L$2)</f>
        <v/>
      </c>
    </row>
    <row r="549">
      <c r="B549" s="58" t="str">
        <f>IF(TYPE($A549)=1,"",('NO USAR2'!$L547-B$1)/B$2)</f>
        <v/>
      </c>
      <c r="C549" s="58" t="str">
        <f>IF(TYPE($A549)=1,"",('NO USAR2'!$K547-C$1)/C$2)</f>
        <v/>
      </c>
      <c r="D549" s="58" t="str">
        <f>IF(TYPE($A549)=1,"",('NO USAR2'!$M547-D$1)/D$2)</f>
        <v/>
      </c>
      <c r="E549" s="58" t="str">
        <f>IF(TYPE($A549)=1,"",('NO USAR2'!$N547-E$1)/E$2)</f>
        <v/>
      </c>
      <c r="F549" s="58" t="str">
        <f>IF(TYPE($A549)=1,"",('NO USAR2'!$O547-F$1)/F$2)</f>
        <v/>
      </c>
      <c r="G549" s="58" t="str">
        <f>IF(TYPE($A549)=1,"",('NO USAR2'!$P547-G$1)/G$2)</f>
        <v/>
      </c>
      <c r="H549" s="58" t="str">
        <f>IF(TYPE($A549)=1,"",('NO USAR2'!$H547-H$1)/H$2*I549/$I$1)</f>
        <v/>
      </c>
      <c r="I549" s="58" t="str">
        <f>IF(TYPE($A549)=1,"",IF('NO USAR2'!H547=0,0,'NO USAR2'!G547/'NO USAR2'!H547))</f>
        <v/>
      </c>
      <c r="J549" s="59" t="str">
        <f>IF(TYPE($A549)=1,"",('NO USAR2'!$J547-J$1)/J$2*K549/$K$1)</f>
        <v/>
      </c>
      <c r="K549" s="60" t="str">
        <f>IF(TYPE($A549)=1,"",IF('NO USAR2'!J547=0,0,'NO USAR2'!I547/'NO USAR2'!J547))</f>
        <v/>
      </c>
      <c r="L549" s="58" t="str">
        <f>IF(TYPE($A549)=1,"",('NO USAR2'!$Q547-L$1)/L$2)</f>
        <v/>
      </c>
    </row>
    <row r="550">
      <c r="B550" s="58" t="str">
        <f>IF(TYPE($A550)=1,"",('NO USAR2'!$L548-B$1)/B$2)</f>
        <v/>
      </c>
      <c r="C550" s="58" t="str">
        <f>IF(TYPE($A550)=1,"",('NO USAR2'!$K548-C$1)/C$2)</f>
        <v/>
      </c>
      <c r="D550" s="58" t="str">
        <f>IF(TYPE($A550)=1,"",('NO USAR2'!$M548-D$1)/D$2)</f>
        <v/>
      </c>
      <c r="E550" s="58" t="str">
        <f>IF(TYPE($A550)=1,"",('NO USAR2'!$N548-E$1)/E$2)</f>
        <v/>
      </c>
      <c r="F550" s="58" t="str">
        <f>IF(TYPE($A550)=1,"",('NO USAR2'!$O548-F$1)/F$2)</f>
        <v/>
      </c>
      <c r="G550" s="58" t="str">
        <f>IF(TYPE($A550)=1,"",('NO USAR2'!$P548-G$1)/G$2)</f>
        <v/>
      </c>
      <c r="H550" s="58" t="str">
        <f>IF(TYPE($A550)=1,"",('NO USAR2'!$H548-H$1)/H$2*I550/$I$1)</f>
        <v/>
      </c>
      <c r="I550" s="58" t="str">
        <f>IF(TYPE($A550)=1,"",IF('NO USAR2'!H548=0,0,'NO USAR2'!G548/'NO USAR2'!H548))</f>
        <v/>
      </c>
      <c r="J550" s="59" t="str">
        <f>IF(TYPE($A550)=1,"",('NO USAR2'!$J548-J$1)/J$2*K550/$K$1)</f>
        <v/>
      </c>
      <c r="K550" s="60" t="str">
        <f>IF(TYPE($A550)=1,"",IF('NO USAR2'!J548=0,0,'NO USAR2'!I548/'NO USAR2'!J548))</f>
        <v/>
      </c>
      <c r="L550" s="58" t="str">
        <f>IF(TYPE($A550)=1,"",('NO USAR2'!$Q548-L$1)/L$2)</f>
        <v/>
      </c>
    </row>
    <row r="551">
      <c r="B551" s="58" t="str">
        <f>IF(TYPE($A551)=1,"",('NO USAR2'!$L549-B$1)/B$2)</f>
        <v/>
      </c>
      <c r="C551" s="58" t="str">
        <f>IF(TYPE($A551)=1,"",('NO USAR2'!$K549-C$1)/C$2)</f>
        <v/>
      </c>
      <c r="D551" s="58" t="str">
        <f>IF(TYPE($A551)=1,"",('NO USAR2'!$M549-D$1)/D$2)</f>
        <v/>
      </c>
      <c r="E551" s="58" t="str">
        <f>IF(TYPE($A551)=1,"",('NO USAR2'!$N549-E$1)/E$2)</f>
        <v/>
      </c>
      <c r="F551" s="58" t="str">
        <f>IF(TYPE($A551)=1,"",('NO USAR2'!$O549-F$1)/F$2)</f>
        <v/>
      </c>
      <c r="G551" s="58" t="str">
        <f>IF(TYPE($A551)=1,"",('NO USAR2'!$P549-G$1)/G$2)</f>
        <v/>
      </c>
      <c r="H551" s="58" t="str">
        <f>IF(TYPE($A551)=1,"",('NO USAR2'!$H549-H$1)/H$2*I551/$I$1)</f>
        <v/>
      </c>
      <c r="I551" s="58" t="str">
        <f>IF(TYPE($A551)=1,"",IF('NO USAR2'!H549=0,0,'NO USAR2'!G549/'NO USAR2'!H549))</f>
        <v/>
      </c>
      <c r="J551" s="59" t="str">
        <f>IF(TYPE($A551)=1,"",('NO USAR2'!$J549-J$1)/J$2*K551/$K$1)</f>
        <v/>
      </c>
      <c r="K551" s="60" t="str">
        <f>IF(TYPE($A551)=1,"",IF('NO USAR2'!J549=0,0,'NO USAR2'!I549/'NO USAR2'!J549))</f>
        <v/>
      </c>
      <c r="L551" s="58" t="str">
        <f>IF(TYPE($A551)=1,"",('NO USAR2'!$Q549-L$1)/L$2)</f>
        <v/>
      </c>
    </row>
    <row r="552">
      <c r="B552" s="58" t="str">
        <f>IF(TYPE($A552)=1,"",('NO USAR2'!$L550-B$1)/B$2)</f>
        <v/>
      </c>
      <c r="C552" s="58" t="str">
        <f>IF(TYPE($A552)=1,"",('NO USAR2'!$K550-C$1)/C$2)</f>
        <v/>
      </c>
      <c r="D552" s="58" t="str">
        <f>IF(TYPE($A552)=1,"",('NO USAR2'!$M550-D$1)/D$2)</f>
        <v/>
      </c>
      <c r="E552" s="58" t="str">
        <f>IF(TYPE($A552)=1,"",('NO USAR2'!$N550-E$1)/E$2)</f>
        <v/>
      </c>
      <c r="F552" s="58" t="str">
        <f>IF(TYPE($A552)=1,"",('NO USAR2'!$O550-F$1)/F$2)</f>
        <v/>
      </c>
      <c r="G552" s="58" t="str">
        <f>IF(TYPE($A552)=1,"",('NO USAR2'!$P550-G$1)/G$2)</f>
        <v/>
      </c>
      <c r="H552" s="58" t="str">
        <f>IF(TYPE($A552)=1,"",('NO USAR2'!$H550-H$1)/H$2*I552/$I$1)</f>
        <v/>
      </c>
      <c r="I552" s="58" t="str">
        <f>IF(TYPE($A552)=1,"",IF('NO USAR2'!H550=0,0,'NO USAR2'!G550/'NO USAR2'!H550))</f>
        <v/>
      </c>
      <c r="J552" s="59" t="str">
        <f>IF(TYPE($A552)=1,"",('NO USAR2'!$J550-J$1)/J$2*K552/$K$1)</f>
        <v/>
      </c>
      <c r="K552" s="60" t="str">
        <f>IF(TYPE($A552)=1,"",IF('NO USAR2'!J550=0,0,'NO USAR2'!I550/'NO USAR2'!J550))</f>
        <v/>
      </c>
      <c r="L552" s="58" t="str">
        <f>IF(TYPE($A552)=1,"",('NO USAR2'!$Q550-L$1)/L$2)</f>
        <v/>
      </c>
    </row>
    <row r="553">
      <c r="B553" s="58" t="str">
        <f>IF(TYPE($A553)=1,"",('NO USAR2'!$L551-B$1)/B$2)</f>
        <v/>
      </c>
      <c r="C553" s="58" t="str">
        <f>IF(TYPE($A553)=1,"",('NO USAR2'!$K551-C$1)/C$2)</f>
        <v/>
      </c>
      <c r="D553" s="58" t="str">
        <f>IF(TYPE($A553)=1,"",('NO USAR2'!$M551-D$1)/D$2)</f>
        <v/>
      </c>
      <c r="E553" s="58" t="str">
        <f>IF(TYPE($A553)=1,"",('NO USAR2'!$N551-E$1)/E$2)</f>
        <v/>
      </c>
      <c r="F553" s="58" t="str">
        <f>IF(TYPE($A553)=1,"",('NO USAR2'!$O551-F$1)/F$2)</f>
        <v/>
      </c>
      <c r="G553" s="58" t="str">
        <f>IF(TYPE($A553)=1,"",('NO USAR2'!$P551-G$1)/G$2)</f>
        <v/>
      </c>
      <c r="H553" s="58" t="str">
        <f>IF(TYPE($A553)=1,"",('NO USAR2'!$H551-H$1)/H$2*I553/$I$1)</f>
        <v/>
      </c>
      <c r="I553" s="58" t="str">
        <f>IF(TYPE($A553)=1,"",IF('NO USAR2'!H551=0,0,'NO USAR2'!G551/'NO USAR2'!H551))</f>
        <v/>
      </c>
      <c r="J553" s="59" t="str">
        <f>IF(TYPE($A553)=1,"",('NO USAR2'!$J551-J$1)/J$2*K553/$K$1)</f>
        <v/>
      </c>
      <c r="K553" s="60" t="str">
        <f>IF(TYPE($A553)=1,"",IF('NO USAR2'!J551=0,0,'NO USAR2'!I551/'NO USAR2'!J551))</f>
        <v/>
      </c>
      <c r="L553" s="58" t="str">
        <f>IF(TYPE($A553)=1,"",('NO USAR2'!$Q551-L$1)/L$2)</f>
        <v/>
      </c>
    </row>
    <row r="554">
      <c r="B554" s="58" t="str">
        <f>IF(TYPE($A554)=1,"",('NO USAR2'!$L552-B$1)/B$2)</f>
        <v/>
      </c>
      <c r="C554" s="58" t="str">
        <f>IF(TYPE($A554)=1,"",('NO USAR2'!$K552-C$1)/C$2)</f>
        <v/>
      </c>
      <c r="D554" s="58" t="str">
        <f>IF(TYPE($A554)=1,"",('NO USAR2'!$M552-D$1)/D$2)</f>
        <v/>
      </c>
      <c r="E554" s="58" t="str">
        <f>IF(TYPE($A554)=1,"",('NO USAR2'!$N552-E$1)/E$2)</f>
        <v/>
      </c>
      <c r="F554" s="58" t="str">
        <f>IF(TYPE($A554)=1,"",('NO USAR2'!$O552-F$1)/F$2)</f>
        <v/>
      </c>
      <c r="G554" s="58" t="str">
        <f>IF(TYPE($A554)=1,"",('NO USAR2'!$P552-G$1)/G$2)</f>
        <v/>
      </c>
      <c r="H554" s="58" t="str">
        <f>IF(TYPE($A554)=1,"",('NO USAR2'!$H552-H$1)/H$2*I554/$I$1)</f>
        <v/>
      </c>
      <c r="I554" s="58" t="str">
        <f>IF(TYPE($A554)=1,"",IF('NO USAR2'!H552=0,0,'NO USAR2'!G552/'NO USAR2'!H552))</f>
        <v/>
      </c>
      <c r="J554" s="59" t="str">
        <f>IF(TYPE($A554)=1,"",('NO USAR2'!$J552-J$1)/J$2*K554/$K$1)</f>
        <v/>
      </c>
      <c r="K554" s="60" t="str">
        <f>IF(TYPE($A554)=1,"",IF('NO USAR2'!J552=0,0,'NO USAR2'!I552/'NO USAR2'!J552))</f>
        <v/>
      </c>
      <c r="L554" s="58" t="str">
        <f>IF(TYPE($A554)=1,"",('NO USAR2'!$Q552-L$1)/L$2)</f>
        <v/>
      </c>
    </row>
    <row r="555">
      <c r="B555" s="58" t="str">
        <f>IF(TYPE($A555)=1,"",('NO USAR2'!$L553-B$1)/B$2)</f>
        <v/>
      </c>
      <c r="C555" s="58" t="str">
        <f>IF(TYPE($A555)=1,"",('NO USAR2'!$K553-C$1)/C$2)</f>
        <v/>
      </c>
      <c r="D555" s="58" t="str">
        <f>IF(TYPE($A555)=1,"",('NO USAR2'!$M553-D$1)/D$2)</f>
        <v/>
      </c>
      <c r="E555" s="58" t="str">
        <f>IF(TYPE($A555)=1,"",('NO USAR2'!$N553-E$1)/E$2)</f>
        <v/>
      </c>
      <c r="F555" s="58" t="str">
        <f>IF(TYPE($A555)=1,"",('NO USAR2'!$O553-F$1)/F$2)</f>
        <v/>
      </c>
      <c r="G555" s="58" t="str">
        <f>IF(TYPE($A555)=1,"",('NO USAR2'!$P553-G$1)/G$2)</f>
        <v/>
      </c>
      <c r="H555" s="58" t="str">
        <f>IF(TYPE($A555)=1,"",('NO USAR2'!$H553-H$1)/H$2*I555/$I$1)</f>
        <v/>
      </c>
      <c r="I555" s="58" t="str">
        <f>IF(TYPE($A555)=1,"",IF('NO USAR2'!H553=0,0,'NO USAR2'!G553/'NO USAR2'!H553))</f>
        <v/>
      </c>
      <c r="J555" s="59" t="str">
        <f>IF(TYPE($A555)=1,"",('NO USAR2'!$J553-J$1)/J$2*K555/$K$1)</f>
        <v/>
      </c>
      <c r="K555" s="60" t="str">
        <f>IF(TYPE($A555)=1,"",IF('NO USAR2'!J553=0,0,'NO USAR2'!I553/'NO USAR2'!J553))</f>
        <v/>
      </c>
      <c r="L555" s="58" t="str">
        <f>IF(TYPE($A555)=1,"",('NO USAR2'!$Q553-L$1)/L$2)</f>
        <v/>
      </c>
    </row>
    <row r="556">
      <c r="B556" s="58" t="str">
        <f>IF(TYPE($A556)=1,"",('NO USAR2'!$L554-B$1)/B$2)</f>
        <v/>
      </c>
      <c r="C556" s="58" t="str">
        <f>IF(TYPE($A556)=1,"",('NO USAR2'!$K554-C$1)/C$2)</f>
        <v/>
      </c>
      <c r="D556" s="58" t="str">
        <f>IF(TYPE($A556)=1,"",('NO USAR2'!$M554-D$1)/D$2)</f>
        <v/>
      </c>
      <c r="E556" s="58" t="str">
        <f>IF(TYPE($A556)=1,"",('NO USAR2'!$N554-E$1)/E$2)</f>
        <v/>
      </c>
      <c r="F556" s="58" t="str">
        <f>IF(TYPE($A556)=1,"",('NO USAR2'!$O554-F$1)/F$2)</f>
        <v/>
      </c>
      <c r="G556" s="58" t="str">
        <f>IF(TYPE($A556)=1,"",('NO USAR2'!$P554-G$1)/G$2)</f>
        <v/>
      </c>
      <c r="H556" s="58" t="str">
        <f>IF(TYPE($A556)=1,"",('NO USAR2'!$H554-H$1)/H$2*I556/$I$1)</f>
        <v/>
      </c>
      <c r="I556" s="58" t="str">
        <f>IF(TYPE($A556)=1,"",IF('NO USAR2'!H554=0,0,'NO USAR2'!G554/'NO USAR2'!H554))</f>
        <v/>
      </c>
      <c r="J556" s="59" t="str">
        <f>IF(TYPE($A556)=1,"",('NO USAR2'!$J554-J$1)/J$2*K556/$K$1)</f>
        <v/>
      </c>
      <c r="K556" s="60" t="str">
        <f>IF(TYPE($A556)=1,"",IF('NO USAR2'!J554=0,0,'NO USAR2'!I554/'NO USAR2'!J554))</f>
        <v/>
      </c>
      <c r="L556" s="58" t="str">
        <f>IF(TYPE($A556)=1,"",('NO USAR2'!$Q554-L$1)/L$2)</f>
        <v/>
      </c>
    </row>
    <row r="557">
      <c r="B557" s="58" t="str">
        <f>IF(TYPE($A557)=1,"",('NO USAR2'!$L555-B$1)/B$2)</f>
        <v/>
      </c>
      <c r="C557" s="58" t="str">
        <f>IF(TYPE($A557)=1,"",('NO USAR2'!$K555-C$1)/C$2)</f>
        <v/>
      </c>
      <c r="D557" s="58" t="str">
        <f>IF(TYPE($A557)=1,"",('NO USAR2'!$M555-D$1)/D$2)</f>
        <v/>
      </c>
      <c r="E557" s="58" t="str">
        <f>IF(TYPE($A557)=1,"",('NO USAR2'!$N555-E$1)/E$2)</f>
        <v/>
      </c>
      <c r="F557" s="58" t="str">
        <f>IF(TYPE($A557)=1,"",('NO USAR2'!$O555-F$1)/F$2)</f>
        <v/>
      </c>
      <c r="G557" s="58" t="str">
        <f>IF(TYPE($A557)=1,"",('NO USAR2'!$P555-G$1)/G$2)</f>
        <v/>
      </c>
      <c r="H557" s="58" t="str">
        <f>IF(TYPE($A557)=1,"",('NO USAR2'!$H555-H$1)/H$2*I557/$I$1)</f>
        <v/>
      </c>
      <c r="I557" s="58" t="str">
        <f>IF(TYPE($A557)=1,"",IF('NO USAR2'!H555=0,0,'NO USAR2'!G555/'NO USAR2'!H555))</f>
        <v/>
      </c>
      <c r="J557" s="59" t="str">
        <f>IF(TYPE($A557)=1,"",('NO USAR2'!$J555-J$1)/J$2*K557/$K$1)</f>
        <v/>
      </c>
      <c r="K557" s="60" t="str">
        <f>IF(TYPE($A557)=1,"",IF('NO USAR2'!J555=0,0,'NO USAR2'!I555/'NO USAR2'!J555))</f>
        <v/>
      </c>
      <c r="L557" s="58" t="str">
        <f>IF(TYPE($A557)=1,"",('NO USAR2'!$Q555-L$1)/L$2)</f>
        <v/>
      </c>
    </row>
    <row r="558">
      <c r="B558" s="58" t="str">
        <f>IF(TYPE($A558)=1,"",('NO USAR2'!$L556-B$1)/B$2)</f>
        <v/>
      </c>
      <c r="C558" s="58" t="str">
        <f>IF(TYPE($A558)=1,"",('NO USAR2'!$K556-C$1)/C$2)</f>
        <v/>
      </c>
      <c r="D558" s="58" t="str">
        <f>IF(TYPE($A558)=1,"",('NO USAR2'!$M556-D$1)/D$2)</f>
        <v/>
      </c>
      <c r="E558" s="58" t="str">
        <f>IF(TYPE($A558)=1,"",('NO USAR2'!$N556-E$1)/E$2)</f>
        <v/>
      </c>
      <c r="F558" s="58" t="str">
        <f>IF(TYPE($A558)=1,"",('NO USAR2'!$O556-F$1)/F$2)</f>
        <v/>
      </c>
      <c r="G558" s="58" t="str">
        <f>IF(TYPE($A558)=1,"",('NO USAR2'!$P556-G$1)/G$2)</f>
        <v/>
      </c>
      <c r="H558" s="58" t="str">
        <f>IF(TYPE($A558)=1,"",('NO USAR2'!$H556-H$1)/H$2*I558/$I$1)</f>
        <v/>
      </c>
      <c r="I558" s="58" t="str">
        <f>IF(TYPE($A558)=1,"",IF('NO USAR2'!H556=0,0,'NO USAR2'!G556/'NO USAR2'!H556))</f>
        <v/>
      </c>
      <c r="J558" s="59" t="str">
        <f>IF(TYPE($A558)=1,"",('NO USAR2'!$J556-J$1)/J$2*K558/$K$1)</f>
        <v/>
      </c>
      <c r="K558" s="60" t="str">
        <f>IF(TYPE($A558)=1,"",IF('NO USAR2'!J556=0,0,'NO USAR2'!I556/'NO USAR2'!J556))</f>
        <v/>
      </c>
      <c r="L558" s="58" t="str">
        <f>IF(TYPE($A558)=1,"",('NO USAR2'!$Q556-L$1)/L$2)</f>
        <v/>
      </c>
    </row>
    <row r="559">
      <c r="B559" s="58" t="str">
        <f>IF(TYPE($A559)=1,"",('NO USAR2'!$L557-B$1)/B$2)</f>
        <v/>
      </c>
      <c r="C559" s="58" t="str">
        <f>IF(TYPE($A559)=1,"",('NO USAR2'!$K557-C$1)/C$2)</f>
        <v/>
      </c>
      <c r="D559" s="58" t="str">
        <f>IF(TYPE($A559)=1,"",('NO USAR2'!$M557-D$1)/D$2)</f>
        <v/>
      </c>
      <c r="E559" s="58" t="str">
        <f>IF(TYPE($A559)=1,"",('NO USAR2'!$N557-E$1)/E$2)</f>
        <v/>
      </c>
      <c r="F559" s="58" t="str">
        <f>IF(TYPE($A559)=1,"",('NO USAR2'!$O557-F$1)/F$2)</f>
        <v/>
      </c>
      <c r="G559" s="58" t="str">
        <f>IF(TYPE($A559)=1,"",('NO USAR2'!$P557-G$1)/G$2)</f>
        <v/>
      </c>
      <c r="H559" s="58" t="str">
        <f>IF(TYPE($A559)=1,"",('NO USAR2'!$H557-H$1)/H$2*I559/$I$1)</f>
        <v/>
      </c>
      <c r="I559" s="58" t="str">
        <f>IF(TYPE($A559)=1,"",IF('NO USAR2'!H557=0,0,'NO USAR2'!G557/'NO USAR2'!H557))</f>
        <v/>
      </c>
      <c r="J559" s="59" t="str">
        <f>IF(TYPE($A559)=1,"",('NO USAR2'!$J557-J$1)/J$2*K559/$K$1)</f>
        <v/>
      </c>
      <c r="K559" s="60" t="str">
        <f>IF(TYPE($A559)=1,"",IF('NO USAR2'!J557=0,0,'NO USAR2'!I557/'NO USAR2'!J557))</f>
        <v/>
      </c>
      <c r="L559" s="58" t="str">
        <f>IF(TYPE($A559)=1,"",('NO USAR2'!$Q557-L$1)/L$2)</f>
        <v/>
      </c>
    </row>
    <row r="560">
      <c r="B560" s="58" t="str">
        <f>IF(TYPE($A560)=1,"",('NO USAR2'!$L558-B$1)/B$2)</f>
        <v/>
      </c>
      <c r="C560" s="58" t="str">
        <f>IF(TYPE($A560)=1,"",('NO USAR2'!$K558-C$1)/C$2)</f>
        <v/>
      </c>
      <c r="D560" s="58" t="str">
        <f>IF(TYPE($A560)=1,"",('NO USAR2'!$M558-D$1)/D$2)</f>
        <v/>
      </c>
      <c r="E560" s="58" t="str">
        <f>IF(TYPE($A560)=1,"",('NO USAR2'!$N558-E$1)/E$2)</f>
        <v/>
      </c>
      <c r="F560" s="58" t="str">
        <f>IF(TYPE($A560)=1,"",('NO USAR2'!$O558-F$1)/F$2)</f>
        <v/>
      </c>
      <c r="G560" s="58" t="str">
        <f>IF(TYPE($A560)=1,"",('NO USAR2'!$P558-G$1)/G$2)</f>
        <v/>
      </c>
      <c r="H560" s="58" t="str">
        <f>IF(TYPE($A560)=1,"",('NO USAR2'!$H558-H$1)/H$2*I560/$I$1)</f>
        <v/>
      </c>
      <c r="I560" s="58" t="str">
        <f>IF(TYPE($A560)=1,"",IF('NO USAR2'!H558=0,0,'NO USAR2'!G558/'NO USAR2'!H558))</f>
        <v/>
      </c>
      <c r="J560" s="59" t="str">
        <f>IF(TYPE($A560)=1,"",('NO USAR2'!$J558-J$1)/J$2*K560/$K$1)</f>
        <v/>
      </c>
      <c r="K560" s="60" t="str">
        <f>IF(TYPE($A560)=1,"",IF('NO USAR2'!J558=0,0,'NO USAR2'!I558/'NO USAR2'!J558))</f>
        <v/>
      </c>
      <c r="L560" s="58" t="str">
        <f>IF(TYPE($A560)=1,"",('NO USAR2'!$Q558-L$1)/L$2)</f>
        <v/>
      </c>
    </row>
    <row r="561">
      <c r="B561" s="58" t="str">
        <f>IF(TYPE($A561)=1,"",('NO USAR2'!$L559-B$1)/B$2)</f>
        <v/>
      </c>
      <c r="C561" s="58" t="str">
        <f>IF(TYPE($A561)=1,"",('NO USAR2'!$K559-C$1)/C$2)</f>
        <v/>
      </c>
      <c r="D561" s="58" t="str">
        <f>IF(TYPE($A561)=1,"",('NO USAR2'!$M559-D$1)/D$2)</f>
        <v/>
      </c>
      <c r="E561" s="58" t="str">
        <f>IF(TYPE($A561)=1,"",('NO USAR2'!$N559-E$1)/E$2)</f>
        <v/>
      </c>
      <c r="F561" s="58" t="str">
        <f>IF(TYPE($A561)=1,"",('NO USAR2'!$O559-F$1)/F$2)</f>
        <v/>
      </c>
      <c r="G561" s="58" t="str">
        <f>IF(TYPE($A561)=1,"",('NO USAR2'!$P559-G$1)/G$2)</f>
        <v/>
      </c>
      <c r="H561" s="58" t="str">
        <f>IF(TYPE($A561)=1,"",('NO USAR2'!$H559-H$1)/H$2*I561/$I$1)</f>
        <v/>
      </c>
      <c r="I561" s="58" t="str">
        <f>IF(TYPE($A561)=1,"",IF('NO USAR2'!H559=0,0,'NO USAR2'!G559/'NO USAR2'!H559))</f>
        <v/>
      </c>
      <c r="J561" s="59" t="str">
        <f>IF(TYPE($A561)=1,"",('NO USAR2'!$J559-J$1)/J$2*K561/$K$1)</f>
        <v/>
      </c>
      <c r="K561" s="60" t="str">
        <f>IF(TYPE($A561)=1,"",IF('NO USAR2'!J559=0,0,'NO USAR2'!I559/'NO USAR2'!J559))</f>
        <v/>
      </c>
      <c r="L561" s="58" t="str">
        <f>IF(TYPE($A561)=1,"",('NO USAR2'!$Q559-L$1)/L$2)</f>
        <v/>
      </c>
    </row>
    <row r="562">
      <c r="B562" s="58" t="str">
        <f>IF(TYPE($A562)=1,"",('NO USAR2'!$L560-B$1)/B$2)</f>
        <v/>
      </c>
      <c r="C562" s="58" t="str">
        <f>IF(TYPE($A562)=1,"",('NO USAR2'!$K560-C$1)/C$2)</f>
        <v/>
      </c>
      <c r="D562" s="58" t="str">
        <f>IF(TYPE($A562)=1,"",('NO USAR2'!$M560-D$1)/D$2)</f>
        <v/>
      </c>
      <c r="E562" s="58" t="str">
        <f>IF(TYPE($A562)=1,"",('NO USAR2'!$N560-E$1)/E$2)</f>
        <v/>
      </c>
      <c r="F562" s="58" t="str">
        <f>IF(TYPE($A562)=1,"",('NO USAR2'!$O560-F$1)/F$2)</f>
        <v/>
      </c>
      <c r="G562" s="58" t="str">
        <f>IF(TYPE($A562)=1,"",('NO USAR2'!$P560-G$1)/G$2)</f>
        <v/>
      </c>
      <c r="H562" s="58" t="str">
        <f>IF(TYPE($A562)=1,"",('NO USAR2'!$H560-H$1)/H$2*I562/$I$1)</f>
        <v/>
      </c>
      <c r="I562" s="58" t="str">
        <f>IF(TYPE($A562)=1,"",IF('NO USAR2'!H560=0,0,'NO USAR2'!G560/'NO USAR2'!H560))</f>
        <v/>
      </c>
      <c r="J562" s="59" t="str">
        <f>IF(TYPE($A562)=1,"",('NO USAR2'!$J560-J$1)/J$2*K562/$K$1)</f>
        <v/>
      </c>
      <c r="K562" s="60" t="str">
        <f>IF(TYPE($A562)=1,"",IF('NO USAR2'!J560=0,0,'NO USAR2'!I560/'NO USAR2'!J560))</f>
        <v/>
      </c>
      <c r="L562" s="58" t="str">
        <f>IF(TYPE($A562)=1,"",('NO USAR2'!$Q560-L$1)/L$2)</f>
        <v/>
      </c>
    </row>
    <row r="563">
      <c r="B563" s="58" t="str">
        <f>IF(TYPE($A563)=1,"",('NO USAR2'!$L561-B$1)/B$2)</f>
        <v/>
      </c>
      <c r="C563" s="58" t="str">
        <f>IF(TYPE($A563)=1,"",('NO USAR2'!$K561-C$1)/C$2)</f>
        <v/>
      </c>
      <c r="D563" s="58" t="str">
        <f>IF(TYPE($A563)=1,"",('NO USAR2'!$M561-D$1)/D$2)</f>
        <v/>
      </c>
      <c r="E563" s="58" t="str">
        <f>IF(TYPE($A563)=1,"",('NO USAR2'!$N561-E$1)/E$2)</f>
        <v/>
      </c>
      <c r="F563" s="58" t="str">
        <f>IF(TYPE($A563)=1,"",('NO USAR2'!$O561-F$1)/F$2)</f>
        <v/>
      </c>
      <c r="G563" s="58" t="str">
        <f>IF(TYPE($A563)=1,"",('NO USAR2'!$P561-G$1)/G$2)</f>
        <v/>
      </c>
      <c r="H563" s="58" t="str">
        <f>IF(TYPE($A563)=1,"",('NO USAR2'!$H561-H$1)/H$2*I563/$I$1)</f>
        <v/>
      </c>
      <c r="I563" s="58" t="str">
        <f>IF(TYPE($A563)=1,"",IF('NO USAR2'!H561=0,0,'NO USAR2'!G561/'NO USAR2'!H561))</f>
        <v/>
      </c>
      <c r="J563" s="59" t="str">
        <f>IF(TYPE($A563)=1,"",('NO USAR2'!$J561-J$1)/J$2*K563/$K$1)</f>
        <v/>
      </c>
      <c r="K563" s="60" t="str">
        <f>IF(TYPE($A563)=1,"",IF('NO USAR2'!J561=0,0,'NO USAR2'!I561/'NO USAR2'!J561))</f>
        <v/>
      </c>
      <c r="L563" s="58" t="str">
        <f>IF(TYPE($A563)=1,"",('NO USAR2'!$Q561-L$1)/L$2)</f>
        <v/>
      </c>
    </row>
    <row r="564">
      <c r="B564" s="58" t="str">
        <f>IF(TYPE($A564)=1,"",('NO USAR2'!$L562-B$1)/B$2)</f>
        <v/>
      </c>
      <c r="C564" s="58" t="str">
        <f>IF(TYPE($A564)=1,"",('NO USAR2'!$K562-C$1)/C$2)</f>
        <v/>
      </c>
      <c r="D564" s="58" t="str">
        <f>IF(TYPE($A564)=1,"",('NO USAR2'!$M562-D$1)/D$2)</f>
        <v/>
      </c>
      <c r="E564" s="58" t="str">
        <f>IF(TYPE($A564)=1,"",('NO USAR2'!$N562-E$1)/E$2)</f>
        <v/>
      </c>
      <c r="F564" s="58" t="str">
        <f>IF(TYPE($A564)=1,"",('NO USAR2'!$O562-F$1)/F$2)</f>
        <v/>
      </c>
      <c r="G564" s="58" t="str">
        <f>IF(TYPE($A564)=1,"",('NO USAR2'!$P562-G$1)/G$2)</f>
        <v/>
      </c>
      <c r="H564" s="58" t="str">
        <f>IF(TYPE($A564)=1,"",('NO USAR2'!$H562-H$1)/H$2*I564/$I$1)</f>
        <v/>
      </c>
      <c r="I564" s="58" t="str">
        <f>IF(TYPE($A564)=1,"",IF('NO USAR2'!H562=0,0,'NO USAR2'!G562/'NO USAR2'!H562))</f>
        <v/>
      </c>
      <c r="J564" s="59" t="str">
        <f>IF(TYPE($A564)=1,"",('NO USAR2'!$J562-J$1)/J$2*K564/$K$1)</f>
        <v/>
      </c>
      <c r="K564" s="60" t="str">
        <f>IF(TYPE($A564)=1,"",IF('NO USAR2'!J562=0,0,'NO USAR2'!I562/'NO USAR2'!J562))</f>
        <v/>
      </c>
      <c r="L564" s="58" t="str">
        <f>IF(TYPE($A564)=1,"",('NO USAR2'!$Q562-L$1)/L$2)</f>
        <v/>
      </c>
    </row>
    <row r="565">
      <c r="B565" s="58" t="str">
        <f>IF(TYPE($A565)=1,"",('NO USAR2'!$L563-B$1)/B$2)</f>
        <v/>
      </c>
      <c r="C565" s="58" t="str">
        <f>IF(TYPE($A565)=1,"",('NO USAR2'!$K563-C$1)/C$2)</f>
        <v/>
      </c>
      <c r="D565" s="58" t="str">
        <f>IF(TYPE($A565)=1,"",('NO USAR2'!$M563-D$1)/D$2)</f>
        <v/>
      </c>
      <c r="E565" s="58" t="str">
        <f>IF(TYPE($A565)=1,"",('NO USAR2'!$N563-E$1)/E$2)</f>
        <v/>
      </c>
      <c r="F565" s="58" t="str">
        <f>IF(TYPE($A565)=1,"",('NO USAR2'!$O563-F$1)/F$2)</f>
        <v/>
      </c>
      <c r="G565" s="58" t="str">
        <f>IF(TYPE($A565)=1,"",('NO USAR2'!$P563-G$1)/G$2)</f>
        <v/>
      </c>
      <c r="H565" s="58" t="str">
        <f>IF(TYPE($A565)=1,"",('NO USAR2'!$H563-H$1)/H$2*I565/$I$1)</f>
        <v/>
      </c>
      <c r="I565" s="58" t="str">
        <f>IF(TYPE($A565)=1,"",IF('NO USAR2'!H563=0,0,'NO USAR2'!G563/'NO USAR2'!H563))</f>
        <v/>
      </c>
      <c r="J565" s="59" t="str">
        <f>IF(TYPE($A565)=1,"",('NO USAR2'!$J563-J$1)/J$2*K565/$K$1)</f>
        <v/>
      </c>
      <c r="K565" s="60" t="str">
        <f>IF(TYPE($A565)=1,"",IF('NO USAR2'!J563=0,0,'NO USAR2'!I563/'NO USAR2'!J563))</f>
        <v/>
      </c>
      <c r="L565" s="58" t="str">
        <f>IF(TYPE($A565)=1,"",('NO USAR2'!$Q563-L$1)/L$2)</f>
        <v/>
      </c>
    </row>
    <row r="566">
      <c r="A566">
        <f>IF('NO USAR2'!B564="",ROW('NO USAR2'!B564),'NO USAR2'!B564)</f>
        <v>564</v>
      </c>
      <c r="B566" s="58" t="str">
        <f>IF(TYPE($A566)=1,"",('NO USAR2'!$L564-B$1)/B$2)</f>
        <v/>
      </c>
      <c r="C566" s="58" t="str">
        <f>IF(TYPE($A566)=1,"",('NO USAR2'!$K564-C$1)/C$2)</f>
        <v/>
      </c>
      <c r="D566" s="58" t="str">
        <f>IF(TYPE($A566)=1,"",('NO USAR2'!$M564-D$1)/D$2)</f>
        <v/>
      </c>
      <c r="E566" s="58" t="str">
        <f>IF(TYPE($A566)=1,"",('NO USAR2'!$N564-E$1)/E$2)</f>
        <v/>
      </c>
      <c r="F566" s="58" t="str">
        <f>IF(TYPE($A566)=1,"",('NO USAR2'!$O564-F$1)/F$2)</f>
        <v/>
      </c>
      <c r="G566" s="58" t="str">
        <f>IF(TYPE($A566)=1,"",('NO USAR2'!$P564-G$1)/G$2)</f>
        <v/>
      </c>
      <c r="H566" s="58" t="str">
        <f>IF(TYPE($A566)=1,"",('NO USAR2'!$H564-H$1)/H$2*I566/$I$1)</f>
        <v/>
      </c>
      <c r="I566" s="58" t="str">
        <f>IF(TYPE($A566)=1,"",IF('NO USAR2'!H564=0,0,'NO USAR2'!G564/'NO USAR2'!H564))</f>
        <v/>
      </c>
      <c r="J566" s="59" t="str">
        <f>IF(TYPE($A566)=1,"",('NO USAR2'!$J564-J$1)/J$2*K566/$K$1)</f>
        <v/>
      </c>
      <c r="K566" s="60" t="str">
        <f>IF(TYPE($A566)=1,"",IF('NO USAR2'!J564=0,0,'NO USAR2'!I564/'NO USAR2'!J564))</f>
        <v/>
      </c>
      <c r="L566" s="58" t="str">
        <f>IF(TYPE($A566)=1,"",('NO USAR2'!$Q564-L$1)/L$2)</f>
        <v/>
      </c>
    </row>
  </sheetData>
  <autoFilter ref="$O$20:$AL$220">
    <sortState ref="O20:AL220">
      <sortCondition descending="1" ref="R20:R220"/>
      <sortCondition descending="1" ref="S20:S22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3" width="18.5"/>
  </cols>
  <sheetData>
    <row r="1">
      <c r="A1" s="2" t="s">
        <v>205</v>
      </c>
      <c r="B1" s="2" t="s">
        <v>206</v>
      </c>
      <c r="C1" s="2" t="s">
        <v>207</v>
      </c>
      <c r="D1" s="2" t="s">
        <v>208</v>
      </c>
      <c r="E1" s="2" t="s">
        <v>81</v>
      </c>
      <c r="F1" s="2" t="s">
        <v>209</v>
      </c>
      <c r="G1" s="2" t="s">
        <v>210</v>
      </c>
      <c r="H1" s="77" t="s">
        <v>12</v>
      </c>
      <c r="I1" s="2" t="s">
        <v>211</v>
      </c>
      <c r="J1" s="77" t="s">
        <v>13</v>
      </c>
      <c r="K1" s="78" t="s">
        <v>212</v>
      </c>
      <c r="L1" s="2" t="s">
        <v>2</v>
      </c>
      <c r="M1" s="2" t="s">
        <v>213</v>
      </c>
      <c r="N1" s="2" t="s">
        <v>7</v>
      </c>
      <c r="O1" s="2" t="s">
        <v>9</v>
      </c>
      <c r="P1" s="2" t="s">
        <v>10</v>
      </c>
      <c r="Q1" s="2" t="s">
        <v>15</v>
      </c>
      <c r="R1" s="2" t="s">
        <v>214</v>
      </c>
      <c r="S1" s="2" t="s">
        <v>215</v>
      </c>
      <c r="T1" s="79"/>
      <c r="U1" s="55"/>
      <c r="V1" s="79"/>
      <c r="W1" s="55"/>
      <c r="X1" s="55"/>
      <c r="Y1" s="55"/>
      <c r="Z1" s="55"/>
      <c r="AA1" s="55"/>
      <c r="AB1" s="55"/>
    </row>
    <row r="2">
      <c r="A2" s="2">
        <v>1.0</v>
      </c>
      <c r="B2" s="2" t="str">
        <f>'Paste #BBall'!C2</f>
        <v>Nikola Jokic</v>
      </c>
      <c r="C2" s="2" t="str">
        <f>'Paste #BBall'!D2</f>
        <v>C</v>
      </c>
      <c r="D2" s="2" t="str">
        <f>'Paste #BBall'!E2</f>
        <v>DEN</v>
      </c>
      <c r="E2" s="2">
        <f>'Paste #BBall'!F2</f>
        <v>74</v>
      </c>
      <c r="F2" s="80">
        <f>'Paste #BBall'!G2</f>
        <v>33.5</v>
      </c>
      <c r="G2" s="81" t="str">
        <f>right(Left('Paste #BBall'!H2,Search("/",'Paste #BBall'!H2)-1),len(Left('Paste #BBall'!H2,Search("/",'Paste #BBall'!H2)-1))-search("(",Left('Paste #BBall'!H2,Search("/",'Paste #BBall'!H2)-1)))</f>
        <v>10.1</v>
      </c>
      <c r="H2" s="82">
        <f t="shared" ref="H2:H201" si="1">G2/R2</f>
        <v>0.5804597701</v>
      </c>
      <c r="I2" s="82" t="str">
        <f>right(Left('Paste #BBall'!I2,Search("/",'Paste #BBall'!I2)-1),len(Left('Paste #BBall'!I2,Search("/",'Paste #BBall'!I2)-1))-search("(",Left('Paste #BBall'!I2,Search("/",'Paste #BBall'!I2)-1)))</f>
        <v>5.0</v>
      </c>
      <c r="J2" s="82">
        <f t="shared" ref="J2:J201" si="2">I2/S2</f>
        <v>0.8333333333</v>
      </c>
      <c r="K2" s="82">
        <f>'Paste #BBall'!J2</f>
        <v>1.2</v>
      </c>
      <c r="L2" s="82">
        <f>'Paste #BBall'!K2</f>
        <v>26.3</v>
      </c>
      <c r="M2" s="82">
        <f>'Paste #BBall'!L2</f>
        <v>13.8</v>
      </c>
      <c r="N2" s="82">
        <f>'Paste #BBall'!M2</f>
        <v>8.4</v>
      </c>
      <c r="O2" s="82">
        <f>'Paste #BBall'!N2</f>
        <v>1.4</v>
      </c>
      <c r="P2" s="82">
        <f>'Paste #BBall'!O2</f>
        <v>0.9</v>
      </c>
      <c r="Q2" s="82">
        <f>'Paste #BBall'!P2</f>
        <v>3.9</v>
      </c>
      <c r="R2" s="81" t="str">
        <f>Left(Right('Paste #BBall'!H2,Len('Paste #BBall'!H2)-Search("/",'Paste #BBall'!H2)),Len(Right('Paste #BBall'!H2,Len('Paste #BBall'!H2)-Search("/",'Paste #BBall'!H2)))-1)</f>
        <v>17.4</v>
      </c>
      <c r="S2" s="81" t="str">
        <f>Left(Right('Paste #BBall'!I2,Len('Paste #BBall'!I2)-Search("/",'Paste #BBall'!I2)),Len(Right('Paste #BBall'!I2,Len('Paste #BBall'!I2)-Search("/",'Paste #BBall'!I2)))-1)</f>
        <v>6.0</v>
      </c>
      <c r="T2" s="81"/>
      <c r="U2" s="37"/>
      <c r="V2" s="37"/>
    </row>
    <row r="3">
      <c r="A3" s="2">
        <v>2.0</v>
      </c>
      <c r="B3" s="2" t="str">
        <f>'Paste #BBall'!C3</f>
        <v>Kevin Durant</v>
      </c>
      <c r="C3" s="2" t="str">
        <f>'Paste #BBall'!D3</f>
        <v>SF/PF</v>
      </c>
      <c r="D3" s="2" t="str">
        <f>'Paste #BBall'!E3</f>
        <v>BRO</v>
      </c>
      <c r="E3" s="2">
        <f>'Paste #BBall'!F3</f>
        <v>68</v>
      </c>
      <c r="F3" s="80">
        <f>'Paste #BBall'!G3</f>
        <v>35.7</v>
      </c>
      <c r="G3" s="81" t="str">
        <f>right(Left('Paste #BBall'!H3,Search("/",'Paste #BBall'!H3)-1),len(Left('Paste #BBall'!H3,Search("/",'Paste #BBall'!H3)-1))-search("(",Left('Paste #BBall'!H3,Search("/",'Paste #BBall'!H3)-1)))</f>
        <v>10.3</v>
      </c>
      <c r="H3" s="82">
        <f t="shared" si="1"/>
        <v>0.5202020202</v>
      </c>
      <c r="I3" s="82" t="str">
        <f>right(Left('Paste #BBall'!I3,Search("/",'Paste #BBall'!I3)-1),len(Left('Paste #BBall'!I3,Search("/",'Paste #BBall'!I3)-1))-search("(",Left('Paste #BBall'!I3,Search("/",'Paste #BBall'!I3)-1)))</f>
        <v>6.6</v>
      </c>
      <c r="J3" s="82">
        <f t="shared" si="2"/>
        <v>0.904109589</v>
      </c>
      <c r="K3" s="82">
        <f>'Paste #BBall'!J3</f>
        <v>2.1</v>
      </c>
      <c r="L3" s="82">
        <f>'Paste #BBall'!K3</f>
        <v>29.2</v>
      </c>
      <c r="M3" s="82">
        <f>'Paste #BBall'!L3</f>
        <v>7.2</v>
      </c>
      <c r="N3" s="82">
        <f>'Paste #BBall'!M3</f>
        <v>6.3</v>
      </c>
      <c r="O3" s="82">
        <f>'Paste #BBall'!N3</f>
        <v>0.9</v>
      </c>
      <c r="P3" s="82">
        <f>'Paste #BBall'!O3</f>
        <v>0.9</v>
      </c>
      <c r="Q3" s="82">
        <f>'Paste #BBall'!P3</f>
        <v>3.4</v>
      </c>
      <c r="R3" s="81" t="str">
        <f>Left(Right('Paste #BBall'!H3,Len('Paste #BBall'!H3)-Search("/",'Paste #BBall'!H3)),Len(Right('Paste #BBall'!H3,Len('Paste #BBall'!H3)-Search("/",'Paste #BBall'!H3)))-1)</f>
        <v>19.8</v>
      </c>
      <c r="S3" s="81" t="str">
        <f>Left(Right('Paste #BBall'!I3,Len('Paste #BBall'!I3)-Search("/",'Paste #BBall'!I3)),Len(Right('Paste #BBall'!I3,Len('Paste #BBall'!I3)-Search("/",'Paste #BBall'!I3)))-1)</f>
        <v>7.3</v>
      </c>
      <c r="T3" s="37"/>
      <c r="U3" s="37"/>
      <c r="V3" s="37"/>
    </row>
    <row r="4">
      <c r="A4" s="2">
        <v>3.0</v>
      </c>
      <c r="B4" s="2" t="str">
        <f>'Paste #BBall'!C4</f>
        <v>Joel Embiid</v>
      </c>
      <c r="C4" s="2" t="str">
        <f>'Paste #BBall'!D4</f>
        <v>C</v>
      </c>
      <c r="D4" s="2" t="str">
        <f>'Paste #BBall'!E4</f>
        <v>PHI</v>
      </c>
      <c r="E4" s="2">
        <f>'Paste #BBall'!F4</f>
        <v>68</v>
      </c>
      <c r="F4" s="80">
        <f>'Paste #BBall'!G4</f>
        <v>33.8</v>
      </c>
      <c r="G4" s="81" t="str">
        <f>right(Left('Paste #BBall'!H4,Search("/",'Paste #BBall'!H4)-1),len(Left('Paste #BBall'!H4,Search("/",'Paste #BBall'!H4)-1))-search("(",Left('Paste #BBall'!H4,Search("/",'Paste #BBall'!H4)-1)))</f>
        <v>9.8</v>
      </c>
      <c r="H4" s="82">
        <f t="shared" si="1"/>
        <v>0.4949494949</v>
      </c>
      <c r="I4" s="82" t="str">
        <f>right(Left('Paste #BBall'!I4,Search("/",'Paste #BBall'!I4)-1),len(Left('Paste #BBall'!I4,Search("/",'Paste #BBall'!I4)-1))-search("(",Left('Paste #BBall'!I4,Search("/",'Paste #BBall'!I4)-1)))</f>
        <v>9.5</v>
      </c>
      <c r="J4" s="82">
        <f t="shared" si="2"/>
        <v>0.8189655172</v>
      </c>
      <c r="K4" s="82">
        <f>'Paste #BBall'!J4</f>
        <v>1.3</v>
      </c>
      <c r="L4" s="82">
        <f>'Paste #BBall'!K4</f>
        <v>30.4</v>
      </c>
      <c r="M4" s="82">
        <f>'Paste #BBall'!L4</f>
        <v>11.9</v>
      </c>
      <c r="N4" s="82">
        <f>'Paste #BBall'!M4</f>
        <v>4</v>
      </c>
      <c r="O4" s="82">
        <f>'Paste #BBall'!N4</f>
        <v>1.1</v>
      </c>
      <c r="P4" s="82">
        <f>'Paste #BBall'!O4</f>
        <v>1.5</v>
      </c>
      <c r="Q4" s="82">
        <f>'Paste #BBall'!P4</f>
        <v>3.2</v>
      </c>
      <c r="R4" s="81" t="str">
        <f>Left(Right('Paste #BBall'!H4,Len('Paste #BBall'!H4)-Search("/",'Paste #BBall'!H4)),Len(Right('Paste #BBall'!H4,Len('Paste #BBall'!H4)-Search("/",'Paste #BBall'!H4)))-1)</f>
        <v>19.8</v>
      </c>
      <c r="S4" s="81" t="str">
        <f>Left(Right('Paste #BBall'!I4,Len('Paste #BBall'!I4)-Search("/",'Paste #BBall'!I4)),Len(Right('Paste #BBall'!I4,Len('Paste #BBall'!I4)-Search("/",'Paste #BBall'!I4)))-1)</f>
        <v>11.6</v>
      </c>
      <c r="T4" s="37"/>
      <c r="U4" s="37"/>
      <c r="V4" s="37"/>
    </row>
    <row r="5">
      <c r="A5" s="2">
        <v>4.0</v>
      </c>
      <c r="B5" s="2" t="str">
        <f>'Paste #BBall'!C5</f>
        <v>James Harden</v>
      </c>
      <c r="C5" s="2" t="str">
        <f>'Paste #BBall'!D5</f>
        <v>PG/SF</v>
      </c>
      <c r="D5" s="2" t="str">
        <f>'Paste #BBall'!E5</f>
        <v>PHI</v>
      </c>
      <c r="E5" s="2">
        <f>'Paste #BBall'!F5</f>
        <v>70</v>
      </c>
      <c r="F5" s="80">
        <f>'Paste #BBall'!G5</f>
        <v>36.4</v>
      </c>
      <c r="G5" s="81" t="str">
        <f>right(Left('Paste #BBall'!H5,Search("/",'Paste #BBall'!H5)-1),len(Left('Paste #BBall'!H5,Search("/",'Paste #BBall'!H5)-1))-search("(",Left('Paste #BBall'!H5,Search("/",'Paste #BBall'!H5)-1)))</f>
        <v>6.3</v>
      </c>
      <c r="H5" s="82">
        <f t="shared" si="1"/>
        <v>0.4436619718</v>
      </c>
      <c r="I5" s="82" t="str">
        <f>right(Left('Paste #BBall'!I5,Search("/",'Paste #BBall'!I5)-1),len(Left('Paste #BBall'!I5,Search("/",'Paste #BBall'!I5)-1))-search("(",Left('Paste #BBall'!I5,Search("/",'Paste #BBall'!I5)-1)))</f>
        <v>7.2</v>
      </c>
      <c r="J5" s="82">
        <f t="shared" si="2"/>
        <v>0.8780487805</v>
      </c>
      <c r="K5" s="82">
        <f>'Paste #BBall'!J5</f>
        <v>2.3</v>
      </c>
      <c r="L5" s="82">
        <f>'Paste #BBall'!K5</f>
        <v>22.1</v>
      </c>
      <c r="M5" s="82">
        <f>'Paste #BBall'!L5</f>
        <v>7.5</v>
      </c>
      <c r="N5" s="82">
        <f>'Paste #BBall'!M5</f>
        <v>10.2</v>
      </c>
      <c r="O5" s="82">
        <f>'Paste #BBall'!N5</f>
        <v>1.3</v>
      </c>
      <c r="P5" s="82">
        <f>'Paste #BBall'!O5</f>
        <v>0.6</v>
      </c>
      <c r="Q5" s="82">
        <f>'Paste #BBall'!P5</f>
        <v>4.4</v>
      </c>
      <c r="R5" s="81" t="str">
        <f>Left(Right('Paste #BBall'!H5,Len('Paste #BBall'!H5)-Search("/",'Paste #BBall'!H5)),Len(Right('Paste #BBall'!H5,Len('Paste #BBall'!H5)-Search("/",'Paste #BBall'!H5)))-1)</f>
        <v>14.2</v>
      </c>
      <c r="S5" s="81" t="str">
        <f>Left(Right('Paste #BBall'!I5,Len('Paste #BBall'!I5)-Search("/",'Paste #BBall'!I5)),Len(Right('Paste #BBall'!I5,Len('Paste #BBall'!I5)-Search("/",'Paste #BBall'!I5)))-1)</f>
        <v>8.2</v>
      </c>
      <c r="T5" s="37"/>
      <c r="U5" s="37"/>
      <c r="V5" s="37"/>
    </row>
    <row r="6">
      <c r="A6" s="2">
        <v>5.0</v>
      </c>
      <c r="B6" s="2" t="str">
        <f>'Paste #BBall'!C6</f>
        <v>Giannis Antetokounmpo</v>
      </c>
      <c r="C6" s="2" t="str">
        <f>'Paste #BBall'!D6</f>
        <v>PF/C</v>
      </c>
      <c r="D6" s="2" t="str">
        <f>'Paste #BBall'!E6</f>
        <v>MIL</v>
      </c>
      <c r="E6" s="2">
        <f>'Paste #BBall'!F6</f>
        <v>68</v>
      </c>
      <c r="F6" s="80">
        <f>'Paste #BBall'!G6</f>
        <v>32.8</v>
      </c>
      <c r="G6" s="81" t="str">
        <f>right(Left('Paste #BBall'!H6,Search("/",'Paste #BBall'!H6)-1),len(Left('Paste #BBall'!H6,Search("/",'Paste #BBall'!H6)-1))-search("(",Left('Paste #BBall'!H6,Search("/",'Paste #BBall'!H6)-1)))</f>
        <v>10.4</v>
      </c>
      <c r="H6" s="82">
        <f t="shared" si="1"/>
        <v>0.5531914894</v>
      </c>
      <c r="I6" s="82" t="str">
        <f>right(Left('Paste #BBall'!I6,Search("/",'Paste #BBall'!I6)-1),len(Left('Paste #BBall'!I6,Search("/",'Paste #BBall'!I6)-1))-search("(",Left('Paste #BBall'!I6,Search("/",'Paste #BBall'!I6)-1)))</f>
        <v>8.4</v>
      </c>
      <c r="J6" s="82">
        <f t="shared" si="2"/>
        <v>0.724137931</v>
      </c>
      <c r="K6" s="82">
        <f>'Paste #BBall'!J6</f>
        <v>1.1</v>
      </c>
      <c r="L6" s="82">
        <f>'Paste #BBall'!K6</f>
        <v>30.3</v>
      </c>
      <c r="M6" s="82">
        <f>'Paste #BBall'!L6</f>
        <v>11.8</v>
      </c>
      <c r="N6" s="82">
        <f>'Paste #BBall'!M6</f>
        <v>5.9</v>
      </c>
      <c r="O6" s="82">
        <f>'Paste #BBall'!N6</f>
        <v>1.1</v>
      </c>
      <c r="P6" s="82">
        <f>'Paste #BBall'!O6</f>
        <v>1.4</v>
      </c>
      <c r="Q6" s="82">
        <f>'Paste #BBall'!P6</f>
        <v>3.4</v>
      </c>
      <c r="R6" s="81" t="str">
        <f>Left(Right('Paste #BBall'!H6,Len('Paste #BBall'!H6)-Search("/",'Paste #BBall'!H6)),Len(Right('Paste #BBall'!H6,Len('Paste #BBall'!H6)-Search("/",'Paste #BBall'!H6)))-1)</f>
        <v>18.8</v>
      </c>
      <c r="S6" s="81" t="str">
        <f>Left(Right('Paste #BBall'!I6,Len('Paste #BBall'!I6)-Search("/",'Paste #BBall'!I6)),Len(Right('Paste #BBall'!I6,Len('Paste #BBall'!I6)-Search("/",'Paste #BBall'!I6)))-1)</f>
        <v>11.6</v>
      </c>
      <c r="T6" s="37"/>
      <c r="U6" s="37"/>
      <c r="V6" s="37"/>
    </row>
    <row r="7">
      <c r="A7" s="2">
        <v>6.0</v>
      </c>
      <c r="B7" s="2" t="str">
        <f>'Paste #BBall'!C7</f>
        <v>LeBron James</v>
      </c>
      <c r="C7" s="2" t="str">
        <f>'Paste #BBall'!D7</f>
        <v>PG/SF/PF</v>
      </c>
      <c r="D7" s="2" t="str">
        <f>'Paste #BBall'!E7</f>
        <v>LAL</v>
      </c>
      <c r="E7" s="2">
        <f>'Paste #BBall'!F7</f>
        <v>68</v>
      </c>
      <c r="F7" s="80">
        <f>'Paste #BBall'!G7</f>
        <v>33.4</v>
      </c>
      <c r="G7" s="81" t="str">
        <f>right(Left('Paste #BBall'!H7,Search("/",'Paste #BBall'!H7)-1),len(Left('Paste #BBall'!H7,Search("/",'Paste #BBall'!H7)-1))-search("(",Left('Paste #BBall'!H7,Search("/",'Paste #BBall'!H7)-1)))</f>
        <v>10.4</v>
      </c>
      <c r="H7" s="82">
        <f t="shared" si="1"/>
        <v>0.5226130653</v>
      </c>
      <c r="I7" s="82" t="str">
        <f>right(Left('Paste #BBall'!I7,Search("/",'Paste #BBall'!I7)-1),len(Left('Paste #BBall'!I7,Search("/",'Paste #BBall'!I7)-1))-search("(",Left('Paste #BBall'!I7,Search("/",'Paste #BBall'!I7)-1)))</f>
        <v>4.1</v>
      </c>
      <c r="J7" s="82">
        <f t="shared" si="2"/>
        <v>0.7454545455</v>
      </c>
      <c r="K7" s="82">
        <f>'Paste #BBall'!J7</f>
        <v>2.7</v>
      </c>
      <c r="L7" s="82">
        <f>'Paste #BBall'!K7</f>
        <v>27.6</v>
      </c>
      <c r="M7" s="82">
        <f>'Paste #BBall'!L7</f>
        <v>7.5</v>
      </c>
      <c r="N7" s="82">
        <f>'Paste #BBall'!M7</f>
        <v>6.1</v>
      </c>
      <c r="O7" s="82">
        <f>'Paste #BBall'!N7</f>
        <v>1.2</v>
      </c>
      <c r="P7" s="82">
        <f>'Paste #BBall'!O7</f>
        <v>1</v>
      </c>
      <c r="Q7" s="82">
        <f>'Paste #BBall'!P7</f>
        <v>3.2</v>
      </c>
      <c r="R7" s="81" t="str">
        <f>Left(Right('Paste #BBall'!H7,Len('Paste #BBall'!H7)-Search("/",'Paste #BBall'!H7)),Len(Right('Paste #BBall'!H7,Len('Paste #BBall'!H7)-Search("/",'Paste #BBall'!H7)))-1)</f>
        <v>19.9</v>
      </c>
      <c r="S7" s="81" t="str">
        <f>Left(Right('Paste #BBall'!I7,Len('Paste #BBall'!I7)-Search("/",'Paste #BBall'!I7)),Len(Right('Paste #BBall'!I7,Len('Paste #BBall'!I7)-Search("/",'Paste #BBall'!I7)))-1)</f>
        <v>5.5</v>
      </c>
      <c r="T7" s="37"/>
      <c r="U7" s="37"/>
      <c r="V7" s="37"/>
    </row>
    <row r="8">
      <c r="A8" s="2">
        <v>7.0</v>
      </c>
      <c r="B8" s="2" t="str">
        <f>'Paste #BBall'!C8</f>
        <v>Stephen Curry</v>
      </c>
      <c r="C8" s="2" t="str">
        <f>'Paste #BBall'!D8</f>
        <v>PG</v>
      </c>
      <c r="D8" s="2" t="str">
        <f>'Paste #BBall'!E8</f>
        <v>GSW</v>
      </c>
      <c r="E8" s="2">
        <f>'Paste #BBall'!F8</f>
        <v>64</v>
      </c>
      <c r="F8" s="80">
        <f>'Paste #BBall'!G8</f>
        <v>34.4</v>
      </c>
      <c r="G8" s="81" t="str">
        <f>right(Left('Paste #BBall'!H8,Search("/",'Paste #BBall'!H8)-1),len(Left('Paste #BBall'!H8,Search("/",'Paste #BBall'!H8)-1))-search("(",Left('Paste #BBall'!H8,Search("/",'Paste #BBall'!H8)-1)))</f>
        <v>8.1</v>
      </c>
      <c r="H8" s="82">
        <f t="shared" si="1"/>
        <v>0.4402173913</v>
      </c>
      <c r="I8" s="82" t="str">
        <f>right(Left('Paste #BBall'!I8,Search("/",'Paste #BBall'!I8)-1),len(Left('Paste #BBall'!I8,Search("/",'Paste #BBall'!I8)-1))-search("(",Left('Paste #BBall'!I8,Search("/",'Paste #BBall'!I8)-1)))</f>
        <v>4.4</v>
      </c>
      <c r="J8" s="82">
        <f t="shared" si="2"/>
        <v>0.9166666667</v>
      </c>
      <c r="K8" s="82">
        <f>'Paste #BBall'!J8</f>
        <v>4.6</v>
      </c>
      <c r="L8" s="82">
        <f>'Paste #BBall'!K8</f>
        <v>25.1</v>
      </c>
      <c r="M8" s="82">
        <f>'Paste #BBall'!L8</f>
        <v>5.3</v>
      </c>
      <c r="N8" s="82">
        <f>'Paste #BBall'!M8</f>
        <v>6.4</v>
      </c>
      <c r="O8" s="82">
        <f>'Paste #BBall'!N8</f>
        <v>1.2</v>
      </c>
      <c r="P8" s="82">
        <f>'Paste #BBall'!O8</f>
        <v>0.4</v>
      </c>
      <c r="Q8" s="82">
        <f>'Paste #BBall'!P8</f>
        <v>3.3</v>
      </c>
      <c r="R8" s="81" t="str">
        <f>Left(Right('Paste #BBall'!H8,Len('Paste #BBall'!H8)-Search("/",'Paste #BBall'!H8)),Len(Right('Paste #BBall'!H8,Len('Paste #BBall'!H8)-Search("/",'Paste #BBall'!H8)))-1)</f>
        <v>18.4</v>
      </c>
      <c r="S8" s="81" t="str">
        <f>Left(Right('Paste #BBall'!I8,Len('Paste #BBall'!I8)-Search("/",'Paste #BBall'!I8)),Len(Right('Paste #BBall'!I8,Len('Paste #BBall'!I8)-Search("/",'Paste #BBall'!I8)))-1)</f>
        <v>4.8</v>
      </c>
      <c r="T8" s="37"/>
      <c r="U8" s="37"/>
      <c r="V8" s="37"/>
    </row>
    <row r="9">
      <c r="A9" s="2">
        <v>8.0</v>
      </c>
      <c r="B9" s="2" t="str">
        <f>'Paste #BBall'!C9</f>
        <v>Karl-Anthony Towns</v>
      </c>
      <c r="C9" s="2" t="str">
        <f>'Paste #BBall'!D9</f>
        <v>C</v>
      </c>
      <c r="D9" s="2" t="str">
        <f>'Paste #BBall'!E9</f>
        <v>MIN</v>
      </c>
      <c r="E9" s="2">
        <f>'Paste #BBall'!F9</f>
        <v>74</v>
      </c>
      <c r="F9" s="80">
        <f>'Paste #BBall'!G9</f>
        <v>33.5</v>
      </c>
      <c r="G9" s="81" t="str">
        <f>right(Left('Paste #BBall'!H9,Search("/",'Paste #BBall'!H9)-1),len(Left('Paste #BBall'!H9,Search("/",'Paste #BBall'!H9)-1))-search("(",Left('Paste #BBall'!H9,Search("/",'Paste #BBall'!H9)-1)))</f>
        <v>8.1</v>
      </c>
      <c r="H9" s="82">
        <f t="shared" si="1"/>
        <v>0.5159235669</v>
      </c>
      <c r="I9" s="82" t="str">
        <f>right(Left('Paste #BBall'!I9,Search("/",'Paste #BBall'!I9)-1),len(Left('Paste #BBall'!I9,Search("/",'Paste #BBall'!I9)-1))-search("(",Left('Paste #BBall'!I9,Search("/",'Paste #BBall'!I9)-1)))</f>
        <v>5.0</v>
      </c>
      <c r="J9" s="82">
        <f t="shared" si="2"/>
        <v>0.8333333333</v>
      </c>
      <c r="K9" s="82">
        <f>'Paste #BBall'!J9</f>
        <v>2.2</v>
      </c>
      <c r="L9" s="82">
        <f>'Paste #BBall'!K9</f>
        <v>23.4</v>
      </c>
      <c r="M9" s="82">
        <f>'Paste #BBall'!L9</f>
        <v>8.7</v>
      </c>
      <c r="N9" s="82">
        <f>'Paste #BBall'!M9</f>
        <v>3.7</v>
      </c>
      <c r="O9" s="82">
        <f>'Paste #BBall'!N9</f>
        <v>1</v>
      </c>
      <c r="P9" s="82">
        <f>'Paste #BBall'!O9</f>
        <v>1</v>
      </c>
      <c r="Q9" s="82">
        <f>'Paste #BBall'!P9</f>
        <v>3.2</v>
      </c>
      <c r="R9" s="81" t="str">
        <f>Left(Right('Paste #BBall'!H9,Len('Paste #BBall'!H9)-Search("/",'Paste #BBall'!H9)),Len(Right('Paste #BBall'!H9,Len('Paste #BBall'!H9)-Search("/",'Paste #BBall'!H9)))-1)</f>
        <v>15.7</v>
      </c>
      <c r="S9" s="81" t="str">
        <f>Left(Right('Paste #BBall'!I9,Len('Paste #BBall'!I9)-Search("/",'Paste #BBall'!I9)),Len(Right('Paste #BBall'!I9,Len('Paste #BBall'!I9)-Search("/",'Paste #BBall'!I9)))-1)</f>
        <v>6.0</v>
      </c>
      <c r="T9" s="37"/>
      <c r="U9" s="37"/>
      <c r="V9" s="37"/>
    </row>
    <row r="10">
      <c r="A10" s="2">
        <v>9.0</v>
      </c>
      <c r="B10" s="2" t="str">
        <f>'Paste #BBall'!C10</f>
        <v>Kyrie Irving</v>
      </c>
      <c r="C10" s="2" t="str">
        <f>'Paste #BBall'!D10</f>
        <v>PG/SG</v>
      </c>
      <c r="D10" s="2" t="str">
        <f>'Paste #BBall'!E10</f>
        <v>BRO</v>
      </c>
      <c r="E10" s="2">
        <f>'Paste #BBall'!F10</f>
        <v>59</v>
      </c>
      <c r="F10" s="80">
        <f>'Paste #BBall'!G10</f>
        <v>36.4</v>
      </c>
      <c r="G10" s="81" t="str">
        <f>right(Left('Paste #BBall'!H10,Search("/",'Paste #BBall'!H10)-1),len(Left('Paste #BBall'!H10,Search("/",'Paste #BBall'!H10)-1))-search("(",Left('Paste #BBall'!H10,Search("/",'Paste #BBall'!H10)-1)))</f>
        <v>9.7</v>
      </c>
      <c r="H10" s="82">
        <f t="shared" si="1"/>
        <v>0.4685990338</v>
      </c>
      <c r="I10" s="82" t="str">
        <f>right(Left('Paste #BBall'!I10,Search("/",'Paste #BBall'!I10)-1),len(Left('Paste #BBall'!I10,Search("/",'Paste #BBall'!I10)-1))-search("(",Left('Paste #BBall'!I10,Search("/",'Paste #BBall'!I10)-1)))</f>
        <v>4.1</v>
      </c>
      <c r="J10" s="82">
        <f t="shared" si="2"/>
        <v>0.9318181818</v>
      </c>
      <c r="K10" s="82">
        <f>'Paste #BBall'!J10</f>
        <v>3.1</v>
      </c>
      <c r="L10" s="82">
        <f>'Paste #BBall'!K10</f>
        <v>26.6</v>
      </c>
      <c r="M10" s="82">
        <f>'Paste #BBall'!L10</f>
        <v>4</v>
      </c>
      <c r="N10" s="82">
        <f>'Paste #BBall'!M10</f>
        <v>5.2</v>
      </c>
      <c r="O10" s="82">
        <f>'Paste #BBall'!N10</f>
        <v>1.2</v>
      </c>
      <c r="P10" s="82">
        <f>'Paste #BBall'!O10</f>
        <v>0.6</v>
      </c>
      <c r="Q10" s="82">
        <f>'Paste #BBall'!P10</f>
        <v>2.5</v>
      </c>
      <c r="R10" s="81" t="str">
        <f>Left(Right('Paste #BBall'!H10,Len('Paste #BBall'!H10)-Search("/",'Paste #BBall'!H10)),Len(Right('Paste #BBall'!H10,Len('Paste #BBall'!H10)-Search("/",'Paste #BBall'!H10)))-1)</f>
        <v>20.7</v>
      </c>
      <c r="S10" s="81" t="str">
        <f>Left(Right('Paste #BBall'!I10,Len('Paste #BBall'!I10)-Search("/",'Paste #BBall'!I10)),Len(Right('Paste #BBall'!I10,Len('Paste #BBall'!I10)-Search("/",'Paste #BBall'!I10)))-1)</f>
        <v>4.4</v>
      </c>
      <c r="T10" s="37"/>
      <c r="U10" s="37"/>
      <c r="V10" s="37"/>
    </row>
    <row r="11">
      <c r="A11" s="2">
        <v>10.0</v>
      </c>
      <c r="B11" s="2" t="str">
        <f>'Paste #BBall'!C11</f>
        <v>Luka Doncic</v>
      </c>
      <c r="C11" s="2" t="str">
        <f>'Paste #BBall'!D11</f>
        <v>PG/SG</v>
      </c>
      <c r="D11" s="2" t="str">
        <f>'Paste #BBall'!E11</f>
        <v>DAL</v>
      </c>
      <c r="E11" s="2">
        <f>'Paste #BBall'!F11</f>
        <v>69</v>
      </c>
      <c r="F11" s="80">
        <f>'Paste #BBall'!G11</f>
        <v>35.4</v>
      </c>
      <c r="G11" s="81" t="str">
        <f>right(Left('Paste #BBall'!H11,Search("/",'Paste #BBall'!H11)-1),len(Left('Paste #BBall'!H11,Search("/",'Paste #BBall'!H11)-1))-search("(",Left('Paste #BBall'!H11,Search("/",'Paste #BBall'!H11)-1)))</f>
        <v>10.7</v>
      </c>
      <c r="H11" s="82">
        <f t="shared" si="1"/>
        <v>0.4612068966</v>
      </c>
      <c r="I11" s="82" t="str">
        <f>right(Left('Paste #BBall'!I11,Search("/",'Paste #BBall'!I11)-1),len(Left('Paste #BBall'!I11,Search("/",'Paste #BBall'!I11)-1))-search("(",Left('Paste #BBall'!I11,Search("/",'Paste #BBall'!I11)-1)))</f>
        <v>5.7</v>
      </c>
      <c r="J11" s="82">
        <f t="shared" si="2"/>
        <v>0.7402597403</v>
      </c>
      <c r="K11" s="82">
        <f>'Paste #BBall'!J11</f>
        <v>3.2</v>
      </c>
      <c r="L11" s="82">
        <f>'Paste #BBall'!K11</f>
        <v>30.2</v>
      </c>
      <c r="M11" s="82">
        <f>'Paste #BBall'!L11</f>
        <v>9.4</v>
      </c>
      <c r="N11" s="82">
        <f>'Paste #BBall'!M11</f>
        <v>8.9</v>
      </c>
      <c r="O11" s="82">
        <f>'Paste #BBall'!N11</f>
        <v>1.2</v>
      </c>
      <c r="P11" s="82">
        <f>'Paste #BBall'!O11</f>
        <v>0.6</v>
      </c>
      <c r="Q11" s="82">
        <f>'Paste #BBall'!P11</f>
        <v>4.6</v>
      </c>
      <c r="R11" s="81" t="str">
        <f>Left(Right('Paste #BBall'!H11,Len('Paste #BBall'!H11)-Search("/",'Paste #BBall'!H11)),Len(Right('Paste #BBall'!H11,Len('Paste #BBall'!H11)-Search("/",'Paste #BBall'!H11)))-1)</f>
        <v>23.2</v>
      </c>
      <c r="S11" s="81" t="str">
        <f>Left(Right('Paste #BBall'!I11,Len('Paste #BBall'!I11)-Search("/",'Paste #BBall'!I11)),Len(Right('Paste #BBall'!I11,Len('Paste #BBall'!I11)-Search("/",'Paste #BBall'!I11)))-1)</f>
        <v>7.7</v>
      </c>
      <c r="T11" s="37"/>
      <c r="U11" s="37"/>
      <c r="V11" s="37"/>
    </row>
    <row r="12">
      <c r="A12" s="2">
        <v>11.0</v>
      </c>
      <c r="B12" s="2" t="str">
        <f>'Paste #BBall'!C12</f>
        <v>Trae Young</v>
      </c>
      <c r="C12" s="2" t="str">
        <f>'Paste #BBall'!D12</f>
        <v>PG</v>
      </c>
      <c r="D12" s="2" t="str">
        <f>'Paste #BBall'!E12</f>
        <v>ATL</v>
      </c>
      <c r="E12" s="2">
        <f>'Paste #BBall'!F12</f>
        <v>76</v>
      </c>
      <c r="F12" s="80">
        <f>'Paste #BBall'!G12</f>
        <v>34.2</v>
      </c>
      <c r="G12" s="81" t="str">
        <f>right(Left('Paste #BBall'!H12,Search("/",'Paste #BBall'!H12)-1),len(Left('Paste #BBall'!H12,Search("/",'Paste #BBall'!H12)-1))-search("(",Left('Paste #BBall'!H12,Search("/",'Paste #BBall'!H12)-1)))</f>
        <v>9.0</v>
      </c>
      <c r="H12" s="82">
        <f t="shared" si="1"/>
        <v>0.45</v>
      </c>
      <c r="I12" s="82" t="str">
        <f>right(Left('Paste #BBall'!I12,Search("/",'Paste #BBall'!I12)-1),len(Left('Paste #BBall'!I12,Search("/",'Paste #BBall'!I12)-1))-search("(",Left('Paste #BBall'!I12,Search("/",'Paste #BBall'!I12)-1)))</f>
        <v>6.4</v>
      </c>
      <c r="J12" s="82">
        <f t="shared" si="2"/>
        <v>0.9142857143</v>
      </c>
      <c r="K12" s="82">
        <f>'Paste #BBall'!J12</f>
        <v>3</v>
      </c>
      <c r="L12" s="82">
        <f>'Paste #BBall'!K12</f>
        <v>27.4</v>
      </c>
      <c r="M12" s="82">
        <f>'Paste #BBall'!L12</f>
        <v>3.7</v>
      </c>
      <c r="N12" s="82">
        <f>'Paste #BBall'!M12</f>
        <v>8.7</v>
      </c>
      <c r="O12" s="82">
        <f>'Paste #BBall'!N12</f>
        <v>0.9</v>
      </c>
      <c r="P12" s="82">
        <f>'Paste #BBall'!O12</f>
        <v>0.1</v>
      </c>
      <c r="Q12" s="82">
        <f>'Paste #BBall'!P12</f>
        <v>3.9</v>
      </c>
      <c r="R12" s="81" t="str">
        <f>Left(Right('Paste #BBall'!H12,Len('Paste #BBall'!H12)-Search("/",'Paste #BBall'!H12)),Len(Right('Paste #BBall'!H12,Len('Paste #BBall'!H12)-Search("/",'Paste #BBall'!H12)))-1)</f>
        <v>20.0</v>
      </c>
      <c r="S12" s="81" t="str">
        <f>Left(Right('Paste #BBall'!I12,Len('Paste #BBall'!I12)-Search("/",'Paste #BBall'!I12)),Len(Right('Paste #BBall'!I12,Len('Paste #BBall'!I12)-Search("/",'Paste #BBall'!I12)))-1)</f>
        <v>7.0</v>
      </c>
      <c r="T12" s="37"/>
      <c r="U12" s="37"/>
      <c r="V12" s="37"/>
    </row>
    <row r="13">
      <c r="A13" s="2">
        <v>12.0</v>
      </c>
      <c r="B13" s="2" t="str">
        <f>'Paste #BBall'!C13</f>
        <v>LaMelo Ball</v>
      </c>
      <c r="C13" s="2" t="str">
        <f>'Paste #BBall'!D13</f>
        <v>PG</v>
      </c>
      <c r="D13" s="2" t="str">
        <f>'Paste #BBall'!E13</f>
        <v>CHA</v>
      </c>
      <c r="E13" s="2">
        <f>'Paste #BBall'!F13</f>
        <v>76</v>
      </c>
      <c r="F13" s="80">
        <f>'Paste #BBall'!G13</f>
        <v>33.4</v>
      </c>
      <c r="G13" s="81" t="str">
        <f>right(Left('Paste #BBall'!H13,Search("/",'Paste #BBall'!H13)-1),len(Left('Paste #BBall'!H13,Search("/",'Paste #BBall'!H13)-1))-search("(",Left('Paste #BBall'!H13,Search("/",'Paste #BBall'!H13)-1)))</f>
        <v>7.7</v>
      </c>
      <c r="H13" s="82">
        <f t="shared" si="1"/>
        <v>0.4325842697</v>
      </c>
      <c r="I13" s="82" t="str">
        <f>right(Left('Paste #BBall'!I13,Search("/",'Paste #BBall'!I13)-1),len(Left('Paste #BBall'!I13,Search("/",'Paste #BBall'!I13)-1))-search("(",Left('Paste #BBall'!I13,Search("/",'Paste #BBall'!I13)-1)))</f>
        <v>2.9</v>
      </c>
      <c r="J13" s="82">
        <f t="shared" si="2"/>
        <v>0.8529411765</v>
      </c>
      <c r="K13" s="82">
        <f>'Paste #BBall'!J13</f>
        <v>3.1</v>
      </c>
      <c r="L13" s="82">
        <f>'Paste #BBall'!K13</f>
        <v>21.3</v>
      </c>
      <c r="M13" s="82">
        <f>'Paste #BBall'!L13</f>
        <v>6.9</v>
      </c>
      <c r="N13" s="82">
        <f>'Paste #BBall'!M13</f>
        <v>8.2</v>
      </c>
      <c r="O13" s="82">
        <f>'Paste #BBall'!N13</f>
        <v>1.6</v>
      </c>
      <c r="P13" s="82">
        <f>'Paste #BBall'!O13</f>
        <v>0.4</v>
      </c>
      <c r="Q13" s="82">
        <f>'Paste #BBall'!P13</f>
        <v>3.5</v>
      </c>
      <c r="R13" s="81" t="str">
        <f>Left(Right('Paste #BBall'!H13,Len('Paste #BBall'!H13)-Search("/",'Paste #BBall'!H13)),Len(Right('Paste #BBall'!H13,Len('Paste #BBall'!H13)-Search("/",'Paste #BBall'!H13)))-1)</f>
        <v>17.8</v>
      </c>
      <c r="S13" s="81" t="str">
        <f>Left(Right('Paste #BBall'!I13,Len('Paste #BBall'!I13)-Search("/",'Paste #BBall'!I13)),Len(Right('Paste #BBall'!I13,Len('Paste #BBall'!I13)-Search("/",'Paste #BBall'!I13)))-1)</f>
        <v>3.4</v>
      </c>
      <c r="T13" s="37"/>
      <c r="U13" s="37"/>
      <c r="V13" s="37"/>
    </row>
    <row r="14">
      <c r="A14" s="2">
        <v>13.0</v>
      </c>
      <c r="B14" s="2" t="str">
        <f>'Paste #BBall'!C14</f>
        <v>Damian Lillard</v>
      </c>
      <c r="C14" s="2" t="str">
        <f>'Paste #BBall'!D14</f>
        <v>PG</v>
      </c>
      <c r="D14" s="2" t="str">
        <f>'Paste #BBall'!E14</f>
        <v>POR</v>
      </c>
      <c r="E14" s="2">
        <f>'Paste #BBall'!F14</f>
        <v>68</v>
      </c>
      <c r="F14" s="80">
        <f>'Paste #BBall'!G14</f>
        <v>36.5</v>
      </c>
      <c r="G14" s="81" t="str">
        <f>right(Left('Paste #BBall'!H14,Search("/",'Paste #BBall'!H14)-1),len(Left('Paste #BBall'!H14,Search("/",'Paste #BBall'!H14)-1))-search("(",Left('Paste #BBall'!H14,Search("/",'Paste #BBall'!H14)-1)))</f>
        <v>8.0</v>
      </c>
      <c r="H14" s="82">
        <f t="shared" si="1"/>
        <v>0.4395604396</v>
      </c>
      <c r="I14" s="82" t="str">
        <f>right(Left('Paste #BBall'!I14,Search("/",'Paste #BBall'!I14)-1),len(Left('Paste #BBall'!I14,Search("/",'Paste #BBall'!I14)-1))-search("(",Left('Paste #BBall'!I14,Search("/",'Paste #BBall'!I14)-1)))</f>
        <v>6.0</v>
      </c>
      <c r="J14" s="82">
        <f t="shared" si="2"/>
        <v>0.8955223881</v>
      </c>
      <c r="K14" s="82">
        <f>'Paste #BBall'!J14</f>
        <v>3.5</v>
      </c>
      <c r="L14" s="82">
        <f>'Paste #BBall'!K14</f>
        <v>25.5</v>
      </c>
      <c r="M14" s="82">
        <f>'Paste #BBall'!L14</f>
        <v>4.2</v>
      </c>
      <c r="N14" s="82">
        <f>'Paste #BBall'!M14</f>
        <v>7.5</v>
      </c>
      <c r="O14" s="82">
        <f>'Paste #BBall'!N14</f>
        <v>0.9</v>
      </c>
      <c r="P14" s="82">
        <f>'Paste #BBall'!O14</f>
        <v>0.3</v>
      </c>
      <c r="Q14" s="82">
        <f>'Paste #BBall'!P14</f>
        <v>3</v>
      </c>
      <c r="R14" s="81" t="str">
        <f>Left(Right('Paste #BBall'!H14,Len('Paste #BBall'!H14)-Search("/",'Paste #BBall'!H14)),Len(Right('Paste #BBall'!H14,Len('Paste #BBall'!H14)-Search("/",'Paste #BBall'!H14)))-1)</f>
        <v>18.2</v>
      </c>
      <c r="S14" s="81" t="str">
        <f>Left(Right('Paste #BBall'!I14,Len('Paste #BBall'!I14)-Search("/",'Paste #BBall'!I14)),Len(Right('Paste #BBall'!I14,Len('Paste #BBall'!I14)-Search("/",'Paste #BBall'!I14)))-1)</f>
        <v>6.7</v>
      </c>
      <c r="T14" s="37"/>
      <c r="U14" s="37"/>
      <c r="V14" s="37"/>
    </row>
    <row r="15">
      <c r="A15" s="2">
        <v>14.0</v>
      </c>
      <c r="B15" s="2" t="str">
        <f>'Paste #BBall'!C15</f>
        <v>Jayson Tatum</v>
      </c>
      <c r="C15" s="2" t="str">
        <f>'Paste #BBall'!D15</f>
        <v>SF/PF</v>
      </c>
      <c r="D15" s="2" t="str">
        <f>'Paste #BBall'!E15</f>
        <v>BOS</v>
      </c>
      <c r="E15" s="2">
        <f>'Paste #BBall'!F15</f>
        <v>74</v>
      </c>
      <c r="F15" s="80">
        <f>'Paste #BBall'!G15</f>
        <v>36</v>
      </c>
      <c r="G15" s="81" t="str">
        <f>right(Left('Paste #BBall'!H15,Search("/",'Paste #BBall'!H15)-1),len(Left('Paste #BBall'!H15,Search("/",'Paste #BBall'!H15)-1))-search("(",Left('Paste #BBall'!H15,Search("/",'Paste #BBall'!H15)-1)))</f>
        <v>9.5</v>
      </c>
      <c r="H15" s="82">
        <f t="shared" si="1"/>
        <v>0.4523809524</v>
      </c>
      <c r="I15" s="82" t="str">
        <f>right(Left('Paste #BBall'!I15,Search("/",'Paste #BBall'!I15)-1),len(Left('Paste #BBall'!I15,Search("/",'Paste #BBall'!I15)-1))-search("(",Left('Paste #BBall'!I15,Search("/",'Paste #BBall'!I15)-1)))</f>
        <v>5.4</v>
      </c>
      <c r="J15" s="82">
        <f t="shared" si="2"/>
        <v>0.8571428571</v>
      </c>
      <c r="K15" s="82">
        <f>'Paste #BBall'!J15</f>
        <v>3.1</v>
      </c>
      <c r="L15" s="82">
        <f>'Paste #BBall'!K15</f>
        <v>27.5</v>
      </c>
      <c r="M15" s="82">
        <f>'Paste #BBall'!L15</f>
        <v>8.2</v>
      </c>
      <c r="N15" s="82">
        <f>'Paste #BBall'!M15</f>
        <v>4.6</v>
      </c>
      <c r="O15" s="82">
        <f>'Paste #BBall'!N15</f>
        <v>1</v>
      </c>
      <c r="P15" s="82">
        <f>'Paste #BBall'!O15</f>
        <v>0.6</v>
      </c>
      <c r="Q15" s="82">
        <f>'Paste #BBall'!P15</f>
        <v>3</v>
      </c>
      <c r="R15" s="81" t="str">
        <f>Left(Right('Paste #BBall'!H15,Len('Paste #BBall'!H15)-Search("/",'Paste #BBall'!H15)),Len(Right('Paste #BBall'!H15,Len('Paste #BBall'!H15)-Search("/",'Paste #BBall'!H15)))-1)</f>
        <v>21.0</v>
      </c>
      <c r="S15" s="81" t="str">
        <f>Left(Right('Paste #BBall'!I15,Len('Paste #BBall'!I15)-Search("/",'Paste #BBall'!I15)),Len(Right('Paste #BBall'!I15,Len('Paste #BBall'!I15)-Search("/",'Paste #BBall'!I15)))-1)</f>
        <v>6.3</v>
      </c>
      <c r="T15" s="37"/>
      <c r="U15" s="37"/>
      <c r="V15" s="37"/>
    </row>
    <row r="16">
      <c r="A16" s="2">
        <v>15.0</v>
      </c>
      <c r="B16" s="2" t="str">
        <f>'Paste #BBall'!C16</f>
        <v>Anthony Davis</v>
      </c>
      <c r="C16" s="2" t="str">
        <f>'Paste #BBall'!D16</f>
        <v>PF/C</v>
      </c>
      <c r="D16" s="2" t="str">
        <f>'Paste #BBall'!E16</f>
        <v>LAL</v>
      </c>
      <c r="E16" s="2">
        <f>'Paste #BBall'!F16</f>
        <v>64</v>
      </c>
      <c r="F16" s="80">
        <f>'Paste #BBall'!G16</f>
        <v>35.1</v>
      </c>
      <c r="G16" s="81" t="str">
        <f>right(Left('Paste #BBall'!H16,Search("/",'Paste #BBall'!H16)-1),len(Left('Paste #BBall'!H16,Search("/",'Paste #BBall'!H16)-1))-search("(",Left('Paste #BBall'!H16,Search("/",'Paste #BBall'!H16)-1)))</f>
        <v>9.5</v>
      </c>
      <c r="H16" s="82">
        <f t="shared" si="1"/>
        <v>0.5337078652</v>
      </c>
      <c r="I16" s="82" t="str">
        <f>right(Left('Paste #BBall'!I16,Search("/",'Paste #BBall'!I16)-1),len(Left('Paste #BBall'!I16,Search("/",'Paste #BBall'!I16)-1))-search("(",Left('Paste #BBall'!I16,Search("/",'Paste #BBall'!I16)-1)))</f>
        <v>4.5</v>
      </c>
      <c r="J16" s="82">
        <f t="shared" si="2"/>
        <v>0.7258064516</v>
      </c>
      <c r="K16" s="82">
        <f>'Paste #BBall'!J16</f>
        <v>0.3</v>
      </c>
      <c r="L16" s="82">
        <f>'Paste #BBall'!K16</f>
        <v>23.8</v>
      </c>
      <c r="M16" s="82">
        <f>'Paste #BBall'!L16</f>
        <v>10.1</v>
      </c>
      <c r="N16" s="82">
        <f>'Paste #BBall'!M16</f>
        <v>3.2</v>
      </c>
      <c r="O16" s="82">
        <f>'Paste #BBall'!N16</f>
        <v>1.2</v>
      </c>
      <c r="P16" s="82">
        <f>'Paste #BBall'!O16</f>
        <v>2</v>
      </c>
      <c r="Q16" s="82">
        <f>'Paste #BBall'!P16</f>
        <v>2.1</v>
      </c>
      <c r="R16" s="81" t="str">
        <f>Left(Right('Paste #BBall'!H16,Len('Paste #BBall'!H16)-Search("/",'Paste #BBall'!H16)),Len(Right('Paste #BBall'!H16,Len('Paste #BBall'!H16)-Search("/",'Paste #BBall'!H16)))-1)</f>
        <v>17.8</v>
      </c>
      <c r="S16" s="81" t="str">
        <f>Left(Right('Paste #BBall'!I16,Len('Paste #BBall'!I16)-Search("/",'Paste #BBall'!I16)),Len(Right('Paste #BBall'!I16,Len('Paste #BBall'!I16)-Search("/",'Paste #BBall'!I16)))-1)</f>
        <v>6.2</v>
      </c>
      <c r="T16" s="37"/>
      <c r="U16" s="37"/>
      <c r="V16" s="37"/>
    </row>
    <row r="17">
      <c r="A17" s="2">
        <v>16.0</v>
      </c>
      <c r="B17" s="2" t="str">
        <f>'Paste #BBall'!C17</f>
        <v>Tyrese Haliburton</v>
      </c>
      <c r="C17" s="2" t="str">
        <f>'Paste #BBall'!D17</f>
        <v>PG/SG</v>
      </c>
      <c r="D17" s="2" t="str">
        <f>'Paste #BBall'!E17</f>
        <v>IND</v>
      </c>
      <c r="E17" s="2">
        <f>'Paste #BBall'!F17</f>
        <v>75</v>
      </c>
      <c r="F17" s="80">
        <f>'Paste #BBall'!G17</f>
        <v>34.7</v>
      </c>
      <c r="G17" s="81" t="str">
        <f>right(Left('Paste #BBall'!H17,Search("/",'Paste #BBall'!H17)-1),len(Left('Paste #BBall'!H17,Search("/",'Paste #BBall'!H17)-1))-search("(",Left('Paste #BBall'!H17,Search("/",'Paste #BBall'!H17)-1)))</f>
        <v>6.7</v>
      </c>
      <c r="H17" s="82">
        <f t="shared" si="1"/>
        <v>0.4718309859</v>
      </c>
      <c r="I17" s="82" t="str">
        <f>right(Left('Paste #BBall'!I17,Search("/",'Paste #BBall'!I17)-1),len(Left('Paste #BBall'!I17,Search("/",'Paste #BBall'!I17)-1))-search("(",Left('Paste #BBall'!I17,Search("/",'Paste #BBall'!I17)-1)))</f>
        <v>3.0</v>
      </c>
      <c r="J17" s="82">
        <f t="shared" si="2"/>
        <v>0.8571428571</v>
      </c>
      <c r="K17" s="82">
        <f>'Paste #BBall'!J17</f>
        <v>2.2</v>
      </c>
      <c r="L17" s="82">
        <f>'Paste #BBall'!K17</f>
        <v>18.7</v>
      </c>
      <c r="M17" s="82">
        <f>'Paste #BBall'!L17</f>
        <v>4.1</v>
      </c>
      <c r="N17" s="82">
        <f>'Paste #BBall'!M17</f>
        <v>9</v>
      </c>
      <c r="O17" s="82">
        <f>'Paste #BBall'!N17</f>
        <v>1.6</v>
      </c>
      <c r="P17" s="82">
        <f>'Paste #BBall'!O17</f>
        <v>0.6</v>
      </c>
      <c r="Q17" s="82">
        <f>'Paste #BBall'!P17</f>
        <v>2.6</v>
      </c>
      <c r="R17" s="81" t="str">
        <f>Left(Right('Paste #BBall'!H17,Len('Paste #BBall'!H17)-Search("/",'Paste #BBall'!H17)),Len(Right('Paste #BBall'!H17,Len('Paste #BBall'!H17)-Search("/",'Paste #BBall'!H17)))-1)</f>
        <v>14.2</v>
      </c>
      <c r="S17" s="81" t="str">
        <f>Left(Right('Paste #BBall'!I17,Len('Paste #BBall'!I17)-Search("/",'Paste #BBall'!I17)),Len(Right('Paste #BBall'!I17,Len('Paste #BBall'!I17)-Search("/",'Paste #BBall'!I17)))-1)</f>
        <v>3.5</v>
      </c>
      <c r="T17" s="37"/>
      <c r="U17" s="37"/>
      <c r="V17" s="37"/>
    </row>
    <row r="18">
      <c r="A18" s="2">
        <v>17.0</v>
      </c>
      <c r="B18" s="2" t="str">
        <f>'Paste #BBall'!C18</f>
        <v>Kawhi Leonard</v>
      </c>
      <c r="C18" s="2" t="str">
        <f>'Paste #BBall'!D18</f>
        <v>SF/PF</v>
      </c>
      <c r="D18" s="2" t="str">
        <f>'Paste #BBall'!E18</f>
        <v>LAC</v>
      </c>
      <c r="E18" s="2">
        <f>'Paste #BBall'!F18</f>
        <v>60</v>
      </c>
      <c r="F18" s="80">
        <f>'Paste #BBall'!G18</f>
        <v>32</v>
      </c>
      <c r="G18" s="81" t="str">
        <f>right(Left('Paste #BBall'!H18,Search("/",'Paste #BBall'!H18)-1),len(Left('Paste #BBall'!H18,Search("/",'Paste #BBall'!H18)-1))-search("(",Left('Paste #BBall'!H18,Search("/",'Paste #BBall'!H18)-1)))</f>
        <v>8.5</v>
      </c>
      <c r="H18" s="82">
        <f t="shared" si="1"/>
        <v>0.4941860465</v>
      </c>
      <c r="I18" s="82" t="str">
        <f>right(Left('Paste #BBall'!I18,Search("/",'Paste #BBall'!I18)-1),len(Left('Paste #BBall'!I18,Search("/",'Paste #BBall'!I18)-1))-search("(",Left('Paste #BBall'!I18,Search("/",'Paste #BBall'!I18)-1)))</f>
        <v>4.8</v>
      </c>
      <c r="J18" s="82">
        <f t="shared" si="2"/>
        <v>0.8727272727</v>
      </c>
      <c r="K18" s="82">
        <f>'Paste #BBall'!J18</f>
        <v>1.7</v>
      </c>
      <c r="L18" s="82">
        <f>'Paste #BBall'!K18</f>
        <v>23.5</v>
      </c>
      <c r="M18" s="82">
        <f>'Paste #BBall'!L18</f>
        <v>6</v>
      </c>
      <c r="N18" s="82">
        <f>'Paste #BBall'!M18</f>
        <v>4.4</v>
      </c>
      <c r="O18" s="82">
        <f>'Paste #BBall'!N18</f>
        <v>1.4</v>
      </c>
      <c r="P18" s="82">
        <f>'Paste #BBall'!O18</f>
        <v>0.4</v>
      </c>
      <c r="Q18" s="82">
        <f>'Paste #BBall'!P18</f>
        <v>1.9</v>
      </c>
      <c r="R18" s="81" t="str">
        <f>Left(Right('Paste #BBall'!H18,Len('Paste #BBall'!H18)-Search("/",'Paste #BBall'!H18)),Len(Right('Paste #BBall'!H18,Len('Paste #BBall'!H18)-Search("/",'Paste #BBall'!H18)))-1)</f>
        <v>17.2</v>
      </c>
      <c r="S18" s="81" t="str">
        <f>Left(Right('Paste #BBall'!I18,Len('Paste #BBall'!I18)-Search("/",'Paste #BBall'!I18)),Len(Right('Paste #BBall'!I18,Len('Paste #BBall'!I18)-Search("/",'Paste #BBall'!I18)))-1)</f>
        <v>5.5</v>
      </c>
      <c r="T18" s="37"/>
      <c r="U18" s="37"/>
      <c r="V18" s="37"/>
    </row>
    <row r="19">
      <c r="A19" s="2">
        <v>18.0</v>
      </c>
      <c r="B19" s="2" t="str">
        <f>'Paste #BBall'!C19</f>
        <v>Devin Booker</v>
      </c>
      <c r="C19" s="2" t="str">
        <f>'Paste #BBall'!D19</f>
        <v>PG/SF</v>
      </c>
      <c r="D19" s="2" t="str">
        <f>'Paste #BBall'!E19</f>
        <v>PHX</v>
      </c>
      <c r="E19" s="2">
        <f>'Paste #BBall'!F19</f>
        <v>70</v>
      </c>
      <c r="F19" s="80">
        <f>'Paste #BBall'!G19</f>
        <v>34.5</v>
      </c>
      <c r="G19" s="81" t="str">
        <f>right(Left('Paste #BBall'!H19,Search("/",'Paste #BBall'!H19)-1),len(Left('Paste #BBall'!H19,Search("/",'Paste #BBall'!H19)-1))-search("(",Left('Paste #BBall'!H19,Search("/",'Paste #BBall'!H19)-1)))</f>
        <v>9.9</v>
      </c>
      <c r="H19" s="82">
        <f t="shared" si="1"/>
        <v>0.4714285714</v>
      </c>
      <c r="I19" s="82" t="str">
        <f>right(Left('Paste #BBall'!I19,Search("/",'Paste #BBall'!I19)-1),len(Left('Paste #BBall'!I19,Search("/",'Paste #BBall'!I19)-1))-search("(",Left('Paste #BBall'!I19,Search("/",'Paste #BBall'!I19)-1)))</f>
        <v>4.7</v>
      </c>
      <c r="J19" s="82">
        <f t="shared" si="2"/>
        <v>0.8703703704</v>
      </c>
      <c r="K19" s="82">
        <f>'Paste #BBall'!J19</f>
        <v>2.8</v>
      </c>
      <c r="L19" s="82">
        <f>'Paste #BBall'!K19</f>
        <v>27.2</v>
      </c>
      <c r="M19" s="82">
        <f>'Paste #BBall'!L19</f>
        <v>5.2</v>
      </c>
      <c r="N19" s="82">
        <f>'Paste #BBall'!M19</f>
        <v>4.9</v>
      </c>
      <c r="O19" s="82">
        <f>'Paste #BBall'!N19</f>
        <v>1.1</v>
      </c>
      <c r="P19" s="82">
        <f>'Paste #BBall'!O19</f>
        <v>0.4</v>
      </c>
      <c r="Q19" s="82">
        <f>'Paste #BBall'!P19</f>
        <v>2.5</v>
      </c>
      <c r="R19" s="81" t="str">
        <f>Left(Right('Paste #BBall'!H19,Len('Paste #BBall'!H19)-Search("/",'Paste #BBall'!H19)),Len(Right('Paste #BBall'!H19,Len('Paste #BBall'!H19)-Search("/",'Paste #BBall'!H19)))-1)</f>
        <v>21.0</v>
      </c>
      <c r="S19" s="81" t="str">
        <f>Left(Right('Paste #BBall'!I19,Len('Paste #BBall'!I19)-Search("/",'Paste #BBall'!I19)),Len(Right('Paste #BBall'!I19,Len('Paste #BBall'!I19)-Search("/",'Paste #BBall'!I19)))-1)</f>
        <v>5.4</v>
      </c>
      <c r="T19" s="37"/>
      <c r="U19" s="37"/>
      <c r="V19" s="37"/>
    </row>
    <row r="20">
      <c r="A20" s="2">
        <v>19.0</v>
      </c>
      <c r="B20" s="2" t="str">
        <f>'Paste #BBall'!C20</f>
        <v>Paul George</v>
      </c>
      <c r="C20" s="2" t="str">
        <f>'Paste #BBall'!D20</f>
        <v>PG/SG</v>
      </c>
      <c r="D20" s="2" t="str">
        <f>'Paste #BBall'!E20</f>
        <v>LAC</v>
      </c>
      <c r="E20" s="2">
        <f>'Paste #BBall'!F20</f>
        <v>68</v>
      </c>
      <c r="F20" s="80">
        <f>'Paste #BBall'!G20</f>
        <v>34.1</v>
      </c>
      <c r="G20" s="81" t="str">
        <f>right(Left('Paste #BBall'!H20,Search("/",'Paste #BBall'!H20)-1),len(Left('Paste #BBall'!H20,Search("/",'Paste #BBall'!H20)-1))-search("(",Left('Paste #BBall'!H20,Search("/",'Paste #BBall'!H20)-1)))</f>
        <v>8.3</v>
      </c>
      <c r="H20" s="82">
        <f t="shared" si="1"/>
        <v>0.4585635359</v>
      </c>
      <c r="I20" s="82" t="str">
        <f>right(Left('Paste #BBall'!I20,Search("/",'Paste #BBall'!I20)-1),len(Left('Paste #BBall'!I20,Search("/",'Paste #BBall'!I20)-1))-search("(",Left('Paste #BBall'!I20,Search("/",'Paste #BBall'!I20)-1)))</f>
        <v>4.1</v>
      </c>
      <c r="J20" s="82">
        <f t="shared" si="2"/>
        <v>0.8541666667</v>
      </c>
      <c r="K20" s="82">
        <f>'Paste #BBall'!J20</f>
        <v>2.9</v>
      </c>
      <c r="L20" s="82">
        <f>'Paste #BBall'!K20</f>
        <v>23.5</v>
      </c>
      <c r="M20" s="82">
        <f>'Paste #BBall'!L20</f>
        <v>6.9</v>
      </c>
      <c r="N20" s="82">
        <f>'Paste #BBall'!M20</f>
        <v>4.7</v>
      </c>
      <c r="O20" s="82">
        <f>'Paste #BBall'!N20</f>
        <v>1.6</v>
      </c>
      <c r="P20" s="82">
        <f>'Paste #BBall'!O20</f>
        <v>0.4</v>
      </c>
      <c r="Q20" s="82">
        <f>'Paste #BBall'!P20</f>
        <v>4.1</v>
      </c>
      <c r="R20" s="81" t="str">
        <f>Left(Right('Paste #BBall'!H20,Len('Paste #BBall'!H20)-Search("/",'Paste #BBall'!H20)),Len(Right('Paste #BBall'!H20,Len('Paste #BBall'!H20)-Search("/",'Paste #BBall'!H20)))-1)</f>
        <v>18.1</v>
      </c>
      <c r="S20" s="81" t="str">
        <f>Left(Right('Paste #BBall'!I20,Len('Paste #BBall'!I20)-Search("/",'Paste #BBall'!I20)),Len(Right('Paste #BBall'!I20,Len('Paste #BBall'!I20)-Search("/",'Paste #BBall'!I20)))-1)</f>
        <v>4.8</v>
      </c>
      <c r="T20" s="37"/>
      <c r="U20" s="37"/>
      <c r="V20" s="37"/>
    </row>
    <row r="21">
      <c r="A21" s="2">
        <v>20.0</v>
      </c>
      <c r="B21" s="2" t="str">
        <f>'Paste #BBall'!C21</f>
        <v>Jimmy Butler</v>
      </c>
      <c r="C21" s="2" t="str">
        <f>'Paste #BBall'!D21</f>
        <v>PG/SG</v>
      </c>
      <c r="D21" s="2" t="str">
        <f>'Paste #BBall'!E21</f>
        <v>MIA</v>
      </c>
      <c r="E21" s="2">
        <f>'Paste #BBall'!F21</f>
        <v>58</v>
      </c>
      <c r="F21" s="80">
        <f>'Paste #BBall'!G21</f>
        <v>33.9</v>
      </c>
      <c r="G21" s="81" t="str">
        <f>right(Left('Paste #BBall'!H21,Search("/",'Paste #BBall'!H21)-1),len(Left('Paste #BBall'!H21,Search("/",'Paste #BBall'!H21)-1))-search("(",Left('Paste #BBall'!H21,Search("/",'Paste #BBall'!H21)-1)))</f>
        <v>7.0</v>
      </c>
      <c r="H21" s="82">
        <f t="shared" si="1"/>
        <v>0.4761904762</v>
      </c>
      <c r="I21" s="82" t="str">
        <f>right(Left('Paste #BBall'!I21,Search("/",'Paste #BBall'!I21)-1),len(Left('Paste #BBall'!I21,Search("/",'Paste #BBall'!I21)-1))-search("(",Left('Paste #BBall'!I21,Search("/",'Paste #BBall'!I21)-1)))</f>
        <v>6.7</v>
      </c>
      <c r="J21" s="82">
        <f t="shared" si="2"/>
        <v>0.858974359</v>
      </c>
      <c r="K21" s="82">
        <f>'Paste #BBall'!J21</f>
        <v>0.5</v>
      </c>
      <c r="L21" s="82">
        <f>'Paste #BBall'!K21</f>
        <v>21.3</v>
      </c>
      <c r="M21" s="82">
        <f>'Paste #BBall'!L21</f>
        <v>6</v>
      </c>
      <c r="N21" s="82">
        <f>'Paste #BBall'!M21</f>
        <v>5.3</v>
      </c>
      <c r="O21" s="82">
        <f>'Paste #BBall'!N21</f>
        <v>1.6</v>
      </c>
      <c r="P21" s="82">
        <f>'Paste #BBall'!O21</f>
        <v>0.5</v>
      </c>
      <c r="Q21" s="82">
        <f>'Paste #BBall'!P21</f>
        <v>2.1</v>
      </c>
      <c r="R21" s="81" t="str">
        <f>Left(Right('Paste #BBall'!H21,Len('Paste #BBall'!H21)-Search("/",'Paste #BBall'!H21)),Len(Right('Paste #BBall'!H21,Len('Paste #BBall'!H21)-Search("/",'Paste #BBall'!H21)))-1)</f>
        <v>14.7</v>
      </c>
      <c r="S21" s="81" t="str">
        <f>Left(Right('Paste #BBall'!I21,Len('Paste #BBall'!I21)-Search("/",'Paste #BBall'!I21)),Len(Right('Paste #BBall'!I21,Len('Paste #BBall'!I21)-Search("/",'Paste #BBall'!I21)))-1)</f>
        <v>7.8</v>
      </c>
      <c r="T21" s="37"/>
      <c r="U21" s="37"/>
      <c r="V21" s="37"/>
    </row>
    <row r="22">
      <c r="A22" s="2">
        <v>21.0</v>
      </c>
      <c r="B22" s="2" t="str">
        <f>'Paste #BBall'!C22</f>
        <v>Khris Middleton</v>
      </c>
      <c r="C22" s="2" t="str">
        <f>'Paste #BBall'!D22</f>
        <v>SF</v>
      </c>
      <c r="D22" s="2" t="str">
        <f>'Paste #BBall'!E22</f>
        <v>MIL</v>
      </c>
      <c r="E22" s="2">
        <f>'Paste #BBall'!F22</f>
        <v>68</v>
      </c>
      <c r="F22" s="80">
        <f>'Paste #BBall'!G22</f>
        <v>32.4</v>
      </c>
      <c r="G22" s="81" t="str">
        <f>right(Left('Paste #BBall'!H22,Search("/",'Paste #BBall'!H22)-1),len(Left('Paste #BBall'!H22,Search("/",'Paste #BBall'!H22)-1))-search("(",Left('Paste #BBall'!H22,Search("/",'Paste #BBall'!H22)-1)))</f>
        <v>7.1</v>
      </c>
      <c r="H22" s="82">
        <f t="shared" si="1"/>
        <v>0.4733333333</v>
      </c>
      <c r="I22" s="82" t="str">
        <f>right(Left('Paste #BBall'!I22,Search("/",'Paste #BBall'!I22)-1),len(Left('Paste #BBall'!I22,Search("/",'Paste #BBall'!I22)-1))-search("(",Left('Paste #BBall'!I22,Search("/",'Paste #BBall'!I22)-1)))</f>
        <v>4.0</v>
      </c>
      <c r="J22" s="82">
        <f t="shared" si="2"/>
        <v>0.8888888889</v>
      </c>
      <c r="K22" s="82">
        <f>'Paste #BBall'!J22</f>
        <v>2.5</v>
      </c>
      <c r="L22" s="82">
        <f>'Paste #BBall'!K22</f>
        <v>20.7</v>
      </c>
      <c r="M22" s="82">
        <f>'Paste #BBall'!L22</f>
        <v>5.5</v>
      </c>
      <c r="N22" s="82">
        <f>'Paste #BBall'!M22</f>
        <v>5.5</v>
      </c>
      <c r="O22" s="82">
        <f>'Paste #BBall'!N22</f>
        <v>1.2</v>
      </c>
      <c r="P22" s="82">
        <f>'Paste #BBall'!O22</f>
        <v>0.3</v>
      </c>
      <c r="Q22" s="82">
        <f>'Paste #BBall'!P22</f>
        <v>3</v>
      </c>
      <c r="R22" s="81" t="str">
        <f>Left(Right('Paste #BBall'!H22,Len('Paste #BBall'!H22)-Search("/",'Paste #BBall'!H22)),Len(Right('Paste #BBall'!H22,Len('Paste #BBall'!H22)-Search("/",'Paste #BBall'!H22)))-1)</f>
        <v>15.0</v>
      </c>
      <c r="S22" s="81" t="str">
        <f>Left(Right('Paste #BBall'!I22,Len('Paste #BBall'!I22)-Search("/",'Paste #BBall'!I22)),Len(Right('Paste #BBall'!I22,Len('Paste #BBall'!I22)-Search("/",'Paste #BBall'!I22)))-1)</f>
        <v>4.5</v>
      </c>
      <c r="T22" s="37"/>
      <c r="U22" s="37"/>
      <c r="V22" s="37"/>
    </row>
    <row r="23">
      <c r="A23" s="2">
        <v>22.0</v>
      </c>
      <c r="B23" s="2" t="str">
        <f>'Paste #BBall'!C23</f>
        <v>Kristaps Porzingis</v>
      </c>
      <c r="C23" s="2" t="str">
        <f>'Paste #BBall'!D23</f>
        <v>PF/C</v>
      </c>
      <c r="D23" s="2" t="str">
        <f>'Paste #BBall'!E23</f>
        <v>WAS</v>
      </c>
      <c r="E23" s="2">
        <f>'Paste #BBall'!F23</f>
        <v>60</v>
      </c>
      <c r="F23" s="80">
        <f>'Paste #BBall'!G23</f>
        <v>29.4</v>
      </c>
      <c r="G23" s="81" t="str">
        <f>right(Left('Paste #BBall'!H23,Search("/",'Paste #BBall'!H23)-1),len(Left('Paste #BBall'!H23,Search("/",'Paste #BBall'!H23)-1))-search("(",Left('Paste #BBall'!H23,Search("/",'Paste #BBall'!H23)-1)))</f>
        <v>7.0</v>
      </c>
      <c r="H23" s="82">
        <f t="shared" si="1"/>
        <v>0.4605263158</v>
      </c>
      <c r="I23" s="82" t="str">
        <f>right(Left('Paste #BBall'!I23,Search("/",'Paste #BBall'!I23)-1),len(Left('Paste #BBall'!I23,Search("/",'Paste #BBall'!I23)-1))-search("(",Left('Paste #BBall'!I23,Search("/",'Paste #BBall'!I23)-1)))</f>
        <v>5.0</v>
      </c>
      <c r="J23" s="82">
        <f t="shared" si="2"/>
        <v>0.8620689655</v>
      </c>
      <c r="K23" s="82">
        <f>'Paste #BBall'!J23</f>
        <v>1.6</v>
      </c>
      <c r="L23" s="82">
        <f>'Paste #BBall'!K23</f>
        <v>20.6</v>
      </c>
      <c r="M23" s="82">
        <f>'Paste #BBall'!L23</f>
        <v>8.1</v>
      </c>
      <c r="N23" s="82">
        <f>'Paste #BBall'!M23</f>
        <v>1.8</v>
      </c>
      <c r="O23" s="82">
        <f>'Paste #BBall'!N23</f>
        <v>0.7</v>
      </c>
      <c r="P23" s="82">
        <f>'Paste #BBall'!O23</f>
        <v>1.5</v>
      </c>
      <c r="Q23" s="82">
        <f>'Paste #BBall'!P23</f>
        <v>1.7</v>
      </c>
      <c r="R23" s="81" t="str">
        <f>Left(Right('Paste #BBall'!H23,Len('Paste #BBall'!H23)-Search("/",'Paste #BBall'!H23)),Len(Right('Paste #BBall'!H23,Len('Paste #BBall'!H23)-Search("/",'Paste #BBall'!H23)))-1)</f>
        <v>15.2</v>
      </c>
      <c r="S23" s="81" t="str">
        <f>Left(Right('Paste #BBall'!I23,Len('Paste #BBall'!I23)-Search("/",'Paste #BBall'!I23)),Len(Right('Paste #BBall'!I23,Len('Paste #BBall'!I23)-Search("/",'Paste #BBall'!I23)))-1)</f>
        <v>5.8</v>
      </c>
      <c r="T23" s="37"/>
      <c r="U23" s="37"/>
      <c r="V23" s="37"/>
    </row>
    <row r="24">
      <c r="A24" s="2">
        <v>23.0</v>
      </c>
      <c r="B24" s="2" t="str">
        <f>'Paste #BBall'!C24</f>
        <v>Bam Adebayo</v>
      </c>
      <c r="C24" s="2" t="str">
        <f>'Paste #BBall'!D24</f>
        <v>PF/C</v>
      </c>
      <c r="D24" s="2" t="str">
        <f>'Paste #BBall'!E24</f>
        <v>MIA</v>
      </c>
      <c r="E24" s="2">
        <f>'Paste #BBall'!F24</f>
        <v>72</v>
      </c>
      <c r="F24" s="80">
        <f>'Paste #BBall'!G24</f>
        <v>33.6</v>
      </c>
      <c r="G24" s="81" t="str">
        <f>right(Left('Paste #BBall'!H24,Search("/",'Paste #BBall'!H24)-1),len(Left('Paste #BBall'!H24,Search("/",'Paste #BBall'!H24)-1))-search("(",Left('Paste #BBall'!H24,Search("/",'Paste #BBall'!H24)-1)))</f>
        <v>7.6</v>
      </c>
      <c r="H24" s="82">
        <f t="shared" si="1"/>
        <v>0.5547445255</v>
      </c>
      <c r="I24" s="82" t="str">
        <f>right(Left('Paste #BBall'!I24,Search("/",'Paste #BBall'!I24)-1),len(Left('Paste #BBall'!I24,Search("/",'Paste #BBall'!I24)-1))-search("(",Left('Paste #BBall'!I24,Search("/",'Paste #BBall'!I24)-1)))</f>
        <v>4.7</v>
      </c>
      <c r="J24" s="82">
        <f t="shared" si="2"/>
        <v>0.7580645161</v>
      </c>
      <c r="K24" s="82">
        <f>'Paste #BBall'!J24</f>
        <v>0</v>
      </c>
      <c r="L24" s="82">
        <f>'Paste #BBall'!K24</f>
        <v>19.9</v>
      </c>
      <c r="M24" s="82">
        <f>'Paste #BBall'!L24</f>
        <v>10.5</v>
      </c>
      <c r="N24" s="82">
        <f>'Paste #BBall'!M24</f>
        <v>3.7</v>
      </c>
      <c r="O24" s="82">
        <f>'Paste #BBall'!N24</f>
        <v>1.3</v>
      </c>
      <c r="P24" s="82">
        <f>'Paste #BBall'!O24</f>
        <v>1</v>
      </c>
      <c r="Q24" s="82">
        <f>'Paste #BBall'!P24</f>
        <v>2.7</v>
      </c>
      <c r="R24" s="81" t="str">
        <f>Left(Right('Paste #BBall'!H24,Len('Paste #BBall'!H24)-Search("/",'Paste #BBall'!H24)),Len(Right('Paste #BBall'!H24,Len('Paste #BBall'!H24)-Search("/",'Paste #BBall'!H24)))-1)</f>
        <v>13.7</v>
      </c>
      <c r="S24" s="81" t="str">
        <f>Left(Right('Paste #BBall'!I24,Len('Paste #BBall'!I24)-Search("/",'Paste #BBall'!I24)),Len(Right('Paste #BBall'!I24,Len('Paste #BBall'!I24)-Search("/",'Paste #BBall'!I24)))-1)</f>
        <v>6.2</v>
      </c>
      <c r="T24" s="37"/>
      <c r="U24" s="37"/>
      <c r="V24" s="37"/>
    </row>
    <row r="25">
      <c r="A25" s="2">
        <v>24.0</v>
      </c>
      <c r="B25" s="2" t="str">
        <f>'Paste #BBall'!C25</f>
        <v>DeMar DeRozan</v>
      </c>
      <c r="C25" s="2" t="str">
        <f>'Paste #BBall'!D25</f>
        <v>SG/SF</v>
      </c>
      <c r="D25" s="2" t="str">
        <f>'Paste #BBall'!E25</f>
        <v>CHI</v>
      </c>
      <c r="E25" s="2">
        <f>'Paste #BBall'!F25</f>
        <v>77</v>
      </c>
      <c r="F25" s="80">
        <f>'Paste #BBall'!G25</f>
        <v>35.7</v>
      </c>
      <c r="G25" s="81" t="str">
        <f>right(Left('Paste #BBall'!H25,Search("/",'Paste #BBall'!H25)-1),len(Left('Paste #BBall'!H25,Search("/",'Paste #BBall'!H25)-1))-search("(",Left('Paste #BBall'!H25,Search("/",'Paste #BBall'!H25)-1)))</f>
        <v>9.3</v>
      </c>
      <c r="H25" s="82">
        <f t="shared" si="1"/>
        <v>0.4973262032</v>
      </c>
      <c r="I25" s="82" t="str">
        <f>right(Left('Paste #BBall'!I25,Search("/",'Paste #BBall'!I25)-1),len(Left('Paste #BBall'!I25,Search("/",'Paste #BBall'!I25)-1))-search("(",Left('Paste #BBall'!I25,Search("/",'Paste #BBall'!I25)-1)))</f>
        <v>6.8</v>
      </c>
      <c r="J25" s="82">
        <f t="shared" si="2"/>
        <v>0.8607594937</v>
      </c>
      <c r="K25" s="82">
        <f>'Paste #BBall'!J25</f>
        <v>0.7</v>
      </c>
      <c r="L25" s="82">
        <f>'Paste #BBall'!K25</f>
        <v>26.1</v>
      </c>
      <c r="M25" s="82">
        <f>'Paste #BBall'!L25</f>
        <v>5.1</v>
      </c>
      <c r="N25" s="82">
        <f>'Paste #BBall'!M25</f>
        <v>4.9</v>
      </c>
      <c r="O25" s="82">
        <f>'Paste #BBall'!N25</f>
        <v>0.9</v>
      </c>
      <c r="P25" s="82">
        <f>'Paste #BBall'!O25</f>
        <v>0.3</v>
      </c>
      <c r="Q25" s="82">
        <f>'Paste #BBall'!P25</f>
        <v>2.4</v>
      </c>
      <c r="R25" s="81" t="str">
        <f>Left(Right('Paste #BBall'!H25,Len('Paste #BBall'!H25)-Search("/",'Paste #BBall'!H25)),Len(Right('Paste #BBall'!H25,Len('Paste #BBall'!H25)-Search("/",'Paste #BBall'!H25)))-1)</f>
        <v>18.7</v>
      </c>
      <c r="S25" s="81" t="str">
        <f>Left(Right('Paste #BBall'!I25,Len('Paste #BBall'!I25)-Search("/",'Paste #BBall'!I25)),Len(Right('Paste #BBall'!I25,Len('Paste #BBall'!I25)-Search("/",'Paste #BBall'!I25)))-1)</f>
        <v>7.9</v>
      </c>
      <c r="T25" s="37"/>
      <c r="U25" s="37"/>
      <c r="V25" s="37"/>
    </row>
    <row r="26">
      <c r="A26" s="2">
        <v>25.0</v>
      </c>
      <c r="B26" s="2" t="str">
        <f>'Paste #BBall'!C26</f>
        <v>Chris Paul</v>
      </c>
      <c r="C26" s="2" t="str">
        <f>'Paste #BBall'!D26</f>
        <v>PG</v>
      </c>
      <c r="D26" s="2" t="str">
        <f>'Paste #BBall'!E26</f>
        <v>PHX</v>
      </c>
      <c r="E26" s="2">
        <f>'Paste #BBall'!F26</f>
        <v>65</v>
      </c>
      <c r="F26" s="80">
        <f>'Paste #BBall'!G26</f>
        <v>31.4</v>
      </c>
      <c r="G26" s="81" t="str">
        <f>right(Left('Paste #BBall'!H26,Search("/",'Paste #BBall'!H26)-1),len(Left('Paste #BBall'!H26,Search("/",'Paste #BBall'!H26)-1))-search("(",Left('Paste #BBall'!H26,Search("/",'Paste #BBall'!H26)-1)))</f>
        <v>5.4</v>
      </c>
      <c r="H26" s="82">
        <f t="shared" si="1"/>
        <v>0.4909090909</v>
      </c>
      <c r="I26" s="82" t="str">
        <f>right(Left('Paste #BBall'!I26,Search("/",'Paste #BBall'!I26)-1),len(Left('Paste #BBall'!I26,Search("/",'Paste #BBall'!I26)-1))-search("(",Left('Paste #BBall'!I26,Search("/",'Paste #BBall'!I26)-1)))</f>
        <v>2.5</v>
      </c>
      <c r="J26" s="82">
        <f t="shared" si="2"/>
        <v>0.8333333333</v>
      </c>
      <c r="K26" s="82">
        <f>'Paste #BBall'!J26</f>
        <v>1</v>
      </c>
      <c r="L26" s="82">
        <f>'Paste #BBall'!K26</f>
        <v>14.4</v>
      </c>
      <c r="M26" s="82">
        <f>'Paste #BBall'!L26</f>
        <v>4.2</v>
      </c>
      <c r="N26" s="82">
        <f>'Paste #BBall'!M26</f>
        <v>10.5</v>
      </c>
      <c r="O26" s="82">
        <f>'Paste #BBall'!N26</f>
        <v>1.6</v>
      </c>
      <c r="P26" s="82">
        <f>'Paste #BBall'!O26</f>
        <v>0.3</v>
      </c>
      <c r="Q26" s="82">
        <f>'Paste #BBall'!P26</f>
        <v>2.3</v>
      </c>
      <c r="R26" s="81" t="str">
        <f>Left(Right('Paste #BBall'!H26,Len('Paste #BBall'!H26)-Search("/",'Paste #BBall'!H26)),Len(Right('Paste #BBall'!H26,Len('Paste #BBall'!H26)-Search("/",'Paste #BBall'!H26)))-1)</f>
        <v>11.0</v>
      </c>
      <c r="S26" s="81" t="str">
        <f>Left(Right('Paste #BBall'!I26,Len('Paste #BBall'!I26)-Search("/",'Paste #BBall'!I26)),Len(Right('Paste #BBall'!I26,Len('Paste #BBall'!I26)-Search("/",'Paste #BBall'!I26)))-1)</f>
        <v>3.0</v>
      </c>
      <c r="T26" s="37"/>
      <c r="U26" s="37"/>
      <c r="V26" s="37"/>
    </row>
    <row r="27">
      <c r="A27" s="2">
        <v>26.0</v>
      </c>
      <c r="B27" s="2" t="str">
        <f>'Paste #BBall'!C27</f>
        <v>Domantas Sabonis</v>
      </c>
      <c r="C27" s="2" t="str">
        <f>'Paste #BBall'!D27</f>
        <v>PF/C</v>
      </c>
      <c r="D27" s="2" t="str">
        <f>'Paste #BBall'!E27</f>
        <v>SAC</v>
      </c>
      <c r="E27" s="2">
        <f>'Paste #BBall'!F27</f>
        <v>69</v>
      </c>
      <c r="F27" s="80">
        <f>'Paste #BBall'!G27</f>
        <v>34.5</v>
      </c>
      <c r="G27" s="81" t="str">
        <f>right(Left('Paste #BBall'!H27,Search("/",'Paste #BBall'!H27)-1),len(Left('Paste #BBall'!H27,Search("/",'Paste #BBall'!H27)-1))-search("(",Left('Paste #BBall'!H27,Search("/",'Paste #BBall'!H27)-1)))</f>
        <v>7.3</v>
      </c>
      <c r="H27" s="82">
        <f t="shared" si="1"/>
        <v>0.5572519084</v>
      </c>
      <c r="I27" s="82" t="str">
        <f>right(Left('Paste #BBall'!I27,Search("/",'Paste #BBall'!I27)-1),len(Left('Paste #BBall'!I27,Search("/",'Paste #BBall'!I27)-1))-search("(",Left('Paste #BBall'!I27,Search("/",'Paste #BBall'!I27)-1)))</f>
        <v>3.8</v>
      </c>
      <c r="J27" s="82">
        <f t="shared" si="2"/>
        <v>0.7450980392</v>
      </c>
      <c r="K27" s="82">
        <f>'Paste #BBall'!J27</f>
        <v>0.6</v>
      </c>
      <c r="L27" s="82">
        <f>'Paste #BBall'!K27</f>
        <v>19.1</v>
      </c>
      <c r="M27" s="82">
        <f>'Paste #BBall'!L27</f>
        <v>11.8</v>
      </c>
      <c r="N27" s="82">
        <f>'Paste #BBall'!M27</f>
        <v>5.5</v>
      </c>
      <c r="O27" s="82">
        <f>'Paste #BBall'!N27</f>
        <v>1</v>
      </c>
      <c r="P27" s="82">
        <f>'Paste #BBall'!O27</f>
        <v>0.5</v>
      </c>
      <c r="Q27" s="82">
        <f>'Paste #BBall'!P27</f>
        <v>3.2</v>
      </c>
      <c r="R27" s="81" t="str">
        <f>Left(Right('Paste #BBall'!H27,Len('Paste #BBall'!H27)-Search("/",'Paste #BBall'!H27)),Len(Right('Paste #BBall'!H27,Len('Paste #BBall'!H27)-Search("/",'Paste #BBall'!H27)))-1)</f>
        <v>13.1</v>
      </c>
      <c r="S27" s="81" t="str">
        <f>Left(Right('Paste #BBall'!I27,Len('Paste #BBall'!I27)-Search("/",'Paste #BBall'!I27)),Len(Right('Paste #BBall'!I27,Len('Paste #BBall'!I27)-Search("/",'Paste #BBall'!I27)))-1)</f>
        <v>5.1</v>
      </c>
      <c r="T27" s="37"/>
      <c r="U27" s="37"/>
      <c r="V27" s="37"/>
    </row>
    <row r="28">
      <c r="A28" s="2">
        <v>27.0</v>
      </c>
      <c r="B28" s="2" t="str">
        <f>'Paste #BBall'!C28</f>
        <v>Shai Gilgeous-Alexander</v>
      </c>
      <c r="C28" s="2" t="str">
        <f>'Paste #BBall'!D28</f>
        <v>PG/SF</v>
      </c>
      <c r="D28" s="2" t="str">
        <f>'Paste #BBall'!E28</f>
        <v>OKL</v>
      </c>
      <c r="E28" s="2">
        <f>'Paste #BBall'!F28</f>
        <v>64</v>
      </c>
      <c r="F28" s="80">
        <f>'Paste #BBall'!G28</f>
        <v>34.7</v>
      </c>
      <c r="G28" s="81" t="str">
        <f>right(Left('Paste #BBall'!H28,Search("/",'Paste #BBall'!H28)-1),len(Left('Paste #BBall'!H28,Search("/",'Paste #BBall'!H28)-1))-search("(",Left('Paste #BBall'!H28,Search("/",'Paste #BBall'!H28)-1)))</f>
        <v>8.6</v>
      </c>
      <c r="H28" s="82">
        <f t="shared" si="1"/>
        <v>0.4673913043</v>
      </c>
      <c r="I28" s="82" t="str">
        <f>right(Left('Paste #BBall'!I28,Search("/",'Paste #BBall'!I28)-1),len(Left('Paste #BBall'!I28,Search("/",'Paste #BBall'!I28)-1))-search("(",Left('Paste #BBall'!I28,Search("/",'Paste #BBall'!I28)-1)))</f>
        <v>6.0</v>
      </c>
      <c r="J28" s="82">
        <f t="shared" si="2"/>
        <v>0.8108108108</v>
      </c>
      <c r="K28" s="82">
        <f>'Paste #BBall'!J28</f>
        <v>1.6</v>
      </c>
      <c r="L28" s="82">
        <f>'Paste #BBall'!K28</f>
        <v>24.9</v>
      </c>
      <c r="M28" s="82">
        <f>'Paste #BBall'!L28</f>
        <v>5.1</v>
      </c>
      <c r="N28" s="82">
        <f>'Paste #BBall'!M28</f>
        <v>5.7</v>
      </c>
      <c r="O28" s="82">
        <f>'Paste #BBall'!N28</f>
        <v>1.2</v>
      </c>
      <c r="P28" s="82">
        <f>'Paste #BBall'!O28</f>
        <v>0.8</v>
      </c>
      <c r="Q28" s="82">
        <f>'Paste #BBall'!P28</f>
        <v>2.9</v>
      </c>
      <c r="R28" s="81" t="str">
        <f>Left(Right('Paste #BBall'!H28,Len('Paste #BBall'!H28)-Search("/",'Paste #BBall'!H28)),Len(Right('Paste #BBall'!H28,Len('Paste #BBall'!H28)-Search("/",'Paste #BBall'!H28)))-1)</f>
        <v>18.4</v>
      </c>
      <c r="S28" s="81" t="str">
        <f>Left(Right('Paste #BBall'!I28,Len('Paste #BBall'!I28)-Search("/",'Paste #BBall'!I28)),Len(Right('Paste #BBall'!I28,Len('Paste #BBall'!I28)-Search("/",'Paste #BBall'!I28)))-1)</f>
        <v>7.4</v>
      </c>
      <c r="T28" s="37"/>
      <c r="U28" s="37"/>
      <c r="V28" s="37"/>
    </row>
    <row r="29">
      <c r="A29" s="2">
        <v>28.0</v>
      </c>
      <c r="B29" s="2" t="str">
        <f>'Paste #BBall'!C29</f>
        <v>Fred VanVleet</v>
      </c>
      <c r="C29" s="2" t="str">
        <f>'Paste #BBall'!D29</f>
        <v>PG/SF</v>
      </c>
      <c r="D29" s="2" t="str">
        <f>'Paste #BBall'!E29</f>
        <v>TOR</v>
      </c>
      <c r="E29" s="2">
        <f>'Paste #BBall'!F29</f>
        <v>65</v>
      </c>
      <c r="F29" s="80">
        <f>'Paste #BBall'!G29</f>
        <v>36.7</v>
      </c>
      <c r="G29" s="81" t="str">
        <f>right(Left('Paste #BBall'!H29,Search("/",'Paste #BBall'!H29)-1),len(Left('Paste #BBall'!H29,Search("/",'Paste #BBall'!H29)-1))-search("(",Left('Paste #BBall'!H29,Search("/",'Paste #BBall'!H29)-1)))</f>
        <v>6.7</v>
      </c>
      <c r="H29" s="82">
        <f t="shared" si="1"/>
        <v>0.4036144578</v>
      </c>
      <c r="I29" s="82" t="str">
        <f>right(Left('Paste #BBall'!I29,Search("/",'Paste #BBall'!I29)-1),len(Left('Paste #BBall'!I29,Search("/",'Paste #BBall'!I29)-1))-search("(",Left('Paste #BBall'!I29,Search("/",'Paste #BBall'!I29)-1)))</f>
        <v>3.0</v>
      </c>
      <c r="J29" s="82">
        <f t="shared" si="2"/>
        <v>0.8823529412</v>
      </c>
      <c r="K29" s="82">
        <f>'Paste #BBall'!J29</f>
        <v>3.6</v>
      </c>
      <c r="L29" s="82">
        <f>'Paste #BBall'!K29</f>
        <v>20</v>
      </c>
      <c r="M29" s="82">
        <f>'Paste #BBall'!L29</f>
        <v>4.4</v>
      </c>
      <c r="N29" s="82">
        <f>'Paste #BBall'!M29</f>
        <v>6.6</v>
      </c>
      <c r="O29" s="82">
        <f>'Paste #BBall'!N29</f>
        <v>1.5</v>
      </c>
      <c r="P29" s="82">
        <f>'Paste #BBall'!O29</f>
        <v>0.5</v>
      </c>
      <c r="Q29" s="82">
        <f>'Paste #BBall'!P29</f>
        <v>2.6</v>
      </c>
      <c r="R29" s="81" t="str">
        <f>Left(Right('Paste #BBall'!H29,Len('Paste #BBall'!H29)-Search("/",'Paste #BBall'!H29)),Len(Right('Paste #BBall'!H29,Len('Paste #BBall'!H29)-Search("/",'Paste #BBall'!H29)))-1)</f>
        <v>16.6</v>
      </c>
      <c r="S29" s="81" t="str">
        <f>Left(Right('Paste #BBall'!I29,Len('Paste #BBall'!I29)-Search("/",'Paste #BBall'!I29)),Len(Right('Paste #BBall'!I29,Len('Paste #BBall'!I29)-Search("/",'Paste #BBall'!I29)))-1)</f>
        <v>3.4</v>
      </c>
      <c r="T29" s="37"/>
      <c r="U29" s="37"/>
      <c r="V29" s="37"/>
    </row>
    <row r="30">
      <c r="A30" s="2">
        <v>29.0</v>
      </c>
      <c r="B30" s="2" t="str">
        <f>'Paste #BBall'!C30</f>
        <v>Robert Williams</v>
      </c>
      <c r="C30" s="2" t="str">
        <f>'Paste #BBall'!D30</f>
        <v>PF/C</v>
      </c>
      <c r="D30" s="2" t="str">
        <f>'Paste #BBall'!E30</f>
        <v>BOS</v>
      </c>
      <c r="E30" s="2">
        <f>'Paste #BBall'!F30</f>
        <v>50</v>
      </c>
      <c r="F30" s="80">
        <f>'Paste #BBall'!G30</f>
        <v>28.4</v>
      </c>
      <c r="G30" s="81" t="str">
        <f>right(Left('Paste #BBall'!H30,Search("/",'Paste #BBall'!H30)-1),len(Left('Paste #BBall'!H30,Search("/",'Paste #BBall'!H30)-1))-search("(",Left('Paste #BBall'!H30,Search("/",'Paste #BBall'!H30)-1)))</f>
        <v>4.4</v>
      </c>
      <c r="H30" s="82">
        <f t="shared" si="1"/>
        <v>0.7213114754</v>
      </c>
      <c r="I30" s="82" t="str">
        <f>right(Left('Paste #BBall'!I30,Search("/",'Paste #BBall'!I30)-1),len(Left('Paste #BBall'!I30,Search("/",'Paste #BBall'!I30)-1))-search("(",Left('Paste #BBall'!I30,Search("/",'Paste #BBall'!I30)-1)))</f>
        <v>1.1</v>
      </c>
      <c r="J30" s="82">
        <f t="shared" si="2"/>
        <v>0.7333333333</v>
      </c>
      <c r="K30" s="82">
        <f>'Paste #BBall'!J30</f>
        <v>0</v>
      </c>
      <c r="L30" s="82">
        <f>'Paste #BBall'!K30</f>
        <v>9.8</v>
      </c>
      <c r="M30" s="82">
        <f>'Paste #BBall'!L30</f>
        <v>9.3</v>
      </c>
      <c r="N30" s="82">
        <f>'Paste #BBall'!M30</f>
        <v>1.9</v>
      </c>
      <c r="O30" s="82">
        <f>'Paste #BBall'!N30</f>
        <v>0.8</v>
      </c>
      <c r="P30" s="82">
        <f>'Paste #BBall'!O30</f>
        <v>2.1</v>
      </c>
      <c r="Q30" s="82">
        <f>'Paste #BBall'!P30</f>
        <v>1</v>
      </c>
      <c r="R30" s="81" t="str">
        <f>Left(Right('Paste #BBall'!H30,Len('Paste #BBall'!H30)-Search("/",'Paste #BBall'!H30)),Len(Right('Paste #BBall'!H30,Len('Paste #BBall'!H30)-Search("/",'Paste #BBall'!H30)))-1)</f>
        <v>6.1</v>
      </c>
      <c r="S30" s="81" t="str">
        <f>Left(Right('Paste #BBall'!I30,Len('Paste #BBall'!I30)-Search("/",'Paste #BBall'!I30)),Len(Right('Paste #BBall'!I30,Len('Paste #BBall'!I30)-Search("/",'Paste #BBall'!I30)))-1)</f>
        <v>1.5</v>
      </c>
      <c r="T30" s="37"/>
      <c r="U30" s="37"/>
      <c r="V30" s="37"/>
    </row>
    <row r="31">
      <c r="A31" s="2">
        <v>30.0</v>
      </c>
      <c r="B31" s="2" t="str">
        <f>'Paste #BBall'!C31</f>
        <v>Darius Garland</v>
      </c>
      <c r="C31" s="2" t="str">
        <f>'Paste #BBall'!D31</f>
        <v>PG/SG</v>
      </c>
      <c r="D31" s="2" t="str">
        <f>'Paste #BBall'!E31</f>
        <v>CLE</v>
      </c>
      <c r="E31" s="2">
        <f>'Paste #BBall'!F31</f>
        <v>72</v>
      </c>
      <c r="F31" s="80">
        <f>'Paste #BBall'!G31</f>
        <v>35.2</v>
      </c>
      <c r="G31" s="81" t="str">
        <f>right(Left('Paste #BBall'!H31,Search("/",'Paste #BBall'!H31)-1),len(Left('Paste #BBall'!H31,Search("/",'Paste #BBall'!H31)-1))-search("(",Left('Paste #BBall'!H31,Search("/",'Paste #BBall'!H31)-1)))</f>
        <v>7.7</v>
      </c>
      <c r="H31" s="82">
        <f t="shared" si="1"/>
        <v>0.4695121951</v>
      </c>
      <c r="I31" s="82" t="str">
        <f>right(Left('Paste #BBall'!I31,Search("/",'Paste #BBall'!I31)-1),len(Left('Paste #BBall'!I31,Search("/",'Paste #BBall'!I31)-1))-search("(",Left('Paste #BBall'!I31,Search("/",'Paste #BBall'!I31)-1)))</f>
        <v>3.0</v>
      </c>
      <c r="J31" s="82">
        <f t="shared" si="2"/>
        <v>0.9090909091</v>
      </c>
      <c r="K31" s="82">
        <f>'Paste #BBall'!J31</f>
        <v>2.4</v>
      </c>
      <c r="L31" s="82">
        <f>'Paste #BBall'!K31</f>
        <v>20.7</v>
      </c>
      <c r="M31" s="82">
        <f>'Paste #BBall'!L31</f>
        <v>3.1</v>
      </c>
      <c r="N31" s="82">
        <f>'Paste #BBall'!M31</f>
        <v>8</v>
      </c>
      <c r="O31" s="82">
        <f>'Paste #BBall'!N31</f>
        <v>1.3</v>
      </c>
      <c r="P31" s="82">
        <f>'Paste #BBall'!O31</f>
        <v>0.1</v>
      </c>
      <c r="Q31" s="82">
        <f>'Paste #BBall'!P31</f>
        <v>3.4</v>
      </c>
      <c r="R31" s="81" t="str">
        <f>Left(Right('Paste #BBall'!H31,Len('Paste #BBall'!H31)-Search("/",'Paste #BBall'!H31)),Len(Right('Paste #BBall'!H31,Len('Paste #BBall'!H31)-Search("/",'Paste #BBall'!H31)))-1)</f>
        <v>16.4</v>
      </c>
      <c r="S31" s="81" t="str">
        <f>Left(Right('Paste #BBall'!I31,Len('Paste #BBall'!I31)-Search("/",'Paste #BBall'!I31)),Len(Right('Paste #BBall'!I31,Len('Paste #BBall'!I31)-Search("/",'Paste #BBall'!I31)))-1)</f>
        <v>3.3</v>
      </c>
      <c r="T31" s="37"/>
      <c r="U31" s="37"/>
      <c r="V31" s="37"/>
    </row>
    <row r="32">
      <c r="A32" s="2">
        <v>31.0</v>
      </c>
      <c r="B32" s="2" t="str">
        <f>'Paste #BBall'!C32</f>
        <v>Jrue Holiday</v>
      </c>
      <c r="C32" s="2" t="str">
        <f>'Paste #BBall'!D32</f>
        <v>PG/SG</v>
      </c>
      <c r="D32" s="2" t="str">
        <f>'Paste #BBall'!E32</f>
        <v>MIL</v>
      </c>
      <c r="E32" s="2">
        <f>'Paste #BBall'!F32</f>
        <v>67</v>
      </c>
      <c r="F32" s="80">
        <f>'Paste #BBall'!G32</f>
        <v>32.9</v>
      </c>
      <c r="G32" s="81" t="str">
        <f>right(Left('Paste #BBall'!H32,Search("/",'Paste #BBall'!H32)-1),len(Left('Paste #BBall'!H32,Search("/",'Paste #BBall'!H32)-1))-search("(",Left('Paste #BBall'!H32,Search("/",'Paste #BBall'!H32)-1)))</f>
        <v>7.0</v>
      </c>
      <c r="H32" s="82">
        <f t="shared" si="1"/>
        <v>0.5</v>
      </c>
      <c r="I32" s="82" t="str">
        <f>right(Left('Paste #BBall'!I32,Search("/",'Paste #BBall'!I32)-1),len(Left('Paste #BBall'!I32,Search("/",'Paste #BBall'!I32)-1))-search("(",Left('Paste #BBall'!I32,Search("/",'Paste #BBall'!I32)-1)))</f>
        <v>2.1</v>
      </c>
      <c r="J32" s="82">
        <f t="shared" si="2"/>
        <v>0.75</v>
      </c>
      <c r="K32" s="82">
        <f>'Paste #BBall'!J32</f>
        <v>2</v>
      </c>
      <c r="L32" s="82">
        <f>'Paste #BBall'!K32</f>
        <v>18.2</v>
      </c>
      <c r="M32" s="82">
        <f>'Paste #BBall'!L32</f>
        <v>4.6</v>
      </c>
      <c r="N32" s="82">
        <f>'Paste #BBall'!M32</f>
        <v>6.9</v>
      </c>
      <c r="O32" s="82">
        <f>'Paste #BBall'!N32</f>
        <v>1.6</v>
      </c>
      <c r="P32" s="82">
        <f>'Paste #BBall'!O32</f>
        <v>0.4</v>
      </c>
      <c r="Q32" s="82">
        <f>'Paste #BBall'!P32</f>
        <v>2.8</v>
      </c>
      <c r="R32" s="81" t="str">
        <f>Left(Right('Paste #BBall'!H32,Len('Paste #BBall'!H32)-Search("/",'Paste #BBall'!H32)),Len(Right('Paste #BBall'!H32,Len('Paste #BBall'!H32)-Search("/",'Paste #BBall'!H32)))-1)</f>
        <v>14.0</v>
      </c>
      <c r="S32" s="81" t="str">
        <f>Left(Right('Paste #BBall'!I32,Len('Paste #BBall'!I32)-Search("/",'Paste #BBall'!I32)),Len(Right('Paste #BBall'!I32,Len('Paste #BBall'!I32)-Search("/",'Paste #BBall'!I32)))-1)</f>
        <v>2.8</v>
      </c>
      <c r="T32" s="37"/>
      <c r="U32" s="37"/>
      <c r="V32" s="37"/>
    </row>
    <row r="33">
      <c r="A33" s="2">
        <v>32.0</v>
      </c>
      <c r="B33" s="2" t="str">
        <f>'Paste #BBall'!C33</f>
        <v>Myles Turner</v>
      </c>
      <c r="C33" s="2" t="str">
        <f>'Paste #BBall'!D33</f>
        <v>PF/C</v>
      </c>
      <c r="D33" s="2" t="str">
        <f>'Paste #BBall'!E33</f>
        <v>IND</v>
      </c>
      <c r="E33" s="2">
        <f>'Paste #BBall'!F33</f>
        <v>68</v>
      </c>
      <c r="F33" s="80">
        <f>'Paste #BBall'!G33</f>
        <v>30.3</v>
      </c>
      <c r="G33" s="81" t="str">
        <f>right(Left('Paste #BBall'!H33,Search("/",'Paste #BBall'!H33)-1),len(Left('Paste #BBall'!H33,Search("/",'Paste #BBall'!H33)-1))-search("(",Left('Paste #BBall'!H33,Search("/",'Paste #BBall'!H33)-1)))</f>
        <v>5.0</v>
      </c>
      <c r="H33" s="82">
        <f t="shared" si="1"/>
        <v>0.4854368932</v>
      </c>
      <c r="I33" s="82" t="str">
        <f>right(Left('Paste #BBall'!I33,Search("/",'Paste #BBall'!I33)-1),len(Left('Paste #BBall'!I33,Search("/",'Paste #BBall'!I33)-1))-search("(",Left('Paste #BBall'!I33,Search("/",'Paste #BBall'!I33)-1)))</f>
        <v>2.0</v>
      </c>
      <c r="J33" s="82">
        <f t="shared" si="2"/>
        <v>0.7692307692</v>
      </c>
      <c r="K33" s="82">
        <f>'Paste #BBall'!J33</f>
        <v>1.6</v>
      </c>
      <c r="L33" s="82">
        <f>'Paste #BBall'!K33</f>
        <v>13.5</v>
      </c>
      <c r="M33" s="82">
        <f>'Paste #BBall'!L33</f>
        <v>7.7</v>
      </c>
      <c r="N33" s="82">
        <f>'Paste #BBall'!M33</f>
        <v>1</v>
      </c>
      <c r="O33" s="82">
        <f>'Paste #BBall'!N33</f>
        <v>0.7</v>
      </c>
      <c r="P33" s="82">
        <f>'Paste #BBall'!O33</f>
        <v>2.7</v>
      </c>
      <c r="Q33" s="82">
        <f>'Paste #BBall'!P33</f>
        <v>1.4</v>
      </c>
      <c r="R33" s="81" t="str">
        <f>Left(Right('Paste #BBall'!H33,Len('Paste #BBall'!H33)-Search("/",'Paste #BBall'!H33)),Len(Right('Paste #BBall'!H33,Len('Paste #BBall'!H33)-Search("/",'Paste #BBall'!H33)))-1)</f>
        <v>10.3</v>
      </c>
      <c r="S33" s="81" t="str">
        <f>Left(Right('Paste #BBall'!I33,Len('Paste #BBall'!I33)-Search("/",'Paste #BBall'!I33)),Len(Right('Paste #BBall'!I33,Len('Paste #BBall'!I33)-Search("/",'Paste #BBall'!I33)))-1)</f>
        <v>2.6</v>
      </c>
      <c r="T33" s="37"/>
      <c r="U33" s="37"/>
      <c r="V33" s="37"/>
    </row>
    <row r="34">
      <c r="A34" s="2">
        <v>33.0</v>
      </c>
      <c r="B34" s="2" t="str">
        <f>'Paste #BBall'!C34</f>
        <v>Donovan Mitchell</v>
      </c>
      <c r="C34" s="2" t="str">
        <f>'Paste #BBall'!D34</f>
        <v>PG/SF</v>
      </c>
      <c r="D34" s="2" t="str">
        <f>'Paste #BBall'!E34</f>
        <v>CLE</v>
      </c>
      <c r="E34" s="2">
        <f>'Paste #BBall'!F34</f>
        <v>70</v>
      </c>
      <c r="F34" s="80">
        <f>'Paste #BBall'!G34</f>
        <v>33.9</v>
      </c>
      <c r="G34" s="81" t="str">
        <f>right(Left('Paste #BBall'!H34,Search("/",'Paste #BBall'!H34)-1),len(Left('Paste #BBall'!H34,Search("/",'Paste #BBall'!H34)-1))-search("(",Left('Paste #BBall'!H34,Search("/",'Paste #BBall'!H34)-1)))</f>
        <v>8.6</v>
      </c>
      <c r="H34" s="82">
        <f t="shared" si="1"/>
        <v>0.4526315789</v>
      </c>
      <c r="I34" s="82" t="str">
        <f>right(Left('Paste #BBall'!I34,Search("/",'Paste #BBall'!I34)-1),len(Left('Paste #BBall'!I34,Search("/",'Paste #BBall'!I34)-1))-search("(",Left('Paste #BBall'!I34,Search("/",'Paste #BBall'!I34)-1)))</f>
        <v>3.7</v>
      </c>
      <c r="J34" s="82">
        <f t="shared" si="2"/>
        <v>0.8409090909</v>
      </c>
      <c r="K34" s="82">
        <f>'Paste #BBall'!J34</f>
        <v>3.3</v>
      </c>
      <c r="L34" s="82">
        <f>'Paste #BBall'!K34</f>
        <v>24.2</v>
      </c>
      <c r="M34" s="82">
        <f>'Paste #BBall'!L34</f>
        <v>3.9</v>
      </c>
      <c r="N34" s="82">
        <f>'Paste #BBall'!M34</f>
        <v>5</v>
      </c>
      <c r="O34" s="82">
        <f>'Paste #BBall'!N34</f>
        <v>1.4</v>
      </c>
      <c r="P34" s="82">
        <f>'Paste #BBall'!O34</f>
        <v>0.2</v>
      </c>
      <c r="Q34" s="82">
        <f>'Paste #BBall'!P34</f>
        <v>2.8</v>
      </c>
      <c r="R34" s="81" t="str">
        <f>Left(Right('Paste #BBall'!H34,Len('Paste #BBall'!H34)-Search("/",'Paste #BBall'!H34)),Len(Right('Paste #BBall'!H34,Len('Paste #BBall'!H34)-Search("/",'Paste #BBall'!H34)))-1)</f>
        <v>19.0</v>
      </c>
      <c r="S34" s="81" t="str">
        <f>Left(Right('Paste #BBall'!I34,Len('Paste #BBall'!I34)-Search("/",'Paste #BBall'!I34)),Len(Right('Paste #BBall'!I34,Len('Paste #BBall'!I34)-Search("/",'Paste #BBall'!I34)))-1)</f>
        <v>4.4</v>
      </c>
      <c r="T34" s="37"/>
      <c r="U34" s="37"/>
      <c r="V34" s="37"/>
    </row>
    <row r="35">
      <c r="A35" s="2">
        <v>34.0</v>
      </c>
      <c r="B35" s="2" t="str">
        <f>'Paste #BBall'!C35</f>
        <v>Rudy Gobert</v>
      </c>
      <c r="C35" s="2" t="str">
        <f>'Paste #BBall'!D35</f>
        <v>C</v>
      </c>
      <c r="D35" s="2" t="str">
        <f>'Paste #BBall'!E35</f>
        <v>MIN</v>
      </c>
      <c r="E35" s="2">
        <f>'Paste #BBall'!F35</f>
        <v>71</v>
      </c>
      <c r="F35" s="80">
        <f>'Paste #BBall'!G35</f>
        <v>32.1</v>
      </c>
      <c r="G35" s="81" t="str">
        <f>right(Left('Paste #BBall'!H35,Search("/",'Paste #BBall'!H35)-1),len(Left('Paste #BBall'!H35,Search("/",'Paste #BBall'!H35)-1))-search("(",Left('Paste #BBall'!H35,Search("/",'Paste #BBall'!H35)-1)))</f>
        <v>5.4</v>
      </c>
      <c r="H35" s="82">
        <f t="shared" si="1"/>
        <v>0.72</v>
      </c>
      <c r="I35" s="82" t="str">
        <f>right(Left('Paste #BBall'!I35,Search("/",'Paste #BBall'!I35)-1),len(Left('Paste #BBall'!I35,Search("/",'Paste #BBall'!I35)-1))-search("(",Left('Paste #BBall'!I35,Search("/",'Paste #BBall'!I35)-1)))</f>
        <v>4.1</v>
      </c>
      <c r="J35" s="82">
        <f t="shared" si="2"/>
        <v>0.6833333333</v>
      </c>
      <c r="K35" s="82">
        <f>'Paste #BBall'!J35</f>
        <v>0</v>
      </c>
      <c r="L35" s="82">
        <f>'Paste #BBall'!K35</f>
        <v>14.8</v>
      </c>
      <c r="M35" s="82">
        <f>'Paste #BBall'!L35</f>
        <v>13</v>
      </c>
      <c r="N35" s="82">
        <f>'Paste #BBall'!M35</f>
        <v>1.1</v>
      </c>
      <c r="O35" s="82">
        <f>'Paste #BBall'!N35</f>
        <v>0.6</v>
      </c>
      <c r="P35" s="82">
        <f>'Paste #BBall'!O35</f>
        <v>2</v>
      </c>
      <c r="Q35" s="82">
        <f>'Paste #BBall'!P35</f>
        <v>1.8</v>
      </c>
      <c r="R35" s="81" t="str">
        <f>Left(Right('Paste #BBall'!H35,Len('Paste #BBall'!H35)-Search("/",'Paste #BBall'!H35)),Len(Right('Paste #BBall'!H35,Len('Paste #BBall'!H35)-Search("/",'Paste #BBall'!H35)))-1)</f>
        <v>7.5</v>
      </c>
      <c r="S35" s="81" t="str">
        <f>Left(Right('Paste #BBall'!I35,Len('Paste #BBall'!I35)-Search("/",'Paste #BBall'!I35)),Len(Right('Paste #BBall'!I35,Len('Paste #BBall'!I35)-Search("/",'Paste #BBall'!I35)))-1)</f>
        <v>6.0</v>
      </c>
      <c r="T35" s="37"/>
      <c r="U35" s="37"/>
      <c r="V35" s="37"/>
    </row>
    <row r="36">
      <c r="A36" s="2">
        <v>35.0</v>
      </c>
      <c r="B36" s="2" t="str">
        <f>'Paste #BBall'!C36</f>
        <v>Ja Morant</v>
      </c>
      <c r="C36" s="2" t="str">
        <f>'Paste #BBall'!D36</f>
        <v>PG</v>
      </c>
      <c r="D36" s="2" t="str">
        <f>'Paste #BBall'!E36</f>
        <v>MEM</v>
      </c>
      <c r="E36" s="2">
        <f>'Paste #BBall'!F36</f>
        <v>67</v>
      </c>
      <c r="F36" s="80">
        <f>'Paste #BBall'!G36</f>
        <v>33</v>
      </c>
      <c r="G36" s="81" t="str">
        <f>right(Left('Paste #BBall'!H36,Search("/",'Paste #BBall'!H36)-1),len(Left('Paste #BBall'!H36,Search("/",'Paste #BBall'!H36)-1))-search("(",Left('Paste #BBall'!H36,Search("/",'Paste #BBall'!H36)-1)))</f>
        <v>10.4</v>
      </c>
      <c r="H36" s="82">
        <f t="shared" si="1"/>
        <v>0.4837209302</v>
      </c>
      <c r="I36" s="82" t="str">
        <f>right(Left('Paste #BBall'!I36,Search("/",'Paste #BBall'!I36)-1),len(Left('Paste #BBall'!I36,Search("/",'Paste #BBall'!I36)-1))-search("(",Left('Paste #BBall'!I36,Search("/",'Paste #BBall'!I36)-1)))</f>
        <v>5.6</v>
      </c>
      <c r="J36" s="82">
        <f t="shared" si="2"/>
        <v>0.7567567568</v>
      </c>
      <c r="K36" s="82">
        <f>'Paste #BBall'!J36</f>
        <v>1.6</v>
      </c>
      <c r="L36" s="82">
        <f>'Paste #BBall'!K36</f>
        <v>28</v>
      </c>
      <c r="M36" s="82">
        <f>'Paste #BBall'!L36</f>
        <v>5.9</v>
      </c>
      <c r="N36" s="82">
        <f>'Paste #BBall'!M36</f>
        <v>7.1</v>
      </c>
      <c r="O36" s="82">
        <f>'Paste #BBall'!N36</f>
        <v>1.1</v>
      </c>
      <c r="P36" s="82">
        <f>'Paste #BBall'!O36</f>
        <v>0.4</v>
      </c>
      <c r="Q36" s="82">
        <f>'Paste #BBall'!P36</f>
        <v>3.5</v>
      </c>
      <c r="R36" s="81" t="str">
        <f>Left(Right('Paste #BBall'!H36,Len('Paste #BBall'!H36)-Search("/",'Paste #BBall'!H36)),Len(Right('Paste #BBall'!H36,Len('Paste #BBall'!H36)-Search("/",'Paste #BBall'!H36)))-1)</f>
        <v>21.5</v>
      </c>
      <c r="S36" s="81" t="str">
        <f>Left(Right('Paste #BBall'!I36,Len('Paste #BBall'!I36)-Search("/",'Paste #BBall'!I36)),Len(Right('Paste #BBall'!I36,Len('Paste #BBall'!I36)-Search("/",'Paste #BBall'!I36)))-1)</f>
        <v>7.4</v>
      </c>
      <c r="T36" s="37"/>
      <c r="U36" s="37"/>
      <c r="V36" s="37"/>
    </row>
    <row r="37">
      <c r="A37" s="2">
        <v>36.0</v>
      </c>
      <c r="B37" s="2" t="str">
        <f>'Paste #BBall'!C37</f>
        <v>Jarrett Allen</v>
      </c>
      <c r="C37" s="2" t="str">
        <f>'Paste #BBall'!D37</f>
        <v>C</v>
      </c>
      <c r="D37" s="2" t="str">
        <f>'Paste #BBall'!E37</f>
        <v>CLE</v>
      </c>
      <c r="E37" s="2">
        <f>'Paste #BBall'!F37</f>
        <v>73</v>
      </c>
      <c r="F37" s="80">
        <f>'Paste #BBall'!G37</f>
        <v>32.3</v>
      </c>
      <c r="G37" s="81" t="str">
        <f>right(Left('Paste #BBall'!H37,Search("/",'Paste #BBall'!H37)-1),len(Left('Paste #BBall'!H37,Search("/",'Paste #BBall'!H37)-1))-search("(",Left('Paste #BBall'!H37,Search("/",'Paste #BBall'!H37)-1)))</f>
        <v>6.5</v>
      </c>
      <c r="H37" s="82">
        <f t="shared" si="1"/>
        <v>0.6632653061</v>
      </c>
      <c r="I37" s="82" t="str">
        <f>right(Left('Paste #BBall'!I37,Search("/",'Paste #BBall'!I37)-1),len(Left('Paste #BBall'!I37,Search("/",'Paste #BBall'!I37)-1))-search("(",Left('Paste #BBall'!I37,Search("/",'Paste #BBall'!I37)-1)))</f>
        <v>3.0</v>
      </c>
      <c r="J37" s="82">
        <f t="shared" si="2"/>
        <v>0.7142857143</v>
      </c>
      <c r="K37" s="82">
        <f>'Paste #BBall'!J37</f>
        <v>0</v>
      </c>
      <c r="L37" s="82">
        <f>'Paste #BBall'!K37</f>
        <v>15.9</v>
      </c>
      <c r="M37" s="82">
        <f>'Paste #BBall'!L37</f>
        <v>10.4</v>
      </c>
      <c r="N37" s="82">
        <f>'Paste #BBall'!M37</f>
        <v>1.6</v>
      </c>
      <c r="O37" s="82">
        <f>'Paste #BBall'!N37</f>
        <v>0.8</v>
      </c>
      <c r="P37" s="82">
        <f>'Paste #BBall'!O37</f>
        <v>1.3</v>
      </c>
      <c r="Q37" s="82">
        <f>'Paste #BBall'!P37</f>
        <v>1.7</v>
      </c>
      <c r="R37" s="81" t="str">
        <f>Left(Right('Paste #BBall'!H37,Len('Paste #BBall'!H37)-Search("/",'Paste #BBall'!H37)),Len(Right('Paste #BBall'!H37,Len('Paste #BBall'!H37)-Search("/",'Paste #BBall'!H37)))-1)</f>
        <v>9.8</v>
      </c>
      <c r="S37" s="81" t="str">
        <f>Left(Right('Paste #BBall'!I37,Len('Paste #BBall'!I37)-Search("/",'Paste #BBall'!I37)),Len(Right('Paste #BBall'!I37,Len('Paste #BBall'!I37)-Search("/",'Paste #BBall'!I37)))-1)</f>
        <v>4.2</v>
      </c>
      <c r="T37" s="37"/>
      <c r="U37" s="37"/>
      <c r="V37" s="37"/>
    </row>
    <row r="38">
      <c r="A38" s="2">
        <v>37.0</v>
      </c>
      <c r="B38" s="2" t="str">
        <f>'Paste #BBall'!C38</f>
        <v>Bradley Beal</v>
      </c>
      <c r="C38" s="2" t="str">
        <f>'Paste #BBall'!D38</f>
        <v>SG</v>
      </c>
      <c r="D38" s="2" t="str">
        <f>'Paste #BBall'!E38</f>
        <v>WAS</v>
      </c>
      <c r="E38" s="2">
        <f>'Paste #BBall'!F38</f>
        <v>68</v>
      </c>
      <c r="F38" s="80">
        <f>'Paste #BBall'!G38</f>
        <v>35.6</v>
      </c>
      <c r="G38" s="81" t="str">
        <f>right(Left('Paste #BBall'!H38,Search("/",'Paste #BBall'!H38)-1),len(Left('Paste #BBall'!H38,Search("/",'Paste #BBall'!H38)-1))-search("(",Left('Paste #BBall'!H38,Search("/",'Paste #BBall'!H38)-1)))</f>
        <v>9.0</v>
      </c>
      <c r="H38" s="82">
        <f t="shared" si="1"/>
        <v>0.4663212435</v>
      </c>
      <c r="I38" s="82" t="str">
        <f>right(Left('Paste #BBall'!I38,Search("/",'Paste #BBall'!I38)-1),len(Left('Paste #BBall'!I38,Search("/",'Paste #BBall'!I38)-1))-search("(",Left('Paste #BBall'!I38,Search("/",'Paste #BBall'!I38)-1)))</f>
        <v>4.2</v>
      </c>
      <c r="J38" s="82">
        <f t="shared" si="2"/>
        <v>0.8235294118</v>
      </c>
      <c r="K38" s="82">
        <f>'Paste #BBall'!J38</f>
        <v>2.1</v>
      </c>
      <c r="L38" s="82">
        <f>'Paste #BBall'!K38</f>
        <v>24.3</v>
      </c>
      <c r="M38" s="82">
        <f>'Paste #BBall'!L38</f>
        <v>4.8</v>
      </c>
      <c r="N38" s="82">
        <f>'Paste #BBall'!M38</f>
        <v>5.4</v>
      </c>
      <c r="O38" s="82">
        <f>'Paste #BBall'!N38</f>
        <v>1.2</v>
      </c>
      <c r="P38" s="82">
        <f>'Paste #BBall'!O38</f>
        <v>0.4</v>
      </c>
      <c r="Q38" s="82">
        <f>'Paste #BBall'!P38</f>
        <v>3.4</v>
      </c>
      <c r="R38" s="81" t="str">
        <f>Left(Right('Paste #BBall'!H38,Len('Paste #BBall'!H38)-Search("/",'Paste #BBall'!H38)),Len(Right('Paste #BBall'!H38,Len('Paste #BBall'!H38)-Search("/",'Paste #BBall'!H38)))-1)</f>
        <v>19.3</v>
      </c>
      <c r="S38" s="81" t="str">
        <f>Left(Right('Paste #BBall'!I38,Len('Paste #BBall'!I38)-Search("/",'Paste #BBall'!I38)),Len(Right('Paste #BBall'!I38,Len('Paste #BBall'!I38)-Search("/",'Paste #BBall'!I38)))-1)</f>
        <v>5.1</v>
      </c>
      <c r="T38" s="37"/>
      <c r="U38" s="37"/>
      <c r="V38" s="37"/>
    </row>
    <row r="39">
      <c r="A39" s="2">
        <v>38.0</v>
      </c>
      <c r="B39" s="2" t="str">
        <f>'Paste #BBall'!C39</f>
        <v>Deandre Ayton</v>
      </c>
      <c r="C39" s="2" t="str">
        <f>'Paste #BBall'!D39</f>
        <v>C</v>
      </c>
      <c r="D39" s="2" t="str">
        <f>'Paste #BBall'!E39</f>
        <v>PHX</v>
      </c>
      <c r="E39" s="2">
        <f>'Paste #BBall'!F39</f>
        <v>70</v>
      </c>
      <c r="F39" s="80">
        <f>'Paste #BBall'!G39</f>
        <v>30.7</v>
      </c>
      <c r="G39" s="81" t="str">
        <f>right(Left('Paste #BBall'!H39,Search("/",'Paste #BBall'!H39)-1),len(Left('Paste #BBall'!H39,Search("/",'Paste #BBall'!H39)-1))-search("(",Left('Paste #BBall'!H39,Search("/",'Paste #BBall'!H39)-1)))</f>
        <v>8.0</v>
      </c>
      <c r="H39" s="82">
        <f t="shared" si="1"/>
        <v>0.6299212598</v>
      </c>
      <c r="I39" s="82" t="str">
        <f>right(Left('Paste #BBall'!I39,Search("/",'Paste #BBall'!I39)-1),len(Left('Paste #BBall'!I39,Search("/",'Paste #BBall'!I39)-1))-search("(",Left('Paste #BBall'!I39,Search("/",'Paste #BBall'!I39)-1)))</f>
        <v>1.9</v>
      </c>
      <c r="J39" s="82">
        <f t="shared" si="2"/>
        <v>0.7307692308</v>
      </c>
      <c r="K39" s="82">
        <f>'Paste #BBall'!J39</f>
        <v>0.1</v>
      </c>
      <c r="L39" s="82">
        <f>'Paste #BBall'!K39</f>
        <v>18.1</v>
      </c>
      <c r="M39" s="82">
        <f>'Paste #BBall'!L39</f>
        <v>10.7</v>
      </c>
      <c r="N39" s="82">
        <f>'Paste #BBall'!M39</f>
        <v>1.5</v>
      </c>
      <c r="O39" s="82">
        <f>'Paste #BBall'!N39</f>
        <v>0.7</v>
      </c>
      <c r="P39" s="82">
        <f>'Paste #BBall'!O39</f>
        <v>0.7</v>
      </c>
      <c r="Q39" s="82">
        <f>'Paste #BBall'!P39</f>
        <v>1.7</v>
      </c>
      <c r="R39" s="81" t="str">
        <f>Left(Right('Paste #BBall'!H39,Len('Paste #BBall'!H39)-Search("/",'Paste #BBall'!H39)),Len(Right('Paste #BBall'!H39,Len('Paste #BBall'!H39)-Search("/",'Paste #BBall'!H39)))-1)</f>
        <v>12.7</v>
      </c>
      <c r="S39" s="81" t="str">
        <f>Left(Right('Paste #BBall'!I39,Len('Paste #BBall'!I39)-Search("/",'Paste #BBall'!I39)),Len(Right('Paste #BBall'!I39,Len('Paste #BBall'!I39)-Search("/",'Paste #BBall'!I39)))-1)</f>
        <v>2.6</v>
      </c>
      <c r="T39" s="37"/>
      <c r="U39" s="37"/>
      <c r="V39" s="37"/>
    </row>
    <row r="40">
      <c r="A40" s="2">
        <v>39.0</v>
      </c>
      <c r="B40" s="2" t="str">
        <f>'Paste #BBall'!C40</f>
        <v>Zach LaVine</v>
      </c>
      <c r="C40" s="2" t="str">
        <f>'Paste #BBall'!D40</f>
        <v>SG/SF</v>
      </c>
      <c r="D40" s="2" t="str">
        <f>'Paste #BBall'!E40</f>
        <v>CHI</v>
      </c>
      <c r="E40" s="2">
        <f>'Paste #BBall'!F40</f>
        <v>70</v>
      </c>
      <c r="F40" s="80">
        <f>'Paste #BBall'!G40</f>
        <v>34.2</v>
      </c>
      <c r="G40" s="81" t="str">
        <f>right(Left('Paste #BBall'!H40,Search("/",'Paste #BBall'!H40)-1),len(Left('Paste #BBall'!H40,Search("/",'Paste #BBall'!H40)-1))-search("(",Left('Paste #BBall'!H40,Search("/",'Paste #BBall'!H40)-1)))</f>
        <v>8.5</v>
      </c>
      <c r="H40" s="82">
        <f t="shared" si="1"/>
        <v>0.4857142857</v>
      </c>
      <c r="I40" s="82" t="str">
        <f>right(Left('Paste #BBall'!I40,Search("/",'Paste #BBall'!I40)-1),len(Left('Paste #BBall'!I40,Search("/",'Paste #BBall'!I40)-1))-search("(",Left('Paste #BBall'!I40,Search("/",'Paste #BBall'!I40)-1)))</f>
        <v>4.7</v>
      </c>
      <c r="J40" s="82">
        <f t="shared" si="2"/>
        <v>0.8392857143</v>
      </c>
      <c r="K40" s="82">
        <f>'Paste #BBall'!J40</f>
        <v>2.8</v>
      </c>
      <c r="L40" s="82">
        <f>'Paste #BBall'!K40</f>
        <v>24.6</v>
      </c>
      <c r="M40" s="82">
        <f>'Paste #BBall'!L40</f>
        <v>4.6</v>
      </c>
      <c r="N40" s="82">
        <f>'Paste #BBall'!M40</f>
        <v>4.5</v>
      </c>
      <c r="O40" s="82">
        <f>'Paste #BBall'!N40</f>
        <v>0.6</v>
      </c>
      <c r="P40" s="82">
        <f>'Paste #BBall'!O40</f>
        <v>0.3</v>
      </c>
      <c r="Q40" s="82">
        <f>'Paste #BBall'!P40</f>
        <v>2.6</v>
      </c>
      <c r="R40" s="81" t="str">
        <f>Left(Right('Paste #BBall'!H40,Len('Paste #BBall'!H40)-Search("/",'Paste #BBall'!H40)),Len(Right('Paste #BBall'!H40,Len('Paste #BBall'!H40)-Search("/",'Paste #BBall'!H40)))-1)</f>
        <v>17.5</v>
      </c>
      <c r="S40" s="81" t="str">
        <f>Left(Right('Paste #BBall'!I40,Len('Paste #BBall'!I40)-Search("/",'Paste #BBall'!I40)),Len(Right('Paste #BBall'!I40,Len('Paste #BBall'!I40)-Search("/",'Paste #BBall'!I40)))-1)</f>
        <v>5.6</v>
      </c>
      <c r="T40" s="37"/>
      <c r="U40" s="37"/>
      <c r="V40" s="37"/>
    </row>
    <row r="41">
      <c r="A41" s="2">
        <v>40.0</v>
      </c>
      <c r="B41" s="2" t="str">
        <f>'Paste #BBall'!C41</f>
        <v>Terry Rozier</v>
      </c>
      <c r="C41" s="2" t="str">
        <f>'Paste #BBall'!D41</f>
        <v>PG/SG</v>
      </c>
      <c r="D41" s="2" t="str">
        <f>'Paste #BBall'!E41</f>
        <v>CHA</v>
      </c>
      <c r="E41" s="2">
        <f>'Paste #BBall'!F41</f>
        <v>73</v>
      </c>
      <c r="F41" s="80">
        <f>'Paste #BBall'!G41</f>
        <v>34.1</v>
      </c>
      <c r="G41" s="81" t="str">
        <f>right(Left('Paste #BBall'!H41,Search("/",'Paste #BBall'!H41)-1),len(Left('Paste #BBall'!H41,Search("/",'Paste #BBall'!H41)-1))-search("(",Left('Paste #BBall'!H41,Search("/",'Paste #BBall'!H41)-1)))</f>
        <v>7.7</v>
      </c>
      <c r="H41" s="82">
        <f t="shared" si="1"/>
        <v>0.44</v>
      </c>
      <c r="I41" s="82" t="str">
        <f>right(Left('Paste #BBall'!I41,Search("/",'Paste #BBall'!I41)-1),len(Left('Paste #BBall'!I41,Search("/",'Paste #BBall'!I41)-1))-search("(",Left('Paste #BBall'!I41,Search("/",'Paste #BBall'!I41)-1)))</f>
        <v>2.4</v>
      </c>
      <c r="J41" s="82">
        <f t="shared" si="2"/>
        <v>0.8571428571</v>
      </c>
      <c r="K41" s="82">
        <f>'Paste #BBall'!J41</f>
        <v>3.1</v>
      </c>
      <c r="L41" s="82">
        <f>'Paste #BBall'!K41</f>
        <v>21</v>
      </c>
      <c r="M41" s="82">
        <f>'Paste #BBall'!L41</f>
        <v>4.4</v>
      </c>
      <c r="N41" s="82">
        <f>'Paste #BBall'!M41</f>
        <v>4.6</v>
      </c>
      <c r="O41" s="82">
        <f>'Paste #BBall'!N41</f>
        <v>1.3</v>
      </c>
      <c r="P41" s="82">
        <f>'Paste #BBall'!O41</f>
        <v>0.3</v>
      </c>
      <c r="Q41" s="82">
        <f>'Paste #BBall'!P41</f>
        <v>1.3</v>
      </c>
      <c r="R41" s="81" t="str">
        <f>Left(Right('Paste #BBall'!H41,Len('Paste #BBall'!H41)-Search("/",'Paste #BBall'!H41)),Len(Right('Paste #BBall'!H41,Len('Paste #BBall'!H41)-Search("/",'Paste #BBall'!H41)))-1)</f>
        <v>17.5</v>
      </c>
      <c r="S41" s="81" t="str">
        <f>Left(Right('Paste #BBall'!I41,Len('Paste #BBall'!I41)-Search("/",'Paste #BBall'!I41)),Len(Right('Paste #BBall'!I41,Len('Paste #BBall'!I41)-Search("/",'Paste #BBall'!I41)))-1)</f>
        <v>2.8</v>
      </c>
      <c r="T41" s="37"/>
      <c r="U41" s="37"/>
      <c r="V41" s="37"/>
    </row>
    <row r="42">
      <c r="A42" s="2">
        <v>41.0</v>
      </c>
      <c r="B42" s="2" t="str">
        <f>'Paste #BBall'!C42</f>
        <v>Nikola Vucevic</v>
      </c>
      <c r="C42" s="2" t="str">
        <f>'Paste #BBall'!D42</f>
        <v>C</v>
      </c>
      <c r="D42" s="2" t="str">
        <f>'Paste #BBall'!E42</f>
        <v>CHI</v>
      </c>
      <c r="E42" s="2">
        <f>'Paste #BBall'!F42</f>
        <v>74</v>
      </c>
      <c r="F42" s="80">
        <f>'Paste #BBall'!G42</f>
        <v>31.7</v>
      </c>
      <c r="G42" s="81" t="str">
        <f>right(Left('Paste #BBall'!H42,Search("/",'Paste #BBall'!H42)-1),len(Left('Paste #BBall'!H42,Search("/",'Paste #BBall'!H42)-1))-search("(",Left('Paste #BBall'!H42,Search("/",'Paste #BBall'!H42)-1)))</f>
        <v>7.3</v>
      </c>
      <c r="H42" s="82">
        <f t="shared" si="1"/>
        <v>0.474025974</v>
      </c>
      <c r="I42" s="82" t="str">
        <f>right(Left('Paste #BBall'!I42,Search("/",'Paste #BBall'!I42)-1),len(Left('Paste #BBall'!I42,Search("/",'Paste #BBall'!I42)-1))-search("(",Left('Paste #BBall'!I42,Search("/",'Paste #BBall'!I42)-1)))</f>
        <v>1.3</v>
      </c>
      <c r="J42" s="82">
        <f t="shared" si="2"/>
        <v>0.7647058824</v>
      </c>
      <c r="K42" s="82">
        <f>'Paste #BBall'!J42</f>
        <v>1.4</v>
      </c>
      <c r="L42" s="82">
        <f>'Paste #BBall'!K42</f>
        <v>17.2</v>
      </c>
      <c r="M42" s="82">
        <f>'Paste #BBall'!L42</f>
        <v>10.6</v>
      </c>
      <c r="N42" s="82">
        <f>'Paste #BBall'!M42</f>
        <v>3.1</v>
      </c>
      <c r="O42" s="82">
        <f>'Paste #BBall'!N42</f>
        <v>1</v>
      </c>
      <c r="P42" s="82">
        <f>'Paste #BBall'!O42</f>
        <v>1</v>
      </c>
      <c r="Q42" s="82">
        <f>'Paste #BBall'!P42</f>
        <v>1.9</v>
      </c>
      <c r="R42" s="81" t="str">
        <f>Left(Right('Paste #BBall'!H42,Len('Paste #BBall'!H42)-Search("/",'Paste #BBall'!H42)),Len(Right('Paste #BBall'!H42,Len('Paste #BBall'!H42)-Search("/",'Paste #BBall'!H42)))-1)</f>
        <v>15.4</v>
      </c>
      <c r="S42" s="81" t="str">
        <f>Left(Right('Paste #BBall'!I42,Len('Paste #BBall'!I42)-Search("/",'Paste #BBall'!I42)),Len(Right('Paste #BBall'!I42,Len('Paste #BBall'!I42)-Search("/",'Paste #BBall'!I42)))-1)</f>
        <v>1.7</v>
      </c>
      <c r="T42" s="37"/>
      <c r="U42" s="37"/>
      <c r="V42" s="37"/>
    </row>
    <row r="43">
      <c r="A43" s="2">
        <v>42.0</v>
      </c>
      <c r="B43" s="2" t="str">
        <f>'Paste #BBall'!C43</f>
        <v>Desmond Bane</v>
      </c>
      <c r="C43" s="2" t="str">
        <f>'Paste #BBall'!D43</f>
        <v>SG</v>
      </c>
      <c r="D43" s="2" t="str">
        <f>'Paste #BBall'!E43</f>
        <v>MEM</v>
      </c>
      <c r="E43" s="2">
        <f>'Paste #BBall'!F43</f>
        <v>76</v>
      </c>
      <c r="F43" s="80">
        <f>'Paste #BBall'!G43</f>
        <v>30.1</v>
      </c>
      <c r="G43" s="81" t="str">
        <f>right(Left('Paste #BBall'!H43,Search("/",'Paste #BBall'!H43)-1),len(Left('Paste #BBall'!H43,Search("/",'Paste #BBall'!H43)-1))-search("(",Left('Paste #BBall'!H43,Search("/",'Paste #BBall'!H43)-1)))</f>
        <v>7.0</v>
      </c>
      <c r="H43" s="82">
        <f t="shared" si="1"/>
        <v>0.4605263158</v>
      </c>
      <c r="I43" s="82" t="str">
        <f>right(Left('Paste #BBall'!I43,Search("/",'Paste #BBall'!I43)-1),len(Left('Paste #BBall'!I43,Search("/",'Paste #BBall'!I43)-1))-search("(",Left('Paste #BBall'!I43,Search("/",'Paste #BBall'!I43)-1)))</f>
        <v>1.9</v>
      </c>
      <c r="J43" s="82">
        <f t="shared" si="2"/>
        <v>0.9047619048</v>
      </c>
      <c r="K43" s="82">
        <f>'Paste #BBall'!J43</f>
        <v>3.1</v>
      </c>
      <c r="L43" s="82">
        <f>'Paste #BBall'!K43</f>
        <v>19</v>
      </c>
      <c r="M43" s="82">
        <f>'Paste #BBall'!L43</f>
        <v>4.5</v>
      </c>
      <c r="N43" s="82">
        <f>'Paste #BBall'!M43</f>
        <v>2.8</v>
      </c>
      <c r="O43" s="82">
        <f>'Paste #BBall'!N43</f>
        <v>1.2</v>
      </c>
      <c r="P43" s="82">
        <f>'Paste #BBall'!O43</f>
        <v>0.4</v>
      </c>
      <c r="Q43" s="82">
        <f>'Paste #BBall'!P43</f>
        <v>1.6</v>
      </c>
      <c r="R43" s="81" t="str">
        <f>Left(Right('Paste #BBall'!H43,Len('Paste #BBall'!H43)-Search("/",'Paste #BBall'!H43)),Len(Right('Paste #BBall'!H43,Len('Paste #BBall'!H43)-Search("/",'Paste #BBall'!H43)))-1)</f>
        <v>15.2</v>
      </c>
      <c r="S43" s="81" t="str">
        <f>Left(Right('Paste #BBall'!I43,Len('Paste #BBall'!I43)-Search("/",'Paste #BBall'!I43)),Len(Right('Paste #BBall'!I43,Len('Paste #BBall'!I43)-Search("/",'Paste #BBall'!I43)))-1)</f>
        <v>2.1</v>
      </c>
      <c r="T43" s="37"/>
      <c r="U43" s="37"/>
      <c r="V43" s="37"/>
    </row>
    <row r="44">
      <c r="A44" s="2">
        <v>43.0</v>
      </c>
      <c r="B44" s="2" t="str">
        <f>'Paste #BBall'!C44</f>
        <v>Anthony Edwards</v>
      </c>
      <c r="C44" s="2" t="str">
        <f>'Paste #BBall'!D44</f>
        <v>SG/SF</v>
      </c>
      <c r="D44" s="2" t="str">
        <f>'Paste #BBall'!E44</f>
        <v>MIN</v>
      </c>
      <c r="E44" s="2">
        <f>'Paste #BBall'!F44</f>
        <v>72</v>
      </c>
      <c r="F44" s="80">
        <f>'Paste #BBall'!G44</f>
        <v>35.2</v>
      </c>
      <c r="G44" s="81" t="str">
        <f>right(Left('Paste #BBall'!H44,Search("/",'Paste #BBall'!H44)-1),len(Left('Paste #BBall'!H44,Search("/",'Paste #BBall'!H44)-1))-search("(",Left('Paste #BBall'!H44,Search("/",'Paste #BBall'!H44)-1)))</f>
        <v>8.0</v>
      </c>
      <c r="H44" s="82">
        <f t="shared" si="1"/>
        <v>0.4419889503</v>
      </c>
      <c r="I44" s="82" t="str">
        <f>right(Left('Paste #BBall'!I44,Search("/",'Paste #BBall'!I44)-1),len(Left('Paste #BBall'!I44,Search("/",'Paste #BBall'!I44)-1))-search("(",Left('Paste #BBall'!I44,Search("/",'Paste #BBall'!I44)-1)))</f>
        <v>3.2</v>
      </c>
      <c r="J44" s="82">
        <f t="shared" si="2"/>
        <v>0.7804878049</v>
      </c>
      <c r="K44" s="82">
        <f>'Paste #BBall'!J44</f>
        <v>3.1</v>
      </c>
      <c r="L44" s="82">
        <f>'Paste #BBall'!K44</f>
        <v>22.3</v>
      </c>
      <c r="M44" s="82">
        <f>'Paste #BBall'!L44</f>
        <v>4</v>
      </c>
      <c r="N44" s="82">
        <f>'Paste #BBall'!M44</f>
        <v>4</v>
      </c>
      <c r="O44" s="82">
        <f>'Paste #BBall'!N44</f>
        <v>1.4</v>
      </c>
      <c r="P44" s="82">
        <f>'Paste #BBall'!O44</f>
        <v>0.6</v>
      </c>
      <c r="Q44" s="82">
        <f>'Paste #BBall'!P44</f>
        <v>2.7</v>
      </c>
      <c r="R44" s="81" t="str">
        <f>Left(Right('Paste #BBall'!H44,Len('Paste #BBall'!H44)-Search("/",'Paste #BBall'!H44)),Len(Right('Paste #BBall'!H44,Len('Paste #BBall'!H44)-Search("/",'Paste #BBall'!H44)))-1)</f>
        <v>18.1</v>
      </c>
      <c r="S44" s="81" t="str">
        <f>Left(Right('Paste #BBall'!I44,Len('Paste #BBall'!I44)-Search("/",'Paste #BBall'!I44)),Len(Right('Paste #BBall'!I44,Len('Paste #BBall'!I44)-Search("/",'Paste #BBall'!I44)))-1)</f>
        <v>4.1</v>
      </c>
      <c r="T44" s="37"/>
      <c r="U44" s="37"/>
      <c r="V44" s="37"/>
    </row>
    <row r="45">
      <c r="A45" s="2">
        <v>44.0</v>
      </c>
      <c r="B45" s="2" t="str">
        <f>'Paste #BBall'!C45</f>
        <v>Cade Cunningham</v>
      </c>
      <c r="C45" s="2" t="str">
        <f>'Paste #BBall'!D45</f>
        <v>PG/SG</v>
      </c>
      <c r="D45" s="2" t="str">
        <f>'Paste #BBall'!E45</f>
        <v>DET</v>
      </c>
      <c r="E45" s="2">
        <f>'Paste #BBall'!F45</f>
        <v>72</v>
      </c>
      <c r="F45" s="80">
        <f>'Paste #BBall'!G45</f>
        <v>33.8</v>
      </c>
      <c r="G45" s="81" t="str">
        <f>right(Left('Paste #BBall'!H45,Search("/",'Paste #BBall'!H45)-1),len(Left('Paste #BBall'!H45,Search("/",'Paste #BBall'!H45)-1))-search("(",Left('Paste #BBall'!H45,Search("/",'Paste #BBall'!H45)-1)))</f>
        <v>7.7</v>
      </c>
      <c r="H45" s="82">
        <f t="shared" si="1"/>
        <v>0.4254143646</v>
      </c>
      <c r="I45" s="82" t="str">
        <f>right(Left('Paste #BBall'!I45,Search("/",'Paste #BBall'!I45)-1),len(Left('Paste #BBall'!I45,Search("/",'Paste #BBall'!I45)-1))-search("(",Left('Paste #BBall'!I45,Search("/",'Paste #BBall'!I45)-1)))</f>
        <v>2.5</v>
      </c>
      <c r="J45" s="82">
        <f t="shared" si="2"/>
        <v>0.8620689655</v>
      </c>
      <c r="K45" s="82">
        <f>'Paste #BBall'!J45</f>
        <v>2</v>
      </c>
      <c r="L45" s="82">
        <f>'Paste #BBall'!K45</f>
        <v>19.8</v>
      </c>
      <c r="M45" s="82">
        <f>'Paste #BBall'!L45</f>
        <v>6.2</v>
      </c>
      <c r="N45" s="82">
        <f>'Paste #BBall'!M45</f>
        <v>6.3</v>
      </c>
      <c r="O45" s="82">
        <f>'Paste #BBall'!N45</f>
        <v>1.2</v>
      </c>
      <c r="P45" s="82">
        <f>'Paste #BBall'!O45</f>
        <v>0.8</v>
      </c>
      <c r="Q45" s="82">
        <f>'Paste #BBall'!P45</f>
        <v>4.2</v>
      </c>
      <c r="R45" s="81" t="str">
        <f>Left(Right('Paste #BBall'!H45,Len('Paste #BBall'!H45)-Search("/",'Paste #BBall'!H45)),Len(Right('Paste #BBall'!H45,Len('Paste #BBall'!H45)-Search("/",'Paste #BBall'!H45)))-1)</f>
        <v>18.1</v>
      </c>
      <c r="S45" s="81" t="str">
        <f>Left(Right('Paste #BBall'!I45,Len('Paste #BBall'!I45)-Search("/",'Paste #BBall'!I45)),Len(Right('Paste #BBall'!I45,Len('Paste #BBall'!I45)-Search("/",'Paste #BBall'!I45)))-1)</f>
        <v>2.9</v>
      </c>
      <c r="T45" s="37"/>
      <c r="U45" s="37"/>
      <c r="V45" s="37"/>
    </row>
    <row r="46">
      <c r="A46" s="2">
        <v>45.0</v>
      </c>
      <c r="B46" s="2" t="str">
        <f>'Paste #BBall'!C46</f>
        <v>Dejounte Murray</v>
      </c>
      <c r="C46" s="2" t="str">
        <f>'Paste #BBall'!D46</f>
        <v>PG/SG</v>
      </c>
      <c r="D46" s="2" t="str">
        <f>'Paste #BBall'!E46</f>
        <v>ATL</v>
      </c>
      <c r="E46" s="2">
        <f>'Paste #BBall'!F46</f>
        <v>70</v>
      </c>
      <c r="F46" s="80">
        <f>'Paste #BBall'!G46</f>
        <v>33.8</v>
      </c>
      <c r="G46" s="81" t="str">
        <f>right(Left('Paste #BBall'!H46,Search("/",'Paste #BBall'!H46)-1),len(Left('Paste #BBall'!H46,Search("/",'Paste #BBall'!H46)-1))-search("(",Left('Paste #BBall'!H46,Search("/",'Paste #BBall'!H46)-1)))</f>
        <v>7.4</v>
      </c>
      <c r="H46" s="82">
        <f t="shared" si="1"/>
        <v>0.4625</v>
      </c>
      <c r="I46" s="82" t="str">
        <f>right(Left('Paste #BBall'!I46,Search("/",'Paste #BBall'!I46)-1),len(Left('Paste #BBall'!I46,Search("/",'Paste #BBall'!I46)-1))-search("(",Left('Paste #BBall'!I46,Search("/",'Paste #BBall'!I46)-1)))</f>
        <v>2.5</v>
      </c>
      <c r="J46" s="82">
        <f t="shared" si="2"/>
        <v>0.8333333333</v>
      </c>
      <c r="K46" s="82">
        <f>'Paste #BBall'!J46</f>
        <v>1.2</v>
      </c>
      <c r="L46" s="82">
        <f>'Paste #BBall'!K46</f>
        <v>18.4</v>
      </c>
      <c r="M46" s="82">
        <f>'Paste #BBall'!L46</f>
        <v>5.7</v>
      </c>
      <c r="N46" s="82">
        <f>'Paste #BBall'!M46</f>
        <v>5.6</v>
      </c>
      <c r="O46" s="82">
        <f>'Paste #BBall'!N46</f>
        <v>1.8</v>
      </c>
      <c r="P46" s="82">
        <f>'Paste #BBall'!O46</f>
        <v>0.3</v>
      </c>
      <c r="Q46" s="82">
        <f>'Paste #BBall'!P46</f>
        <v>2.3</v>
      </c>
      <c r="R46" s="81" t="str">
        <f>Left(Right('Paste #BBall'!H46,Len('Paste #BBall'!H46)-Search("/",'Paste #BBall'!H46)),Len(Right('Paste #BBall'!H46,Len('Paste #BBall'!H46)-Search("/",'Paste #BBall'!H46)))-1)</f>
        <v>16.0</v>
      </c>
      <c r="S46" s="81" t="str">
        <f>Left(Right('Paste #BBall'!I46,Len('Paste #BBall'!I46)-Search("/",'Paste #BBall'!I46)),Len(Right('Paste #BBall'!I46,Len('Paste #BBall'!I46)-Search("/",'Paste #BBall'!I46)))-1)</f>
        <v>3.0</v>
      </c>
      <c r="T46" s="37"/>
      <c r="U46" s="37"/>
      <c r="V46" s="37"/>
    </row>
    <row r="47">
      <c r="A47" s="2">
        <v>46.0</v>
      </c>
      <c r="B47" s="2" t="str">
        <f>'Paste #BBall'!C47</f>
        <v>Jaren Jackson Jr.</v>
      </c>
      <c r="C47" s="2" t="str">
        <f>'Paste #BBall'!D47</f>
        <v>PF/C</v>
      </c>
      <c r="D47" s="2" t="str">
        <f>'Paste #BBall'!E47</f>
        <v>MEM</v>
      </c>
      <c r="E47" s="2">
        <f>'Paste #BBall'!F47</f>
        <v>44</v>
      </c>
      <c r="F47" s="80">
        <f>'Paste #BBall'!G47</f>
        <v>27</v>
      </c>
      <c r="G47" s="81" t="str">
        <f>right(Left('Paste #BBall'!H47,Search("/",'Paste #BBall'!H47)-1),len(Left('Paste #BBall'!H47,Search("/",'Paste #BBall'!H47)-1))-search("(",Left('Paste #BBall'!H47,Search("/",'Paste #BBall'!H47)-1)))</f>
        <v>5.6</v>
      </c>
      <c r="H47" s="82">
        <f t="shared" si="1"/>
        <v>0.427480916</v>
      </c>
      <c r="I47" s="82" t="str">
        <f>right(Left('Paste #BBall'!I47,Search("/",'Paste #BBall'!I47)-1),len(Left('Paste #BBall'!I47,Search("/",'Paste #BBall'!I47)-1))-search("(",Left('Paste #BBall'!I47,Search("/",'Paste #BBall'!I47)-1)))</f>
        <v>3.6</v>
      </c>
      <c r="J47" s="82">
        <f t="shared" si="2"/>
        <v>0.8181818182</v>
      </c>
      <c r="K47" s="82">
        <f>'Paste #BBall'!J47</f>
        <v>1.6</v>
      </c>
      <c r="L47" s="82">
        <f>'Paste #BBall'!K47</f>
        <v>16.3</v>
      </c>
      <c r="M47" s="82">
        <f>'Paste #BBall'!L47</f>
        <v>5.9</v>
      </c>
      <c r="N47" s="82">
        <f>'Paste #BBall'!M47</f>
        <v>1.1</v>
      </c>
      <c r="O47" s="82">
        <f>'Paste #BBall'!N47</f>
        <v>0.9</v>
      </c>
      <c r="P47" s="82">
        <f>'Paste #BBall'!O47</f>
        <v>2.2</v>
      </c>
      <c r="Q47" s="82">
        <f>'Paste #BBall'!P47</f>
        <v>1.7</v>
      </c>
      <c r="R47" s="81" t="str">
        <f>Left(Right('Paste #BBall'!H47,Len('Paste #BBall'!H47)-Search("/",'Paste #BBall'!H47)),Len(Right('Paste #BBall'!H47,Len('Paste #BBall'!H47)-Search("/",'Paste #BBall'!H47)))-1)</f>
        <v>13.1</v>
      </c>
      <c r="S47" s="81" t="str">
        <f>Left(Right('Paste #BBall'!I47,Len('Paste #BBall'!I47)-Search("/",'Paste #BBall'!I47)),Len(Right('Paste #BBall'!I47,Len('Paste #BBall'!I47)-Search("/",'Paste #BBall'!I47)))-1)</f>
        <v>4.4</v>
      </c>
      <c r="T47" s="37"/>
      <c r="U47" s="37"/>
      <c r="V47" s="37"/>
    </row>
    <row r="48">
      <c r="A48" s="2">
        <v>47.0</v>
      </c>
      <c r="B48" s="2" t="str">
        <f>'Paste #BBall'!C48</f>
        <v>Jaylen Brown</v>
      </c>
      <c r="C48" s="2" t="str">
        <f>'Paste #BBall'!D48</f>
        <v>SG/SF</v>
      </c>
      <c r="D48" s="2" t="str">
        <f>'Paste #BBall'!E48</f>
        <v>BOS</v>
      </c>
      <c r="E48" s="2">
        <f>'Paste #BBall'!F48</f>
        <v>71</v>
      </c>
      <c r="F48" s="80">
        <f>'Paste #BBall'!G48</f>
        <v>34</v>
      </c>
      <c r="G48" s="81" t="str">
        <f>right(Left('Paste #BBall'!H48,Search("/",'Paste #BBall'!H48)-1),len(Left('Paste #BBall'!H48,Search("/",'Paste #BBall'!H48)-1))-search("(",Left('Paste #BBall'!H48,Search("/",'Paste #BBall'!H48)-1)))</f>
        <v>9.0</v>
      </c>
      <c r="H48" s="82">
        <f t="shared" si="1"/>
        <v>0.4761904762</v>
      </c>
      <c r="I48" s="82" t="str">
        <f>right(Left('Paste #BBall'!I48,Search("/",'Paste #BBall'!I48)-1),len(Left('Paste #BBall'!I48,Search("/",'Paste #BBall'!I48)-1))-search("(",Left('Paste #BBall'!I48,Search("/",'Paste #BBall'!I48)-1)))</f>
        <v>3.8</v>
      </c>
      <c r="J48" s="82">
        <f t="shared" si="2"/>
        <v>0.7755102041</v>
      </c>
      <c r="K48" s="82">
        <f>'Paste #BBall'!J48</f>
        <v>2.6</v>
      </c>
      <c r="L48" s="82">
        <f>'Paste #BBall'!K48</f>
        <v>24.3</v>
      </c>
      <c r="M48" s="82">
        <f>'Paste #BBall'!L48</f>
        <v>6.3</v>
      </c>
      <c r="N48" s="82">
        <f>'Paste #BBall'!M48</f>
        <v>3.6</v>
      </c>
      <c r="O48" s="82">
        <f>'Paste #BBall'!N48</f>
        <v>1.1</v>
      </c>
      <c r="P48" s="82">
        <f>'Paste #BBall'!O48</f>
        <v>0.3</v>
      </c>
      <c r="Q48" s="82">
        <f>'Paste #BBall'!P48</f>
        <v>2.8</v>
      </c>
      <c r="R48" s="81" t="str">
        <f>Left(Right('Paste #BBall'!H48,Len('Paste #BBall'!H48)-Search("/",'Paste #BBall'!H48)),Len(Right('Paste #BBall'!H48,Len('Paste #BBall'!H48)-Search("/",'Paste #BBall'!H48)))-1)</f>
        <v>18.9</v>
      </c>
      <c r="S48" s="81" t="str">
        <f>Left(Right('Paste #BBall'!I48,Len('Paste #BBall'!I48)-Search("/",'Paste #BBall'!I48)),Len(Right('Paste #BBall'!I48,Len('Paste #BBall'!I48)-Search("/",'Paste #BBall'!I48)))-1)</f>
        <v>4.9</v>
      </c>
      <c r="T48" s="37"/>
      <c r="U48" s="37"/>
      <c r="V48" s="37"/>
    </row>
    <row r="49">
      <c r="A49" s="2">
        <v>48.0</v>
      </c>
      <c r="B49" s="2" t="str">
        <f>'Paste #BBall'!C49</f>
        <v>Pascal Siakam</v>
      </c>
      <c r="C49" s="2" t="str">
        <f>'Paste #BBall'!D49</f>
        <v>PF/C</v>
      </c>
      <c r="D49" s="2" t="str">
        <f>'Paste #BBall'!E49</f>
        <v>TOR</v>
      </c>
      <c r="E49" s="2">
        <f>'Paste #BBall'!F49</f>
        <v>70</v>
      </c>
      <c r="F49" s="80">
        <f>'Paste #BBall'!G49</f>
        <v>37.2</v>
      </c>
      <c r="G49" s="81" t="str">
        <f>right(Left('Paste #BBall'!H49,Search("/",'Paste #BBall'!H49)-1),len(Left('Paste #BBall'!H49,Search("/",'Paste #BBall'!H49)-1))-search("(",Left('Paste #BBall'!H49,Search("/",'Paste #BBall'!H49)-1)))</f>
        <v>8.4</v>
      </c>
      <c r="H49" s="82">
        <f t="shared" si="1"/>
        <v>0.4772727273</v>
      </c>
      <c r="I49" s="82" t="str">
        <f>right(Left('Paste #BBall'!I49,Search("/",'Paste #BBall'!I49)-1),len(Left('Paste #BBall'!I49,Search("/",'Paste #BBall'!I49)-1))-search("(",Left('Paste #BBall'!I49,Search("/",'Paste #BBall'!I49)-1)))</f>
        <v>4.2</v>
      </c>
      <c r="J49" s="82">
        <f t="shared" si="2"/>
        <v>0.75</v>
      </c>
      <c r="K49" s="82">
        <f>'Paste #BBall'!J49</f>
        <v>1.1</v>
      </c>
      <c r="L49" s="82">
        <f>'Paste #BBall'!K49</f>
        <v>22</v>
      </c>
      <c r="M49" s="82">
        <f>'Paste #BBall'!L49</f>
        <v>8.3</v>
      </c>
      <c r="N49" s="82">
        <f>'Paste #BBall'!M49</f>
        <v>5</v>
      </c>
      <c r="O49" s="82">
        <f>'Paste #BBall'!N49</f>
        <v>1.2</v>
      </c>
      <c r="P49" s="82">
        <f>'Paste #BBall'!O49</f>
        <v>0.6</v>
      </c>
      <c r="Q49" s="82">
        <f>'Paste #BBall'!P49</f>
        <v>2.7</v>
      </c>
      <c r="R49" s="81" t="str">
        <f>Left(Right('Paste #BBall'!H49,Len('Paste #BBall'!H49)-Search("/",'Paste #BBall'!H49)),Len(Right('Paste #BBall'!H49,Len('Paste #BBall'!H49)-Search("/",'Paste #BBall'!H49)))-1)</f>
        <v>17.6</v>
      </c>
      <c r="S49" s="81" t="str">
        <f>Left(Right('Paste #BBall'!I49,Len('Paste #BBall'!I49)-Search("/",'Paste #BBall'!I49)),Len(Right('Paste #BBall'!I49,Len('Paste #BBall'!I49)-Search("/",'Paste #BBall'!I49)))-1)</f>
        <v>5.6</v>
      </c>
      <c r="T49" s="37"/>
      <c r="U49" s="37"/>
      <c r="V49" s="37"/>
    </row>
    <row r="50">
      <c r="A50" s="2">
        <v>49.0</v>
      </c>
      <c r="B50" s="2" t="str">
        <f>'Paste #BBall'!C50</f>
        <v>Jonas Valanciunas</v>
      </c>
      <c r="C50" s="2" t="str">
        <f>'Paste #BBall'!D50</f>
        <v>C</v>
      </c>
      <c r="D50" s="2" t="str">
        <f>'Paste #BBall'!E50</f>
        <v>NOP</v>
      </c>
      <c r="E50" s="2">
        <f>'Paste #BBall'!F50</f>
        <v>74</v>
      </c>
      <c r="F50" s="80">
        <f>'Paste #BBall'!G50</f>
        <v>30</v>
      </c>
      <c r="G50" s="81" t="str">
        <f>right(Left('Paste #BBall'!H50,Search("/",'Paste #BBall'!H50)-1),len(Left('Paste #BBall'!H50,Search("/",'Paste #BBall'!H50)-1))-search("(",Left('Paste #BBall'!H50,Search("/",'Paste #BBall'!H50)-1)))</f>
        <v>6.5</v>
      </c>
      <c r="H50" s="82">
        <f t="shared" si="1"/>
        <v>0.5416666667</v>
      </c>
      <c r="I50" s="82" t="str">
        <f>right(Left('Paste #BBall'!I50,Search("/",'Paste #BBall'!I50)-1),len(Left('Paste #BBall'!I50,Search("/",'Paste #BBall'!I50)-1))-search("(",Left('Paste #BBall'!I50,Search("/",'Paste #BBall'!I50)-1)))</f>
        <v>3.0</v>
      </c>
      <c r="J50" s="82">
        <f t="shared" si="2"/>
        <v>0.8108108108</v>
      </c>
      <c r="K50" s="82">
        <f>'Paste #BBall'!J50</f>
        <v>0.8</v>
      </c>
      <c r="L50" s="82">
        <f>'Paste #BBall'!K50</f>
        <v>16.8</v>
      </c>
      <c r="M50" s="82">
        <f>'Paste #BBall'!L50</f>
        <v>10.7</v>
      </c>
      <c r="N50" s="82">
        <f>'Paste #BBall'!M50</f>
        <v>1.7</v>
      </c>
      <c r="O50" s="82">
        <f>'Paste #BBall'!N50</f>
        <v>0.6</v>
      </c>
      <c r="P50" s="82">
        <f>'Paste #BBall'!O50</f>
        <v>0.8</v>
      </c>
      <c r="Q50" s="82">
        <f>'Paste #BBall'!P50</f>
        <v>2.3</v>
      </c>
      <c r="R50" s="81" t="str">
        <f>Left(Right('Paste #BBall'!H50,Len('Paste #BBall'!H50)-Search("/",'Paste #BBall'!H50)),Len(Right('Paste #BBall'!H50,Len('Paste #BBall'!H50)-Search("/",'Paste #BBall'!H50)))-1)</f>
        <v>12.0</v>
      </c>
      <c r="S50" s="81" t="str">
        <f>Left(Right('Paste #BBall'!I50,Len('Paste #BBall'!I50)-Search("/",'Paste #BBall'!I50)),Len(Right('Paste #BBall'!I50,Len('Paste #BBall'!I50)-Search("/",'Paste #BBall'!I50)))-1)</f>
        <v>3.7</v>
      </c>
      <c r="T50" s="37"/>
      <c r="U50" s="37"/>
      <c r="V50" s="37"/>
    </row>
    <row r="51">
      <c r="A51" s="2">
        <v>50.0</v>
      </c>
      <c r="B51" s="2" t="str">
        <f>'Paste #BBall'!C51</f>
        <v>Kyle Lowry</v>
      </c>
      <c r="C51" s="2" t="str">
        <f>'Paste #BBall'!D51</f>
        <v>PG</v>
      </c>
      <c r="D51" s="2" t="str">
        <f>'Paste #BBall'!E51</f>
        <v>MIA</v>
      </c>
      <c r="E51" s="2">
        <f>'Paste #BBall'!F51</f>
        <v>65</v>
      </c>
      <c r="F51" s="80">
        <f>'Paste #BBall'!G51</f>
        <v>34.2</v>
      </c>
      <c r="G51" s="81" t="str">
        <f>right(Left('Paste #BBall'!H51,Search("/",'Paste #BBall'!H51)-1),len(Left('Paste #BBall'!H51,Search("/",'Paste #BBall'!H51)-1))-search("(",Left('Paste #BBall'!H51,Search("/",'Paste #BBall'!H51)-1)))</f>
        <v>5.0</v>
      </c>
      <c r="H51" s="82">
        <f t="shared" si="1"/>
        <v>0.4424778761</v>
      </c>
      <c r="I51" s="82" t="str">
        <f>right(Left('Paste #BBall'!I51,Search("/",'Paste #BBall'!I51)-1),len(Left('Paste #BBall'!I51,Search("/",'Paste #BBall'!I51)-1))-search("(",Left('Paste #BBall'!I51,Search("/",'Paste #BBall'!I51)-1)))</f>
        <v>2.5</v>
      </c>
      <c r="J51" s="82">
        <f t="shared" si="2"/>
        <v>0.8620689655</v>
      </c>
      <c r="K51" s="82">
        <f>'Paste #BBall'!J51</f>
        <v>2.4</v>
      </c>
      <c r="L51" s="82">
        <f>'Paste #BBall'!K51</f>
        <v>14.8</v>
      </c>
      <c r="M51" s="82">
        <f>'Paste #BBall'!L51</f>
        <v>4.6</v>
      </c>
      <c r="N51" s="82">
        <f>'Paste #BBall'!M51</f>
        <v>7.3</v>
      </c>
      <c r="O51" s="82">
        <f>'Paste #BBall'!N51</f>
        <v>1.1</v>
      </c>
      <c r="P51" s="82">
        <f>'Paste #BBall'!O51</f>
        <v>0.3</v>
      </c>
      <c r="Q51" s="82">
        <f>'Paste #BBall'!P51</f>
        <v>2.8</v>
      </c>
      <c r="R51" s="81" t="str">
        <f>Left(Right('Paste #BBall'!H51,Len('Paste #BBall'!H51)-Search("/",'Paste #BBall'!H51)),Len(Right('Paste #BBall'!H51,Len('Paste #BBall'!H51)-Search("/",'Paste #BBall'!H51)))-1)</f>
        <v>11.3</v>
      </c>
      <c r="S51" s="81" t="str">
        <f>Left(Right('Paste #BBall'!I51,Len('Paste #BBall'!I51)-Search("/",'Paste #BBall'!I51)),Len(Right('Paste #BBall'!I51,Len('Paste #BBall'!I51)-Search("/",'Paste #BBall'!I51)))-1)</f>
        <v>2.9</v>
      </c>
      <c r="T51" s="37"/>
      <c r="U51" s="37"/>
      <c r="V51" s="37"/>
    </row>
    <row r="52">
      <c r="A52" s="2">
        <v>51.0</v>
      </c>
      <c r="B52" s="2" t="str">
        <f>'Paste #BBall'!C52</f>
        <v>Evan Mobley</v>
      </c>
      <c r="C52" s="2" t="str">
        <f>'Paste #BBall'!D52</f>
        <v>PF/C</v>
      </c>
      <c r="D52" s="2" t="str">
        <f>'Paste #BBall'!E52</f>
        <v>CLE</v>
      </c>
      <c r="E52" s="2">
        <f>'Paste #BBall'!F52</f>
        <v>74</v>
      </c>
      <c r="F52" s="80">
        <f>'Paste #BBall'!G52</f>
        <v>34.8</v>
      </c>
      <c r="G52" s="81" t="str">
        <f>right(Left('Paste #BBall'!H52,Search("/",'Paste #BBall'!H52)-1),len(Left('Paste #BBall'!H52,Search("/",'Paste #BBall'!H52)-1))-search("(",Left('Paste #BBall'!H52,Search("/",'Paste #BBall'!H52)-1)))</f>
        <v>6.6</v>
      </c>
      <c r="H52" s="82">
        <f t="shared" si="1"/>
        <v>0.5076923077</v>
      </c>
      <c r="I52" s="82" t="str">
        <f>right(Left('Paste #BBall'!I52,Search("/",'Paste #BBall'!I52)-1),len(Left('Paste #BBall'!I52,Search("/",'Paste #BBall'!I52)-1))-search("(",Left('Paste #BBall'!I52,Search("/",'Paste #BBall'!I52)-1)))</f>
        <v>2.7</v>
      </c>
      <c r="J52" s="82">
        <f t="shared" si="2"/>
        <v>0.6923076923</v>
      </c>
      <c r="K52" s="82">
        <f>'Paste #BBall'!J52</f>
        <v>0.4</v>
      </c>
      <c r="L52" s="82">
        <f>'Paste #BBall'!K52</f>
        <v>16.3</v>
      </c>
      <c r="M52" s="82">
        <f>'Paste #BBall'!L52</f>
        <v>8.9</v>
      </c>
      <c r="N52" s="82">
        <f>'Paste #BBall'!M52</f>
        <v>2.7</v>
      </c>
      <c r="O52" s="82">
        <f>'Paste #BBall'!N52</f>
        <v>0.8</v>
      </c>
      <c r="P52" s="82">
        <f>'Paste #BBall'!O52</f>
        <v>1.9</v>
      </c>
      <c r="Q52" s="82">
        <f>'Paste #BBall'!P52</f>
        <v>2</v>
      </c>
      <c r="R52" s="81" t="str">
        <f>Left(Right('Paste #BBall'!H52,Len('Paste #BBall'!H52)-Search("/",'Paste #BBall'!H52)),Len(Right('Paste #BBall'!H52,Len('Paste #BBall'!H52)-Search("/",'Paste #BBall'!H52)))-1)</f>
        <v>13.0</v>
      </c>
      <c r="S52" s="81" t="str">
        <f>Left(Right('Paste #BBall'!I52,Len('Paste #BBall'!I52)-Search("/",'Paste #BBall'!I52)),Len(Right('Paste #BBall'!I52,Len('Paste #BBall'!I52)-Search("/",'Paste #BBall'!I52)))-1)</f>
        <v>3.9</v>
      </c>
      <c r="T52" s="37"/>
      <c r="U52" s="37"/>
      <c r="V52" s="37"/>
    </row>
    <row r="53">
      <c r="A53" s="2">
        <v>52.0</v>
      </c>
      <c r="B53" s="2" t="str">
        <f>'Paste #BBall'!C53</f>
        <v>Jordan Poole</v>
      </c>
      <c r="C53" s="2" t="str">
        <f>'Paste #BBall'!D53</f>
        <v>PG/SF</v>
      </c>
      <c r="D53" s="2" t="str">
        <f>'Paste #BBall'!E53</f>
        <v>GSW</v>
      </c>
      <c r="E53" s="2">
        <f>'Paste #BBall'!F53</f>
        <v>77</v>
      </c>
      <c r="F53" s="80">
        <f>'Paste #BBall'!G53</f>
        <v>30.1</v>
      </c>
      <c r="G53" s="81" t="str">
        <f>right(Left('Paste #BBall'!H53,Search("/",'Paste #BBall'!H53)-1),len(Left('Paste #BBall'!H53,Search("/",'Paste #BBall'!H53)-1))-search("(",Left('Paste #BBall'!H53,Search("/",'Paste #BBall'!H53)-1)))</f>
        <v>6.5</v>
      </c>
      <c r="H53" s="82">
        <f t="shared" si="1"/>
        <v>0.4482758621</v>
      </c>
      <c r="I53" s="82" t="str">
        <f>right(Left('Paste #BBall'!I53,Search("/",'Paste #BBall'!I53)-1),len(Left('Paste #BBall'!I53,Search("/",'Paste #BBall'!I53)-1))-search("(",Left('Paste #BBall'!I53,Search("/",'Paste #BBall'!I53)-1)))</f>
        <v>3.3</v>
      </c>
      <c r="J53" s="82">
        <f t="shared" si="2"/>
        <v>0.9166666667</v>
      </c>
      <c r="K53" s="82">
        <f>'Paste #BBall'!J53</f>
        <v>2.9</v>
      </c>
      <c r="L53" s="82">
        <f>'Paste #BBall'!K53</f>
        <v>19.1</v>
      </c>
      <c r="M53" s="82">
        <f>'Paste #BBall'!L53</f>
        <v>3.5</v>
      </c>
      <c r="N53" s="82">
        <f>'Paste #BBall'!M53</f>
        <v>4.1</v>
      </c>
      <c r="O53" s="82">
        <f>'Paste #BBall'!N53</f>
        <v>0.8</v>
      </c>
      <c r="P53" s="82">
        <f>'Paste #BBall'!O53</f>
        <v>0.3</v>
      </c>
      <c r="Q53" s="82">
        <f>'Paste #BBall'!P53</f>
        <v>2.6</v>
      </c>
      <c r="R53" s="81" t="str">
        <f>Left(Right('Paste #BBall'!H53,Len('Paste #BBall'!H53)-Search("/",'Paste #BBall'!H53)),Len(Right('Paste #BBall'!H53,Len('Paste #BBall'!H53)-Search("/",'Paste #BBall'!H53)))-1)</f>
        <v>14.5</v>
      </c>
      <c r="S53" s="81" t="str">
        <f>Left(Right('Paste #BBall'!I53,Len('Paste #BBall'!I53)-Search("/",'Paste #BBall'!I53)),Len(Right('Paste #BBall'!I53,Len('Paste #BBall'!I53)-Search("/",'Paste #BBall'!I53)))-1)</f>
        <v>3.6</v>
      </c>
      <c r="T53" s="37"/>
      <c r="U53" s="37"/>
      <c r="V53" s="37"/>
    </row>
    <row r="54">
      <c r="A54" s="2">
        <v>53.0</v>
      </c>
      <c r="B54" s="2" t="str">
        <f>'Paste #BBall'!C54</f>
        <v>John Collins</v>
      </c>
      <c r="C54" s="2" t="str">
        <f>'Paste #BBall'!D54</f>
        <v>PF/C</v>
      </c>
      <c r="D54" s="2" t="str">
        <f>'Paste #BBall'!E54</f>
        <v>ATL</v>
      </c>
      <c r="E54" s="2">
        <f>'Paste #BBall'!F54</f>
        <v>72</v>
      </c>
      <c r="F54" s="80">
        <f>'Paste #BBall'!G54</f>
        <v>30.8</v>
      </c>
      <c r="G54" s="81" t="str">
        <f>right(Left('Paste #BBall'!H54,Search("/",'Paste #BBall'!H54)-1),len(Left('Paste #BBall'!H54,Search("/",'Paste #BBall'!H54)-1))-search("(",Left('Paste #BBall'!H54,Search("/",'Paste #BBall'!H54)-1)))</f>
        <v>6.2</v>
      </c>
      <c r="H54" s="82">
        <f t="shared" si="1"/>
        <v>0.5166666667</v>
      </c>
      <c r="I54" s="82" t="str">
        <f>right(Left('Paste #BBall'!I54,Search("/",'Paste #BBall'!I54)-1),len(Left('Paste #BBall'!I54,Search("/",'Paste #BBall'!I54)-1))-search("(",Left('Paste #BBall'!I54,Search("/",'Paste #BBall'!I54)-1)))</f>
        <v>2.6</v>
      </c>
      <c r="J54" s="82">
        <f t="shared" si="2"/>
        <v>0.8125</v>
      </c>
      <c r="K54" s="82">
        <f>'Paste #BBall'!J54</f>
        <v>1.2</v>
      </c>
      <c r="L54" s="82">
        <f>'Paste #BBall'!K54</f>
        <v>16.3</v>
      </c>
      <c r="M54" s="82">
        <f>'Paste #BBall'!L54</f>
        <v>8</v>
      </c>
      <c r="N54" s="82">
        <f>'Paste #BBall'!M54</f>
        <v>1.8</v>
      </c>
      <c r="O54" s="82">
        <f>'Paste #BBall'!N54</f>
        <v>0.6</v>
      </c>
      <c r="P54" s="82">
        <f>'Paste #BBall'!O54</f>
        <v>1</v>
      </c>
      <c r="Q54" s="82">
        <f>'Paste #BBall'!P54</f>
        <v>1.1</v>
      </c>
      <c r="R54" s="81" t="str">
        <f>Left(Right('Paste #BBall'!H54,Len('Paste #BBall'!H54)-Search("/",'Paste #BBall'!H54)),Len(Right('Paste #BBall'!H54,Len('Paste #BBall'!H54)-Search("/",'Paste #BBall'!H54)))-1)</f>
        <v>12.0</v>
      </c>
      <c r="S54" s="81" t="str">
        <f>Left(Right('Paste #BBall'!I54,Len('Paste #BBall'!I54)-Search("/",'Paste #BBall'!I54)),Len(Right('Paste #BBall'!I54,Len('Paste #BBall'!I54)-Search("/",'Paste #BBall'!I54)))-1)</f>
        <v>3.2</v>
      </c>
      <c r="T54" s="37"/>
      <c r="U54" s="37"/>
      <c r="V54" s="37"/>
    </row>
    <row r="55">
      <c r="A55" s="2">
        <v>54.0</v>
      </c>
      <c r="B55" s="2" t="str">
        <f>'Paste #BBall'!C55</f>
        <v>De'Aaron Fox</v>
      </c>
      <c r="C55" s="2" t="str">
        <f>'Paste #BBall'!D55</f>
        <v>PG</v>
      </c>
      <c r="D55" s="2" t="str">
        <f>'Paste #BBall'!E55</f>
        <v>SAC</v>
      </c>
      <c r="E55" s="2">
        <f>'Paste #BBall'!F55</f>
        <v>67</v>
      </c>
      <c r="F55" s="80">
        <f>'Paste #BBall'!G55</f>
        <v>35.4</v>
      </c>
      <c r="G55" s="81" t="str">
        <f>right(Left('Paste #BBall'!H55,Search("/",'Paste #BBall'!H55)-1),len(Left('Paste #BBall'!H55,Search("/",'Paste #BBall'!H55)-1))-search("(",Left('Paste #BBall'!H55,Search("/",'Paste #BBall'!H55)-1)))</f>
        <v>9.0</v>
      </c>
      <c r="H55" s="82">
        <f t="shared" si="1"/>
        <v>0.4761904762</v>
      </c>
      <c r="I55" s="82" t="str">
        <f>right(Left('Paste #BBall'!I55,Search("/",'Paste #BBall'!I55)-1),len(Left('Paste #BBall'!I55,Search("/",'Paste #BBall'!I55)-1))-search("(",Left('Paste #BBall'!I55,Search("/",'Paste #BBall'!I55)-1)))</f>
        <v>4.5</v>
      </c>
      <c r="J55" s="82">
        <f t="shared" si="2"/>
        <v>0.75</v>
      </c>
      <c r="K55" s="82">
        <f>'Paste #BBall'!J55</f>
        <v>1.5</v>
      </c>
      <c r="L55" s="82">
        <f>'Paste #BBall'!K55</f>
        <v>24</v>
      </c>
      <c r="M55" s="82">
        <f>'Paste #BBall'!L55</f>
        <v>4</v>
      </c>
      <c r="N55" s="82">
        <f>'Paste #BBall'!M55</f>
        <v>6.5</v>
      </c>
      <c r="O55" s="82">
        <f>'Paste #BBall'!N55</f>
        <v>1.2</v>
      </c>
      <c r="P55" s="82">
        <f>'Paste #BBall'!O55</f>
        <v>0.4</v>
      </c>
      <c r="Q55" s="82">
        <f>'Paste #BBall'!P55</f>
        <v>2.9</v>
      </c>
      <c r="R55" s="81" t="str">
        <f>Left(Right('Paste #BBall'!H55,Len('Paste #BBall'!H55)-Search("/",'Paste #BBall'!H55)),Len(Right('Paste #BBall'!H55,Len('Paste #BBall'!H55)-Search("/",'Paste #BBall'!H55)))-1)</f>
        <v>18.9</v>
      </c>
      <c r="S55" s="81" t="str">
        <f>Left(Right('Paste #BBall'!I55,Len('Paste #BBall'!I55)-Search("/",'Paste #BBall'!I55)),Len(Right('Paste #BBall'!I55,Len('Paste #BBall'!I55)-Search("/",'Paste #BBall'!I55)))-1)</f>
        <v>6.0</v>
      </c>
      <c r="T55" s="37"/>
      <c r="U55" s="37"/>
      <c r="V55" s="37"/>
    </row>
    <row r="56">
      <c r="A56" s="2">
        <v>55.0</v>
      </c>
      <c r="B56" s="2" t="str">
        <f>'Paste #BBall'!C56</f>
        <v>Scottie Barnes</v>
      </c>
      <c r="C56" s="2" t="str">
        <f>'Paste #BBall'!D56</f>
        <v>SF/PF</v>
      </c>
      <c r="D56" s="2" t="str">
        <f>'Paste #BBall'!E56</f>
        <v>TOR</v>
      </c>
      <c r="E56" s="2">
        <f>'Paste #BBall'!F56</f>
        <v>74</v>
      </c>
      <c r="F56" s="80">
        <f>'Paste #BBall'!G56</f>
        <v>35.4</v>
      </c>
      <c r="G56" s="81" t="str">
        <f>right(Left('Paste #BBall'!H56,Search("/",'Paste #BBall'!H56)-1),len(Left('Paste #BBall'!H56,Search("/",'Paste #BBall'!H56)-1))-search("(",Left('Paste #BBall'!H56,Search("/",'Paste #BBall'!H56)-1)))</f>
        <v>6.8</v>
      </c>
      <c r="H56" s="82">
        <f t="shared" si="1"/>
        <v>0.4927536232</v>
      </c>
      <c r="I56" s="82" t="str">
        <f>right(Left('Paste #BBall'!I56,Search("/",'Paste #BBall'!I56)-1),len(Left('Paste #BBall'!I56,Search("/",'Paste #BBall'!I56)-1))-search("(",Left('Paste #BBall'!I56,Search("/",'Paste #BBall'!I56)-1)))</f>
        <v>2.2</v>
      </c>
      <c r="J56" s="82">
        <f t="shared" si="2"/>
        <v>0.7333333333</v>
      </c>
      <c r="K56" s="82">
        <f>'Paste #BBall'!J56</f>
        <v>1</v>
      </c>
      <c r="L56" s="82">
        <f>'Paste #BBall'!K56</f>
        <v>16.8</v>
      </c>
      <c r="M56" s="82">
        <f>'Paste #BBall'!L56</f>
        <v>7.7</v>
      </c>
      <c r="N56" s="82">
        <f>'Paste #BBall'!M56</f>
        <v>3.6</v>
      </c>
      <c r="O56" s="82">
        <f>'Paste #BBall'!N56</f>
        <v>1.1</v>
      </c>
      <c r="P56" s="82">
        <f>'Paste #BBall'!O56</f>
        <v>0.7</v>
      </c>
      <c r="Q56" s="82">
        <f>'Paste #BBall'!P56</f>
        <v>1.8</v>
      </c>
      <c r="R56" s="81" t="str">
        <f>Left(Right('Paste #BBall'!H56,Len('Paste #BBall'!H56)-Search("/",'Paste #BBall'!H56)),Len(Right('Paste #BBall'!H56,Len('Paste #BBall'!H56)-Search("/",'Paste #BBall'!H56)))-1)</f>
        <v>13.8</v>
      </c>
      <c r="S56" s="81" t="str">
        <f>Left(Right('Paste #BBall'!I56,Len('Paste #BBall'!I56)-Search("/",'Paste #BBall'!I56)),Len(Right('Paste #BBall'!I56,Len('Paste #BBall'!I56)-Search("/",'Paste #BBall'!I56)))-1)</f>
        <v>3.0</v>
      </c>
      <c r="T56" s="37"/>
      <c r="U56" s="37"/>
      <c r="V56" s="37"/>
    </row>
    <row r="57">
      <c r="A57" s="2">
        <v>56.0</v>
      </c>
      <c r="B57" s="2" t="str">
        <f>'Paste #BBall'!C57</f>
        <v>Mikal Bridges</v>
      </c>
      <c r="C57" s="2" t="str">
        <f>'Paste #BBall'!D57</f>
        <v>SF</v>
      </c>
      <c r="D57" s="2" t="str">
        <f>'Paste #BBall'!E57</f>
        <v>PHX</v>
      </c>
      <c r="E57" s="2">
        <f>'Paste #BBall'!F57</f>
        <v>80</v>
      </c>
      <c r="F57" s="80">
        <f>'Paste #BBall'!G57</f>
        <v>34.9</v>
      </c>
      <c r="G57" s="81" t="str">
        <f>right(Left('Paste #BBall'!H57,Search("/",'Paste #BBall'!H57)-1),len(Left('Paste #BBall'!H57,Search("/",'Paste #BBall'!H57)-1))-search("(",Left('Paste #BBall'!H57,Search("/",'Paste #BBall'!H57)-1)))</f>
        <v>6.1</v>
      </c>
      <c r="H57" s="82">
        <f t="shared" si="1"/>
        <v>0.5350877193</v>
      </c>
      <c r="I57" s="82" t="str">
        <f>right(Left('Paste #BBall'!I57,Search("/",'Paste #BBall'!I57)-1),len(Left('Paste #BBall'!I57,Search("/",'Paste #BBall'!I57)-1))-search("(",Left('Paste #BBall'!I57,Search("/",'Paste #BBall'!I57)-1)))</f>
        <v>1.9</v>
      </c>
      <c r="J57" s="82">
        <f t="shared" si="2"/>
        <v>0.8636363636</v>
      </c>
      <c r="K57" s="82">
        <f>'Paste #BBall'!J57</f>
        <v>1.4</v>
      </c>
      <c r="L57" s="82">
        <f>'Paste #BBall'!K57</f>
        <v>15.4</v>
      </c>
      <c r="M57" s="82">
        <f>'Paste #BBall'!L57</f>
        <v>4.3</v>
      </c>
      <c r="N57" s="82">
        <f>'Paste #BBall'!M57</f>
        <v>2.4</v>
      </c>
      <c r="O57" s="82">
        <f>'Paste #BBall'!N57</f>
        <v>1.2</v>
      </c>
      <c r="P57" s="82">
        <f>'Paste #BBall'!O57</f>
        <v>0.4</v>
      </c>
      <c r="Q57" s="82">
        <f>'Paste #BBall'!P57</f>
        <v>0.8</v>
      </c>
      <c r="R57" s="81" t="str">
        <f>Left(Right('Paste #BBall'!H57,Len('Paste #BBall'!H57)-Search("/",'Paste #BBall'!H57)),Len(Right('Paste #BBall'!H57,Len('Paste #BBall'!H57)-Search("/",'Paste #BBall'!H57)))-1)</f>
        <v>11.4</v>
      </c>
      <c r="S57" s="81" t="str">
        <f>Left(Right('Paste #BBall'!I57,Len('Paste #BBall'!I57)-Search("/",'Paste #BBall'!I57)),Len(Right('Paste #BBall'!I57,Len('Paste #BBall'!I57)-Search("/",'Paste #BBall'!I57)))-1)</f>
        <v>2.2</v>
      </c>
      <c r="T57" s="37"/>
      <c r="U57" s="37"/>
      <c r="V57" s="37"/>
    </row>
    <row r="58">
      <c r="A58" s="2">
        <v>57.0</v>
      </c>
      <c r="B58" s="2" t="str">
        <f>'Paste #BBall'!C58</f>
        <v>CJ McCollum</v>
      </c>
      <c r="C58" s="2" t="str">
        <f>'Paste #BBall'!D58</f>
        <v>SG</v>
      </c>
      <c r="D58" s="2" t="str">
        <f>'Paste #BBall'!E58</f>
        <v>NOP</v>
      </c>
      <c r="E58" s="2">
        <f>'Paste #BBall'!F58</f>
        <v>69</v>
      </c>
      <c r="F58" s="80">
        <f>'Paste #BBall'!G58</f>
        <v>34.7</v>
      </c>
      <c r="G58" s="81" t="str">
        <f>right(Left('Paste #BBall'!H58,Search("/",'Paste #BBall'!H58)-1),len(Left('Paste #BBall'!H58,Search("/",'Paste #BBall'!H58)-1))-search("(",Left('Paste #BBall'!H58,Search("/",'Paste #BBall'!H58)-1)))</f>
        <v>8.9</v>
      </c>
      <c r="H58" s="82">
        <f t="shared" si="1"/>
        <v>0.4635416667</v>
      </c>
      <c r="I58" s="82" t="str">
        <f>right(Left('Paste #BBall'!I58,Search("/",'Paste #BBall'!I58)-1),len(Left('Paste #BBall'!I58,Search("/",'Paste #BBall'!I58)-1))-search("(",Left('Paste #BBall'!I58,Search("/",'Paste #BBall'!I58)-1)))</f>
        <v>1.9</v>
      </c>
      <c r="J58" s="82">
        <f t="shared" si="2"/>
        <v>0.6785714286</v>
      </c>
      <c r="K58" s="82">
        <f>'Paste #BBall'!J58</f>
        <v>3</v>
      </c>
      <c r="L58" s="82">
        <f>'Paste #BBall'!K58</f>
        <v>22.6</v>
      </c>
      <c r="M58" s="82">
        <f>'Paste #BBall'!L58</f>
        <v>4.5</v>
      </c>
      <c r="N58" s="82">
        <f>'Paste #BBall'!M58</f>
        <v>4.2</v>
      </c>
      <c r="O58" s="82">
        <f>'Paste #BBall'!N58</f>
        <v>1.1</v>
      </c>
      <c r="P58" s="82">
        <f>'Paste #BBall'!O58</f>
        <v>0.4</v>
      </c>
      <c r="Q58" s="82">
        <f>'Paste #BBall'!P58</f>
        <v>2</v>
      </c>
      <c r="R58" s="81" t="str">
        <f>Left(Right('Paste #BBall'!H58,Len('Paste #BBall'!H58)-Search("/",'Paste #BBall'!H58)),Len(Right('Paste #BBall'!H58,Len('Paste #BBall'!H58)-Search("/",'Paste #BBall'!H58)))-1)</f>
        <v>19.2</v>
      </c>
      <c r="S58" s="81" t="str">
        <f>Left(Right('Paste #BBall'!I58,Len('Paste #BBall'!I58)-Search("/",'Paste #BBall'!I58)),Len(Right('Paste #BBall'!I58,Len('Paste #BBall'!I58)-Search("/",'Paste #BBall'!I58)))-1)</f>
        <v>2.8</v>
      </c>
      <c r="T58" s="37"/>
      <c r="U58" s="37"/>
      <c r="V58" s="37"/>
    </row>
    <row r="59">
      <c r="A59" s="2">
        <v>58.0</v>
      </c>
      <c r="B59" s="2" t="str">
        <f>'Paste #BBall'!C59</f>
        <v>Tyrese Maxey</v>
      </c>
      <c r="C59" s="2" t="str">
        <f>'Paste #BBall'!D59</f>
        <v>PG/SF</v>
      </c>
      <c r="D59" s="2" t="str">
        <f>'Paste #BBall'!E59</f>
        <v>PHI</v>
      </c>
      <c r="E59" s="2">
        <f>'Paste #BBall'!F59</f>
        <v>74</v>
      </c>
      <c r="F59" s="80">
        <f>'Paste #BBall'!G59</f>
        <v>35.4</v>
      </c>
      <c r="G59" s="81" t="str">
        <f>right(Left('Paste #BBall'!H59,Search("/",'Paste #BBall'!H59)-1),len(Left('Paste #BBall'!H59,Search("/",'Paste #BBall'!H59)-1))-search("(",Left('Paste #BBall'!H59,Search("/",'Paste #BBall'!H59)-1)))</f>
        <v>7.0</v>
      </c>
      <c r="H59" s="82">
        <f t="shared" si="1"/>
        <v>0.4794520548</v>
      </c>
      <c r="I59" s="82" t="str">
        <f>right(Left('Paste #BBall'!I59,Search("/",'Paste #BBall'!I59)-1),len(Left('Paste #BBall'!I59,Search("/",'Paste #BBall'!I59)-1))-search("(",Left('Paste #BBall'!I59,Search("/",'Paste #BBall'!I59)-1)))</f>
        <v>2.9</v>
      </c>
      <c r="J59" s="82">
        <f t="shared" si="2"/>
        <v>0.8529411765</v>
      </c>
      <c r="K59" s="82">
        <f>'Paste #BBall'!J59</f>
        <v>1.8</v>
      </c>
      <c r="L59" s="82">
        <f>'Paste #BBall'!K59</f>
        <v>18.6</v>
      </c>
      <c r="M59" s="82">
        <f>'Paste #BBall'!L59</f>
        <v>3.3</v>
      </c>
      <c r="N59" s="82">
        <f>'Paste #BBall'!M59</f>
        <v>4.4</v>
      </c>
      <c r="O59" s="82">
        <f>'Paste #BBall'!N59</f>
        <v>0.9</v>
      </c>
      <c r="P59" s="82">
        <f>'Paste #BBall'!O59</f>
        <v>0.4</v>
      </c>
      <c r="Q59" s="82">
        <f>'Paste #BBall'!P59</f>
        <v>1.2</v>
      </c>
      <c r="R59" s="81" t="str">
        <f>Left(Right('Paste #BBall'!H59,Len('Paste #BBall'!H59)-Search("/",'Paste #BBall'!H59)),Len(Right('Paste #BBall'!H59,Len('Paste #BBall'!H59)-Search("/",'Paste #BBall'!H59)))-1)</f>
        <v>14.6</v>
      </c>
      <c r="S59" s="81" t="str">
        <f>Left(Right('Paste #BBall'!I59,Len('Paste #BBall'!I59)-Search("/",'Paste #BBall'!I59)),Len(Right('Paste #BBall'!I59,Len('Paste #BBall'!I59)-Search("/",'Paste #BBall'!I59)))-1)</f>
        <v>3.4</v>
      </c>
      <c r="T59" s="37"/>
      <c r="U59" s="37"/>
      <c r="V59" s="37"/>
    </row>
    <row r="60">
      <c r="A60" s="2">
        <v>59.0</v>
      </c>
      <c r="B60" s="2" t="str">
        <f>'Paste #BBall'!C60</f>
        <v>Gordon Hayward</v>
      </c>
      <c r="C60" s="2" t="str">
        <f>'Paste #BBall'!D60</f>
        <v>SF</v>
      </c>
      <c r="D60" s="2" t="str">
        <f>'Paste #BBall'!E60</f>
        <v>CHA</v>
      </c>
      <c r="E60" s="2">
        <f>'Paste #BBall'!F60</f>
        <v>60</v>
      </c>
      <c r="F60" s="80">
        <f>'Paste #BBall'!G60</f>
        <v>32.2</v>
      </c>
      <c r="G60" s="81" t="str">
        <f>right(Left('Paste #BBall'!H60,Search("/",'Paste #BBall'!H60)-1),len(Left('Paste #BBall'!H60,Search("/",'Paste #BBall'!H60)-1))-search("(",Left('Paste #BBall'!H60,Search("/",'Paste #BBall'!H60)-1)))</f>
        <v>6.5</v>
      </c>
      <c r="H60" s="82">
        <f t="shared" si="1"/>
        <v>0.4609929078</v>
      </c>
      <c r="I60" s="82" t="str">
        <f>right(Left('Paste #BBall'!I60,Search("/",'Paste #BBall'!I60)-1),len(Left('Paste #BBall'!I60,Search("/",'Paste #BBall'!I60)-1))-search("(",Left('Paste #BBall'!I60,Search("/",'Paste #BBall'!I60)-1)))</f>
        <v>3.0</v>
      </c>
      <c r="J60" s="82">
        <f t="shared" si="2"/>
        <v>0.8571428571</v>
      </c>
      <c r="K60" s="82">
        <f>'Paste #BBall'!J60</f>
        <v>2</v>
      </c>
      <c r="L60" s="82">
        <f>'Paste #BBall'!K60</f>
        <v>18</v>
      </c>
      <c r="M60" s="82">
        <f>'Paste #BBall'!L60</f>
        <v>4.7</v>
      </c>
      <c r="N60" s="82">
        <f>'Paste #BBall'!M60</f>
        <v>3.7</v>
      </c>
      <c r="O60" s="82">
        <f>'Paste #BBall'!N60</f>
        <v>1</v>
      </c>
      <c r="P60" s="82">
        <f>'Paste #BBall'!O60</f>
        <v>0.4</v>
      </c>
      <c r="Q60" s="82">
        <f>'Paste #BBall'!P60</f>
        <v>1.7</v>
      </c>
      <c r="R60" s="81" t="str">
        <f>Left(Right('Paste #BBall'!H60,Len('Paste #BBall'!H60)-Search("/",'Paste #BBall'!H60)),Len(Right('Paste #BBall'!H60,Len('Paste #BBall'!H60)-Search("/",'Paste #BBall'!H60)))-1)</f>
        <v>14.1</v>
      </c>
      <c r="S60" s="81" t="str">
        <f>Left(Right('Paste #BBall'!I60,Len('Paste #BBall'!I60)-Search("/",'Paste #BBall'!I60)),Len(Right('Paste #BBall'!I60,Len('Paste #BBall'!I60)-Search("/",'Paste #BBall'!I60)))-1)</f>
        <v>3.5</v>
      </c>
      <c r="T60" s="37"/>
      <c r="U60" s="37"/>
      <c r="V60" s="37"/>
    </row>
    <row r="61">
      <c r="A61" s="2">
        <v>60.0</v>
      </c>
      <c r="B61" s="2" t="str">
        <f>'Paste #BBall'!C61</f>
        <v>Michael Porter Jr.</v>
      </c>
      <c r="C61" s="2" t="str">
        <f>'Paste #BBall'!D61</f>
        <v>SF</v>
      </c>
      <c r="D61" s="2" t="str">
        <f>'Paste #BBall'!E61</f>
        <v>DEN</v>
      </c>
      <c r="E61" s="2">
        <f>'Paste #BBall'!F61</f>
        <v>61</v>
      </c>
      <c r="F61" s="80">
        <f>'Paste #BBall'!G61</f>
        <v>31.4</v>
      </c>
      <c r="G61" s="81" t="str">
        <f>right(Left('Paste #BBall'!H61,Search("/",'Paste #BBall'!H61)-1),len(Left('Paste #BBall'!H61,Search("/",'Paste #BBall'!H61)-1))-search("(",Left('Paste #BBall'!H61,Search("/",'Paste #BBall'!H61)-1)))</f>
        <v>6.8</v>
      </c>
      <c r="H61" s="82">
        <f t="shared" si="1"/>
        <v>0.4822695035</v>
      </c>
      <c r="I61" s="82" t="str">
        <f>right(Left('Paste #BBall'!I61,Search("/",'Paste #BBall'!I61)-1),len(Left('Paste #BBall'!I61,Search("/",'Paste #BBall'!I61)-1))-search("(",Left('Paste #BBall'!I61,Search("/",'Paste #BBall'!I61)-1)))</f>
        <v>1.5</v>
      </c>
      <c r="J61" s="82">
        <f t="shared" si="2"/>
        <v>0.7894736842</v>
      </c>
      <c r="K61" s="82">
        <f>'Paste #BBall'!J61</f>
        <v>1.9</v>
      </c>
      <c r="L61" s="82">
        <f>'Paste #BBall'!K61</f>
        <v>17</v>
      </c>
      <c r="M61" s="82">
        <f>'Paste #BBall'!L61</f>
        <v>6.7</v>
      </c>
      <c r="N61" s="82">
        <f>'Paste #BBall'!M61</f>
        <v>1.8</v>
      </c>
      <c r="O61" s="82">
        <f>'Paste #BBall'!N61</f>
        <v>1</v>
      </c>
      <c r="P61" s="82">
        <f>'Paste #BBall'!O61</f>
        <v>0.7</v>
      </c>
      <c r="Q61" s="82">
        <f>'Paste #BBall'!P61</f>
        <v>1.4</v>
      </c>
      <c r="R61" s="81" t="str">
        <f>Left(Right('Paste #BBall'!H61,Len('Paste #BBall'!H61)-Search("/",'Paste #BBall'!H61)),Len(Right('Paste #BBall'!H61,Len('Paste #BBall'!H61)-Search("/",'Paste #BBall'!H61)))-1)</f>
        <v>14.1</v>
      </c>
      <c r="S61" s="81" t="str">
        <f>Left(Right('Paste #BBall'!I61,Len('Paste #BBall'!I61)-Search("/",'Paste #BBall'!I61)),Len(Right('Paste #BBall'!I61,Len('Paste #BBall'!I61)-Search("/",'Paste #BBall'!I61)))-1)</f>
        <v>1.9</v>
      </c>
      <c r="T61" s="37"/>
      <c r="U61" s="37"/>
      <c r="V61" s="37"/>
    </row>
    <row r="62">
      <c r="A62" s="2">
        <v>61.0</v>
      </c>
      <c r="B62" s="2" t="str">
        <f>'Paste #BBall'!C62</f>
        <v>Brandon Clarke</v>
      </c>
      <c r="C62" s="2" t="str">
        <f>'Paste #BBall'!D62</f>
        <v>PF/C</v>
      </c>
      <c r="D62" s="2" t="str">
        <f>'Paste #BBall'!E62</f>
        <v>MEM</v>
      </c>
      <c r="E62" s="2">
        <f>'Paste #BBall'!F62</f>
        <v>70</v>
      </c>
      <c r="F62" s="80">
        <f>'Paste #BBall'!G62</f>
        <v>26.4</v>
      </c>
      <c r="G62" s="81" t="str">
        <f>right(Left('Paste #BBall'!H62,Search("/",'Paste #BBall'!H62)-1),len(Left('Paste #BBall'!H62,Search("/",'Paste #BBall'!H62)-1))-search("(",Left('Paste #BBall'!H62,Search("/",'Paste #BBall'!H62)-1)))</f>
        <v>6.0</v>
      </c>
      <c r="H62" s="82">
        <f t="shared" si="1"/>
        <v>0.618556701</v>
      </c>
      <c r="I62" s="82" t="str">
        <f>right(Left('Paste #BBall'!I62,Search("/",'Paste #BBall'!I62)-1),len(Left('Paste #BBall'!I62,Search("/",'Paste #BBall'!I62)-1))-search("(",Left('Paste #BBall'!I62,Search("/",'Paste #BBall'!I62)-1)))</f>
        <v>1.7</v>
      </c>
      <c r="J62" s="82">
        <f t="shared" si="2"/>
        <v>0.6538461538</v>
      </c>
      <c r="K62" s="82">
        <f>'Paste #BBall'!J62</f>
        <v>0.1</v>
      </c>
      <c r="L62" s="82">
        <f>'Paste #BBall'!K62</f>
        <v>13.9</v>
      </c>
      <c r="M62" s="82">
        <f>'Paste #BBall'!L62</f>
        <v>7</v>
      </c>
      <c r="N62" s="82">
        <f>'Paste #BBall'!M62</f>
        <v>1.8</v>
      </c>
      <c r="O62" s="82">
        <f>'Paste #BBall'!N62</f>
        <v>0.8</v>
      </c>
      <c r="P62" s="82">
        <f>'Paste #BBall'!O62</f>
        <v>1.2</v>
      </c>
      <c r="Q62" s="82">
        <f>'Paste #BBall'!P62</f>
        <v>0.7</v>
      </c>
      <c r="R62" s="81" t="str">
        <f>Left(Right('Paste #BBall'!H62,Len('Paste #BBall'!H62)-Search("/",'Paste #BBall'!H62)),Len(Right('Paste #BBall'!H62,Len('Paste #BBall'!H62)-Search("/",'Paste #BBall'!H62)))-1)</f>
        <v>9.7</v>
      </c>
      <c r="S62" s="81" t="str">
        <f>Left(Right('Paste #BBall'!I62,Len('Paste #BBall'!I62)-Search("/",'Paste #BBall'!I62)),Len(Right('Paste #BBall'!I62,Len('Paste #BBall'!I62)-Search("/",'Paste #BBall'!I62)))-1)</f>
        <v>2.6</v>
      </c>
      <c r="T62" s="37"/>
      <c r="U62" s="37"/>
      <c r="V62" s="37"/>
    </row>
    <row r="63">
      <c r="A63" s="2">
        <v>62.0</v>
      </c>
      <c r="B63" s="2" t="str">
        <f>'Paste #BBall'!C63</f>
        <v>PJ Washington</v>
      </c>
      <c r="C63" s="2" t="str">
        <f>'Paste #BBall'!D63</f>
        <v>PF/C</v>
      </c>
      <c r="D63" s="2" t="str">
        <f>'Paste #BBall'!E63</f>
        <v>CHA</v>
      </c>
      <c r="E63" s="2">
        <f>'Paste #BBall'!F63</f>
        <v>72</v>
      </c>
      <c r="F63" s="80">
        <f>'Paste #BBall'!G63</f>
        <v>30.6</v>
      </c>
      <c r="G63" s="81" t="str">
        <f>right(Left('Paste #BBall'!H63,Search("/",'Paste #BBall'!H63)-1),len(Left('Paste #BBall'!H63,Search("/",'Paste #BBall'!H63)-1))-search("(",Left('Paste #BBall'!H63,Search("/",'Paste #BBall'!H63)-1)))</f>
        <v>5.0</v>
      </c>
      <c r="H63" s="82">
        <f t="shared" si="1"/>
        <v>0.4672897196</v>
      </c>
      <c r="I63" s="82" t="str">
        <f>right(Left('Paste #BBall'!I63,Search("/",'Paste #BBall'!I63)-1),len(Left('Paste #BBall'!I63,Search("/",'Paste #BBall'!I63)-1))-search("(",Left('Paste #BBall'!I63,Search("/",'Paste #BBall'!I63)-1)))</f>
        <v>1.2</v>
      </c>
      <c r="J63" s="82">
        <f t="shared" si="2"/>
        <v>0.7058823529</v>
      </c>
      <c r="K63" s="82">
        <f>'Paste #BBall'!J63</f>
        <v>1.9</v>
      </c>
      <c r="L63" s="82">
        <f>'Paste #BBall'!K63</f>
        <v>13.1</v>
      </c>
      <c r="M63" s="82">
        <f>'Paste #BBall'!L63</f>
        <v>6.2</v>
      </c>
      <c r="N63" s="82">
        <f>'Paste #BBall'!M63</f>
        <v>2.8</v>
      </c>
      <c r="O63" s="82">
        <f>'Paste #BBall'!N63</f>
        <v>1.1</v>
      </c>
      <c r="P63" s="82">
        <f>'Paste #BBall'!O63</f>
        <v>1.1</v>
      </c>
      <c r="Q63" s="82">
        <f>'Paste #BBall'!P63</f>
        <v>1.6</v>
      </c>
      <c r="R63" s="81" t="str">
        <f>Left(Right('Paste #BBall'!H63,Len('Paste #BBall'!H63)-Search("/",'Paste #BBall'!H63)),Len(Right('Paste #BBall'!H63,Len('Paste #BBall'!H63)-Search("/",'Paste #BBall'!H63)))-1)</f>
        <v>10.7</v>
      </c>
      <c r="S63" s="81" t="str">
        <f>Left(Right('Paste #BBall'!I63,Len('Paste #BBall'!I63)-Search("/",'Paste #BBall'!I63)),Len(Right('Paste #BBall'!I63,Len('Paste #BBall'!I63)-Search("/",'Paste #BBall'!I63)))-1)</f>
        <v>1.7</v>
      </c>
      <c r="T63" s="37"/>
      <c r="U63" s="37"/>
      <c r="V63" s="37"/>
    </row>
    <row r="64">
      <c r="A64" s="2">
        <v>63.0</v>
      </c>
      <c r="B64" s="2" t="str">
        <f>'Paste #BBall'!C64</f>
        <v>Jamal Murray</v>
      </c>
      <c r="C64" s="2" t="str">
        <f>'Paste #BBall'!D64</f>
        <v>PG</v>
      </c>
      <c r="D64" s="2" t="str">
        <f>'Paste #BBall'!E64</f>
        <v>DEN</v>
      </c>
      <c r="E64" s="2">
        <f>'Paste #BBall'!F64</f>
        <v>62</v>
      </c>
      <c r="F64" s="80">
        <f>'Paste #BBall'!G64</f>
        <v>30.5</v>
      </c>
      <c r="G64" s="81" t="str">
        <f>right(Left('Paste #BBall'!H64,Search("/",'Paste #BBall'!H64)-1),len(Left('Paste #BBall'!H64,Search("/",'Paste #BBall'!H64)-1))-search("(",Left('Paste #BBall'!H64,Search("/",'Paste #BBall'!H64)-1)))</f>
        <v>6.8</v>
      </c>
      <c r="H64" s="82">
        <f t="shared" si="1"/>
        <v>0.462585034</v>
      </c>
      <c r="I64" s="82" t="str">
        <f>right(Left('Paste #BBall'!I64,Search("/",'Paste #BBall'!I64)-1),len(Left('Paste #BBall'!I64,Search("/",'Paste #BBall'!I64)-1))-search("(",Left('Paste #BBall'!I64,Search("/",'Paste #BBall'!I64)-1)))</f>
        <v>2.4</v>
      </c>
      <c r="J64" s="82">
        <f t="shared" si="2"/>
        <v>0.8571428571</v>
      </c>
      <c r="K64" s="82">
        <f>'Paste #BBall'!J64</f>
        <v>2.4</v>
      </c>
      <c r="L64" s="82">
        <f>'Paste #BBall'!K64</f>
        <v>18.3</v>
      </c>
      <c r="M64" s="82">
        <f>'Paste #BBall'!L64</f>
        <v>3.6</v>
      </c>
      <c r="N64" s="82">
        <f>'Paste #BBall'!M64</f>
        <v>4.2</v>
      </c>
      <c r="O64" s="82">
        <f>'Paste #BBall'!N64</f>
        <v>1</v>
      </c>
      <c r="P64" s="82">
        <f>'Paste #BBall'!O64</f>
        <v>0.3</v>
      </c>
      <c r="Q64" s="82">
        <f>'Paste #BBall'!P64</f>
        <v>1.9</v>
      </c>
      <c r="R64" s="81" t="str">
        <f>Left(Right('Paste #BBall'!H64,Len('Paste #BBall'!H64)-Search("/",'Paste #BBall'!H64)),Len(Right('Paste #BBall'!H64,Len('Paste #BBall'!H64)-Search("/",'Paste #BBall'!H64)))-1)</f>
        <v>14.7</v>
      </c>
      <c r="S64" s="81" t="str">
        <f>Left(Right('Paste #BBall'!I64,Len('Paste #BBall'!I64)-Search("/",'Paste #BBall'!I64)),Len(Right('Paste #BBall'!I64,Len('Paste #BBall'!I64)-Search("/",'Paste #BBall'!I64)))-1)</f>
        <v>2.8</v>
      </c>
      <c r="T64" s="37"/>
      <c r="U64" s="37"/>
      <c r="V64" s="37"/>
    </row>
    <row r="65">
      <c r="A65" s="2">
        <v>64.0</v>
      </c>
      <c r="B65" s="2" t="str">
        <f>'Paste #BBall'!C65</f>
        <v>Julius Randle</v>
      </c>
      <c r="C65" s="2" t="str">
        <f>'Paste #BBall'!D65</f>
        <v>PF</v>
      </c>
      <c r="D65" s="2" t="str">
        <f>'Paste #BBall'!E65</f>
        <v>NYK</v>
      </c>
      <c r="E65" s="2">
        <f>'Paste #BBall'!F65</f>
        <v>72</v>
      </c>
      <c r="F65" s="80">
        <f>'Paste #BBall'!G65</f>
        <v>34.6</v>
      </c>
      <c r="G65" s="81" t="str">
        <f>right(Left('Paste #BBall'!H65,Search("/",'Paste #BBall'!H65)-1),len(Left('Paste #BBall'!H65,Search("/",'Paste #BBall'!H65)-1))-search("(",Left('Paste #BBall'!H65,Search("/",'Paste #BBall'!H65)-1)))</f>
        <v>7.2</v>
      </c>
      <c r="H65" s="82">
        <f t="shared" si="1"/>
        <v>0.4472049689</v>
      </c>
      <c r="I65" s="82" t="str">
        <f>right(Left('Paste #BBall'!I65,Search("/",'Paste #BBall'!I65)-1),len(Left('Paste #BBall'!I65,Search("/",'Paste #BBall'!I65)-1))-search("(",Left('Paste #BBall'!I65,Search("/",'Paste #BBall'!I65)-1)))</f>
        <v>4.1</v>
      </c>
      <c r="J65" s="82">
        <f t="shared" si="2"/>
        <v>0.7735849057</v>
      </c>
      <c r="K65" s="82">
        <f>'Paste #BBall'!J65</f>
        <v>1.7</v>
      </c>
      <c r="L65" s="82">
        <f>'Paste #BBall'!K65</f>
        <v>20.2</v>
      </c>
      <c r="M65" s="82">
        <f>'Paste #BBall'!L65</f>
        <v>9.5</v>
      </c>
      <c r="N65" s="82">
        <f>'Paste #BBall'!M65</f>
        <v>4.4</v>
      </c>
      <c r="O65" s="82">
        <f>'Paste #BBall'!N65</f>
        <v>0.7</v>
      </c>
      <c r="P65" s="82">
        <f>'Paste #BBall'!O65</f>
        <v>0.5</v>
      </c>
      <c r="Q65" s="82">
        <f>'Paste #BBall'!P65</f>
        <v>3.3</v>
      </c>
      <c r="R65" s="81" t="str">
        <f>Left(Right('Paste #BBall'!H65,Len('Paste #BBall'!H65)-Search("/",'Paste #BBall'!H65)),Len(Right('Paste #BBall'!H65,Len('Paste #BBall'!H65)-Search("/",'Paste #BBall'!H65)))-1)</f>
        <v>16.1</v>
      </c>
      <c r="S65" s="81" t="str">
        <f>Left(Right('Paste #BBall'!I65,Len('Paste #BBall'!I65)-Search("/",'Paste #BBall'!I65)),Len(Right('Paste #BBall'!I65,Len('Paste #BBall'!I65)-Search("/",'Paste #BBall'!I65)))-1)</f>
        <v>5.3</v>
      </c>
      <c r="T65" s="37"/>
      <c r="U65" s="37"/>
      <c r="V65" s="37"/>
    </row>
    <row r="66">
      <c r="A66" s="2">
        <v>65.0</v>
      </c>
      <c r="B66" s="2" t="str">
        <f>'Paste #BBall'!C66</f>
        <v>Brandon Ingram</v>
      </c>
      <c r="C66" s="2" t="str">
        <f>'Paste #BBall'!D66</f>
        <v>SF/PF</v>
      </c>
      <c r="D66" s="2" t="str">
        <f>'Paste #BBall'!E66</f>
        <v>NOP</v>
      </c>
      <c r="E66" s="2">
        <f>'Paste #BBall'!F66</f>
        <v>62</v>
      </c>
      <c r="F66" s="80">
        <f>'Paste #BBall'!G66</f>
        <v>34.1</v>
      </c>
      <c r="G66" s="81" t="str">
        <f>right(Left('Paste #BBall'!H66,Search("/",'Paste #BBall'!H66)-1),len(Left('Paste #BBall'!H66,Search("/",'Paste #BBall'!H66)-1))-search("(",Left('Paste #BBall'!H66,Search("/",'Paste #BBall'!H66)-1)))</f>
        <v>8.4</v>
      </c>
      <c r="H66" s="82">
        <f t="shared" si="1"/>
        <v>0.4590163934</v>
      </c>
      <c r="I66" s="82" t="str">
        <f>right(Left('Paste #BBall'!I66,Search("/",'Paste #BBall'!I66)-1),len(Left('Paste #BBall'!I66,Search("/",'Paste #BBall'!I66)-1))-search("(",Left('Paste #BBall'!I66,Search("/",'Paste #BBall'!I66)-1)))</f>
        <v>4.9</v>
      </c>
      <c r="J66" s="82">
        <f t="shared" si="2"/>
        <v>0.8166666667</v>
      </c>
      <c r="K66" s="82">
        <f>'Paste #BBall'!J66</f>
        <v>1.4</v>
      </c>
      <c r="L66" s="82">
        <f>'Paste #BBall'!K66</f>
        <v>23.1</v>
      </c>
      <c r="M66" s="82">
        <f>'Paste #BBall'!L66</f>
        <v>5.9</v>
      </c>
      <c r="N66" s="82">
        <f>'Paste #BBall'!M66</f>
        <v>4.7</v>
      </c>
      <c r="O66" s="82">
        <f>'Paste #BBall'!N66</f>
        <v>0.6</v>
      </c>
      <c r="P66" s="82">
        <f>'Paste #BBall'!O66</f>
        <v>0.5</v>
      </c>
      <c r="Q66" s="82">
        <f>'Paste #BBall'!P66</f>
        <v>2.8</v>
      </c>
      <c r="R66" s="81" t="str">
        <f>Left(Right('Paste #BBall'!H66,Len('Paste #BBall'!H66)-Search("/",'Paste #BBall'!H66)),Len(Right('Paste #BBall'!H66,Len('Paste #BBall'!H66)-Search("/",'Paste #BBall'!H66)))-1)</f>
        <v>18.3</v>
      </c>
      <c r="S66" s="81" t="str">
        <f>Left(Right('Paste #BBall'!I66,Len('Paste #BBall'!I66)-Search("/",'Paste #BBall'!I66)),Len(Right('Paste #BBall'!I66,Len('Paste #BBall'!I66)-Search("/",'Paste #BBall'!I66)))-1)</f>
        <v>6.0</v>
      </c>
      <c r="T66" s="37"/>
      <c r="U66" s="37"/>
      <c r="V66" s="37"/>
    </row>
    <row r="67">
      <c r="A67" s="2">
        <v>66.0</v>
      </c>
      <c r="B67" s="2" t="str">
        <f>'Paste #BBall'!C67</f>
        <v>Tyler Herro</v>
      </c>
      <c r="C67" s="2" t="str">
        <f>'Paste #BBall'!D67</f>
        <v>PG/SF</v>
      </c>
      <c r="D67" s="2" t="str">
        <f>'Paste #BBall'!E67</f>
        <v>MIA</v>
      </c>
      <c r="E67" s="2">
        <f>'Paste #BBall'!F67</f>
        <v>68</v>
      </c>
      <c r="F67" s="80">
        <f>'Paste #BBall'!G67</f>
        <v>33.3</v>
      </c>
      <c r="G67" s="81" t="str">
        <f>right(Left('Paste #BBall'!H67,Search("/",'Paste #BBall'!H67)-1),len(Left('Paste #BBall'!H67,Search("/",'Paste #BBall'!H67)-1))-search("(",Left('Paste #BBall'!H67,Search("/",'Paste #BBall'!H67)-1)))</f>
        <v>7.8</v>
      </c>
      <c r="H67" s="82">
        <f t="shared" si="1"/>
        <v>0.4406779661</v>
      </c>
      <c r="I67" s="82" t="str">
        <f>right(Left('Paste #BBall'!I67,Search("/",'Paste #BBall'!I67)-1),len(Left('Paste #BBall'!I67,Search("/",'Paste #BBall'!I67)-1))-search("(",Left('Paste #BBall'!I67,Search("/",'Paste #BBall'!I67)-1)))</f>
        <v>3.0</v>
      </c>
      <c r="J67" s="82">
        <f t="shared" si="2"/>
        <v>0.8823529412</v>
      </c>
      <c r="K67" s="82">
        <f>'Paste #BBall'!J67</f>
        <v>2.7</v>
      </c>
      <c r="L67" s="82">
        <f>'Paste #BBall'!K67</f>
        <v>21.4</v>
      </c>
      <c r="M67" s="82">
        <f>'Paste #BBall'!L67</f>
        <v>5.2</v>
      </c>
      <c r="N67" s="82">
        <f>'Paste #BBall'!M67</f>
        <v>4.2</v>
      </c>
      <c r="O67" s="82">
        <f>'Paste #BBall'!N67</f>
        <v>0.7</v>
      </c>
      <c r="P67" s="82">
        <f>'Paste #BBall'!O67</f>
        <v>0.1</v>
      </c>
      <c r="Q67" s="82">
        <f>'Paste #BBall'!P67</f>
        <v>2.7</v>
      </c>
      <c r="R67" s="81" t="str">
        <f>Left(Right('Paste #BBall'!H67,Len('Paste #BBall'!H67)-Search("/",'Paste #BBall'!H67)),Len(Right('Paste #BBall'!H67,Len('Paste #BBall'!H67)-Search("/",'Paste #BBall'!H67)))-1)</f>
        <v>17.7</v>
      </c>
      <c r="S67" s="81" t="str">
        <f>Left(Right('Paste #BBall'!I67,Len('Paste #BBall'!I67)-Search("/",'Paste #BBall'!I67)),Len(Right('Paste #BBall'!I67,Len('Paste #BBall'!I67)-Search("/",'Paste #BBall'!I67)))-1)</f>
        <v>3.4</v>
      </c>
      <c r="T67" s="37"/>
      <c r="U67" s="37"/>
      <c r="V67" s="37"/>
    </row>
    <row r="68">
      <c r="A68" s="2">
        <v>67.0</v>
      </c>
      <c r="B68" s="2" t="str">
        <f>'Paste #BBall'!C68</f>
        <v>Draymond Green</v>
      </c>
      <c r="C68" s="2" t="str">
        <f>'Paste #BBall'!D68</f>
        <v>PF</v>
      </c>
      <c r="D68" s="2" t="str">
        <f>'Paste #BBall'!E68</f>
        <v>GSW</v>
      </c>
      <c r="E68" s="2">
        <f>'Paste #BBall'!F68</f>
        <v>64</v>
      </c>
      <c r="F68" s="80">
        <f>'Paste #BBall'!G68</f>
        <v>28.8</v>
      </c>
      <c r="G68" s="81" t="str">
        <f>right(Left('Paste #BBall'!H68,Search("/",'Paste #BBall'!H68)-1),len(Left('Paste #BBall'!H68,Search("/",'Paste #BBall'!H68)-1))-search("(",Left('Paste #BBall'!H68,Search("/",'Paste #BBall'!H68)-1)))</f>
        <v>2.9</v>
      </c>
      <c r="H68" s="82">
        <f t="shared" si="1"/>
        <v>0.5087719298</v>
      </c>
      <c r="I68" s="82" t="str">
        <f>right(Left('Paste #BBall'!I68,Search("/",'Paste #BBall'!I68)-1),len(Left('Paste #BBall'!I68,Search("/",'Paste #BBall'!I68)-1))-search("(",Left('Paste #BBall'!I68,Search("/",'Paste #BBall'!I68)-1)))</f>
        <v>1.3</v>
      </c>
      <c r="J68" s="82">
        <f t="shared" si="2"/>
        <v>0.65</v>
      </c>
      <c r="K68" s="82">
        <f>'Paste #BBall'!J68</f>
        <v>0.4</v>
      </c>
      <c r="L68" s="82">
        <f>'Paste #BBall'!K68</f>
        <v>7.6</v>
      </c>
      <c r="M68" s="82">
        <f>'Paste #BBall'!L68</f>
        <v>7.3</v>
      </c>
      <c r="N68" s="82">
        <f>'Paste #BBall'!M68</f>
        <v>6.8</v>
      </c>
      <c r="O68" s="82">
        <f>'Paste #BBall'!N68</f>
        <v>1.3</v>
      </c>
      <c r="P68" s="82">
        <f>'Paste #BBall'!O68</f>
        <v>1</v>
      </c>
      <c r="Q68" s="82">
        <f>'Paste #BBall'!P68</f>
        <v>3</v>
      </c>
      <c r="R68" s="81" t="str">
        <f>Left(Right('Paste #BBall'!H68,Len('Paste #BBall'!H68)-Search("/",'Paste #BBall'!H68)),Len(Right('Paste #BBall'!H68,Len('Paste #BBall'!H68)-Search("/",'Paste #BBall'!H68)))-1)</f>
        <v>5.7</v>
      </c>
      <c r="S68" s="81" t="str">
        <f>Left(Right('Paste #BBall'!I68,Len('Paste #BBall'!I68)-Search("/",'Paste #BBall'!I68)),Len(Right('Paste #BBall'!I68,Len('Paste #BBall'!I68)-Search("/",'Paste #BBall'!I68)))-1)</f>
        <v>2.0</v>
      </c>
      <c r="T68" s="37"/>
      <c r="U68" s="37"/>
      <c r="V68" s="37"/>
    </row>
    <row r="69">
      <c r="A69" s="2">
        <v>68.0</v>
      </c>
      <c r="B69" s="2" t="str">
        <f>'Paste #BBall'!C69</f>
        <v>OG Anunoby</v>
      </c>
      <c r="C69" s="2" t="str">
        <f>'Paste #BBall'!D69</f>
        <v>SF</v>
      </c>
      <c r="D69" s="2" t="str">
        <f>'Paste #BBall'!E69</f>
        <v>TOR</v>
      </c>
      <c r="E69" s="2">
        <f>'Paste #BBall'!F69</f>
        <v>67</v>
      </c>
      <c r="F69" s="80">
        <f>'Paste #BBall'!G69</f>
        <v>36</v>
      </c>
      <c r="G69" s="81" t="str">
        <f>right(Left('Paste #BBall'!H69,Search("/",'Paste #BBall'!H69)-1),len(Left('Paste #BBall'!H69,Search("/",'Paste #BBall'!H69)-1))-search("(",Left('Paste #BBall'!H69,Search("/",'Paste #BBall'!H69)-1)))</f>
        <v>6.5</v>
      </c>
      <c r="H69" s="82">
        <f t="shared" si="1"/>
        <v>0.4391891892</v>
      </c>
      <c r="I69" s="82" t="str">
        <f>right(Left('Paste #BBall'!I69,Search("/",'Paste #BBall'!I69)-1),len(Left('Paste #BBall'!I69,Search("/",'Paste #BBall'!I69)-1))-search("(",Left('Paste #BBall'!I69,Search("/",'Paste #BBall'!I69)-1)))</f>
        <v>1.9</v>
      </c>
      <c r="J69" s="82">
        <f t="shared" si="2"/>
        <v>0.7307692308</v>
      </c>
      <c r="K69" s="82">
        <f>'Paste #BBall'!J69</f>
        <v>2.5</v>
      </c>
      <c r="L69" s="82">
        <f>'Paste #BBall'!K69</f>
        <v>17.5</v>
      </c>
      <c r="M69" s="82">
        <f>'Paste #BBall'!L69</f>
        <v>5.6</v>
      </c>
      <c r="N69" s="82">
        <f>'Paste #BBall'!M69</f>
        <v>2.7</v>
      </c>
      <c r="O69" s="82">
        <f>'Paste #BBall'!N69</f>
        <v>1.4</v>
      </c>
      <c r="P69" s="82">
        <f>'Paste #BBall'!O69</f>
        <v>0.5</v>
      </c>
      <c r="Q69" s="82">
        <f>'Paste #BBall'!P69</f>
        <v>1.7</v>
      </c>
      <c r="R69" s="81" t="str">
        <f>Left(Right('Paste #BBall'!H69,Len('Paste #BBall'!H69)-Search("/",'Paste #BBall'!H69)),Len(Right('Paste #BBall'!H69,Len('Paste #BBall'!H69)-Search("/",'Paste #BBall'!H69)))-1)</f>
        <v>14.8</v>
      </c>
      <c r="S69" s="81" t="str">
        <f>Left(Right('Paste #BBall'!I69,Len('Paste #BBall'!I69)-Search("/",'Paste #BBall'!I69)),Len(Right('Paste #BBall'!I69,Len('Paste #BBall'!I69)-Search("/",'Paste #BBall'!I69)))-1)</f>
        <v>2.6</v>
      </c>
      <c r="T69" s="37"/>
      <c r="U69" s="37"/>
      <c r="V69" s="37"/>
    </row>
    <row r="70">
      <c r="A70" s="2">
        <v>69.0</v>
      </c>
      <c r="B70" s="2" t="str">
        <f>'Paste #BBall'!C70</f>
        <v>Devin Vassell</v>
      </c>
      <c r="C70" s="2" t="str">
        <f>'Paste #BBall'!D70</f>
        <v>SG/SF</v>
      </c>
      <c r="D70" s="2" t="str">
        <f>'Paste #BBall'!E70</f>
        <v>SAS</v>
      </c>
      <c r="E70" s="2">
        <f>'Paste #BBall'!F70</f>
        <v>71</v>
      </c>
      <c r="F70" s="80">
        <f>'Paste #BBall'!G70</f>
        <v>31.3</v>
      </c>
      <c r="G70" s="81" t="str">
        <f>right(Left('Paste #BBall'!H70,Search("/",'Paste #BBall'!H70)-1),len(Left('Paste #BBall'!H70,Search("/",'Paste #BBall'!H70)-1))-search("(",Left('Paste #BBall'!H70,Search("/",'Paste #BBall'!H70)-1)))</f>
        <v>6.1</v>
      </c>
      <c r="H70" s="82">
        <f t="shared" si="1"/>
        <v>0.4485294118</v>
      </c>
      <c r="I70" s="82" t="str">
        <f>right(Left('Paste #BBall'!I70,Search("/",'Paste #BBall'!I70)-1),len(Left('Paste #BBall'!I70,Search("/",'Paste #BBall'!I70)-1))-search("(",Left('Paste #BBall'!I70,Search("/",'Paste #BBall'!I70)-1)))</f>
        <v>1.4</v>
      </c>
      <c r="J70" s="82">
        <f t="shared" si="2"/>
        <v>0.875</v>
      </c>
      <c r="K70" s="82">
        <f>'Paste #BBall'!J70</f>
        <v>2.2</v>
      </c>
      <c r="L70" s="82">
        <f>'Paste #BBall'!K70</f>
        <v>15.8</v>
      </c>
      <c r="M70" s="82">
        <f>'Paste #BBall'!L70</f>
        <v>5</v>
      </c>
      <c r="N70" s="82">
        <f>'Paste #BBall'!M70</f>
        <v>2.4</v>
      </c>
      <c r="O70" s="82">
        <f>'Paste #BBall'!N70</f>
        <v>1.1</v>
      </c>
      <c r="P70" s="82">
        <f>'Paste #BBall'!O70</f>
        <v>0.7</v>
      </c>
      <c r="Q70" s="82">
        <f>'Paste #BBall'!P70</f>
        <v>0.9</v>
      </c>
      <c r="R70" s="81" t="str">
        <f>Left(Right('Paste #BBall'!H70,Len('Paste #BBall'!H70)-Search("/",'Paste #BBall'!H70)),Len(Right('Paste #BBall'!H70,Len('Paste #BBall'!H70)-Search("/",'Paste #BBall'!H70)))-1)</f>
        <v>13.6</v>
      </c>
      <c r="S70" s="81" t="str">
        <f>Left(Right('Paste #BBall'!I70,Len('Paste #BBall'!I70)-Search("/",'Paste #BBall'!I70)),Len(Right('Paste #BBall'!I70,Len('Paste #BBall'!I70)-Search("/",'Paste #BBall'!I70)))-1)</f>
        <v>1.6</v>
      </c>
      <c r="T70" s="37"/>
      <c r="U70" s="37"/>
      <c r="V70" s="37"/>
    </row>
    <row r="71">
      <c r="A71" s="2">
        <v>70.0</v>
      </c>
      <c r="B71" s="2" t="str">
        <f>'Paste #BBall'!C71</f>
        <v>Tobias Harris</v>
      </c>
      <c r="C71" s="2" t="str">
        <f>'Paste #BBall'!D71</f>
        <v>SF/PF</v>
      </c>
      <c r="D71" s="2" t="str">
        <f>'Paste #BBall'!E71</f>
        <v>PHI</v>
      </c>
      <c r="E71" s="2">
        <f>'Paste #BBall'!F71</f>
        <v>73</v>
      </c>
      <c r="F71" s="80">
        <f>'Paste #BBall'!G71</f>
        <v>33</v>
      </c>
      <c r="G71" s="81" t="str">
        <f>right(Left('Paste #BBall'!H71,Search("/",'Paste #BBall'!H71)-1),len(Left('Paste #BBall'!H71,Search("/",'Paste #BBall'!H71)-1))-search("(",Left('Paste #BBall'!H71,Search("/",'Paste #BBall'!H71)-1)))</f>
        <v>6.6</v>
      </c>
      <c r="H71" s="82">
        <f t="shared" si="1"/>
        <v>0.4888888889</v>
      </c>
      <c r="I71" s="82" t="str">
        <f>right(Left('Paste #BBall'!I71,Search("/",'Paste #BBall'!I71)-1),len(Left('Paste #BBall'!I71,Search("/",'Paste #BBall'!I71)-1))-search("(",Left('Paste #BBall'!I71,Search("/",'Paste #BBall'!I71)-1)))</f>
        <v>2.3</v>
      </c>
      <c r="J71" s="82">
        <f t="shared" si="2"/>
        <v>0.8518518519</v>
      </c>
      <c r="K71" s="82">
        <f>'Paste #BBall'!J71</f>
        <v>1.4</v>
      </c>
      <c r="L71" s="82">
        <f>'Paste #BBall'!K71</f>
        <v>16.8</v>
      </c>
      <c r="M71" s="82">
        <f>'Paste #BBall'!L71</f>
        <v>6.6</v>
      </c>
      <c r="N71" s="82">
        <f>'Paste #BBall'!M71</f>
        <v>3.4</v>
      </c>
      <c r="O71" s="82">
        <f>'Paste #BBall'!N71</f>
        <v>0.6</v>
      </c>
      <c r="P71" s="82">
        <f>'Paste #BBall'!O71</f>
        <v>0.6</v>
      </c>
      <c r="Q71" s="82">
        <f>'Paste #BBall'!P71</f>
        <v>1.5</v>
      </c>
      <c r="R71" s="81" t="str">
        <f>Left(Right('Paste #BBall'!H71,Len('Paste #BBall'!H71)-Search("/",'Paste #BBall'!H71)),Len(Right('Paste #BBall'!H71,Len('Paste #BBall'!H71)-Search("/",'Paste #BBall'!H71)))-1)</f>
        <v>13.5</v>
      </c>
      <c r="S71" s="81" t="str">
        <f>Left(Right('Paste #BBall'!I71,Len('Paste #BBall'!I71)-Search("/",'Paste #BBall'!I71)),Len(Right('Paste #BBall'!I71,Len('Paste #BBall'!I71)-Search("/",'Paste #BBall'!I71)))-1)</f>
        <v>2.7</v>
      </c>
      <c r="T71" s="37"/>
      <c r="U71" s="37"/>
      <c r="V71" s="37"/>
    </row>
    <row r="72">
      <c r="A72" s="2">
        <v>71.0</v>
      </c>
      <c r="B72" s="2" t="str">
        <f>'Paste #BBall'!C72</f>
        <v>D'Angelo Russell</v>
      </c>
      <c r="C72" s="2" t="str">
        <f>'Paste #BBall'!D72</f>
        <v>PG/SG</v>
      </c>
      <c r="D72" s="2" t="str">
        <f>'Paste #BBall'!E72</f>
        <v>MIN</v>
      </c>
      <c r="E72" s="2">
        <f>'Paste #BBall'!F72</f>
        <v>65</v>
      </c>
      <c r="F72" s="80">
        <f>'Paste #BBall'!G72</f>
        <v>32</v>
      </c>
      <c r="G72" s="81" t="str">
        <f>right(Left('Paste #BBall'!H72,Search("/",'Paste #BBall'!H72)-1),len(Left('Paste #BBall'!H72,Search("/",'Paste #BBall'!H72)-1))-search("(",Left('Paste #BBall'!H72,Search("/",'Paste #BBall'!H72)-1)))</f>
        <v>6.0</v>
      </c>
      <c r="H72" s="82">
        <f t="shared" si="1"/>
        <v>0.4195804196</v>
      </c>
      <c r="I72" s="82" t="str">
        <f>right(Left('Paste #BBall'!I72,Search("/",'Paste #BBall'!I72)-1),len(Left('Paste #BBall'!I72,Search("/",'Paste #BBall'!I72)-1))-search("(",Left('Paste #BBall'!I72,Search("/",'Paste #BBall'!I72)-1)))</f>
        <v>3.0</v>
      </c>
      <c r="J72" s="82">
        <f t="shared" si="2"/>
        <v>0.7894736842</v>
      </c>
      <c r="K72" s="82">
        <f>'Paste #BBall'!J72</f>
        <v>2.6</v>
      </c>
      <c r="L72" s="82">
        <f>'Paste #BBall'!K72</f>
        <v>17.7</v>
      </c>
      <c r="M72" s="82">
        <f>'Paste #BBall'!L72</f>
        <v>3.4</v>
      </c>
      <c r="N72" s="82">
        <f>'Paste #BBall'!M72</f>
        <v>7</v>
      </c>
      <c r="O72" s="82">
        <f>'Paste #BBall'!N72</f>
        <v>1</v>
      </c>
      <c r="P72" s="82">
        <f>'Paste #BBall'!O72</f>
        <v>0.3</v>
      </c>
      <c r="Q72" s="82">
        <f>'Paste #BBall'!P72</f>
        <v>2.6</v>
      </c>
      <c r="R72" s="81" t="str">
        <f>Left(Right('Paste #BBall'!H72,Len('Paste #BBall'!H72)-Search("/",'Paste #BBall'!H72)),Len(Right('Paste #BBall'!H72,Len('Paste #BBall'!H72)-Search("/",'Paste #BBall'!H72)))-1)</f>
        <v>14.3</v>
      </c>
      <c r="S72" s="81" t="str">
        <f>Left(Right('Paste #BBall'!I72,Len('Paste #BBall'!I72)-Search("/",'Paste #BBall'!I72)),Len(Right('Paste #BBall'!I72,Len('Paste #BBall'!I72)-Search("/",'Paste #BBall'!I72)))-1)</f>
        <v>3.8</v>
      </c>
      <c r="T72" s="37"/>
      <c r="U72" s="37"/>
      <c r="V72" s="37"/>
    </row>
    <row r="73">
      <c r="A73" s="2">
        <v>72.0</v>
      </c>
      <c r="B73" s="2" t="str">
        <f>'Paste #BBall'!C73</f>
        <v>Ivica Zubac</v>
      </c>
      <c r="C73" s="2" t="str">
        <f>'Paste #BBall'!D73</f>
        <v>C</v>
      </c>
      <c r="D73" s="2" t="str">
        <f>'Paste #BBall'!E73</f>
        <v>LAC</v>
      </c>
      <c r="E73" s="2">
        <f>'Paste #BBall'!F73</f>
        <v>76</v>
      </c>
      <c r="F73" s="80">
        <f>'Paste #BBall'!G73</f>
        <v>28</v>
      </c>
      <c r="G73" s="81" t="str">
        <f>right(Left('Paste #BBall'!H73,Search("/",'Paste #BBall'!H73)-1),len(Left('Paste #BBall'!H73,Search("/",'Paste #BBall'!H73)-1))-search("(",Left('Paste #BBall'!H73,Search("/",'Paste #BBall'!H73)-1)))</f>
        <v>4.8</v>
      </c>
      <c r="H73" s="82">
        <f t="shared" si="1"/>
        <v>0.6315789474</v>
      </c>
      <c r="I73" s="82" t="str">
        <f>right(Left('Paste #BBall'!I73,Search("/",'Paste #BBall'!I73)-1),len(Left('Paste #BBall'!I73,Search("/",'Paste #BBall'!I73)-1))-search("(",Left('Paste #BBall'!I73,Search("/",'Paste #BBall'!I73)-1)))</f>
        <v>2.6</v>
      </c>
      <c r="J73" s="82">
        <f t="shared" si="2"/>
        <v>0.7428571429</v>
      </c>
      <c r="K73" s="82">
        <f>'Paste #BBall'!J73</f>
        <v>0</v>
      </c>
      <c r="L73" s="82">
        <f>'Paste #BBall'!K73</f>
        <v>12.2</v>
      </c>
      <c r="M73" s="82">
        <f>'Paste #BBall'!L73</f>
        <v>9.1</v>
      </c>
      <c r="N73" s="82">
        <f>'Paste #BBall'!M73</f>
        <v>1.9</v>
      </c>
      <c r="O73" s="82">
        <f>'Paste #BBall'!N73</f>
        <v>0.6</v>
      </c>
      <c r="P73" s="82">
        <f>'Paste #BBall'!O73</f>
        <v>1.2</v>
      </c>
      <c r="Q73" s="82">
        <f>'Paste #BBall'!P73</f>
        <v>1.8</v>
      </c>
      <c r="R73" s="81" t="str">
        <f>Left(Right('Paste #BBall'!H73,Len('Paste #BBall'!H73)-Search("/",'Paste #BBall'!H73)),Len(Right('Paste #BBall'!H73,Len('Paste #BBall'!H73)-Search("/",'Paste #BBall'!H73)))-1)</f>
        <v>7.6</v>
      </c>
      <c r="S73" s="81" t="str">
        <f>Left(Right('Paste #BBall'!I73,Len('Paste #BBall'!I73)-Search("/",'Paste #BBall'!I73)),Len(Right('Paste #BBall'!I73,Len('Paste #BBall'!I73)-Search("/",'Paste #BBall'!I73)))-1)</f>
        <v>3.5</v>
      </c>
      <c r="T73" s="37"/>
      <c r="U73" s="37"/>
      <c r="V73" s="37"/>
    </row>
    <row r="74">
      <c r="A74" s="2">
        <v>73.0</v>
      </c>
      <c r="B74" s="2" t="str">
        <f>'Paste #BBall'!C74</f>
        <v>Onyeka Okongwu</v>
      </c>
      <c r="C74" s="2" t="str">
        <f>'Paste #BBall'!D74</f>
        <v>C</v>
      </c>
      <c r="D74" s="2" t="str">
        <f>'Paste #BBall'!E74</f>
        <v>ATL</v>
      </c>
      <c r="E74" s="2">
        <f>'Paste #BBall'!F74</f>
        <v>70</v>
      </c>
      <c r="F74" s="80">
        <f>'Paste #BBall'!G74</f>
        <v>23.1</v>
      </c>
      <c r="G74" s="81" t="str">
        <f>right(Left('Paste #BBall'!H74,Search("/",'Paste #BBall'!H74)-1),len(Left('Paste #BBall'!H74,Search("/",'Paste #BBall'!H74)-1))-search("(",Left('Paste #BBall'!H74,Search("/",'Paste #BBall'!H74)-1)))</f>
        <v>4.2</v>
      </c>
      <c r="H74" s="82">
        <f t="shared" si="1"/>
        <v>0.6461538462</v>
      </c>
      <c r="I74" s="82" t="str">
        <f>right(Left('Paste #BBall'!I74,Search("/",'Paste #BBall'!I74)-1),len(Left('Paste #BBall'!I74,Search("/",'Paste #BBall'!I74)-1))-search("(",Left('Paste #BBall'!I74,Search("/",'Paste #BBall'!I74)-1)))</f>
        <v>2.0</v>
      </c>
      <c r="J74" s="82">
        <f t="shared" si="2"/>
        <v>0.7692307692</v>
      </c>
      <c r="K74" s="82">
        <f>'Paste #BBall'!J74</f>
        <v>0</v>
      </c>
      <c r="L74" s="82">
        <f>'Paste #BBall'!K74</f>
        <v>10.4</v>
      </c>
      <c r="M74" s="82">
        <f>'Paste #BBall'!L74</f>
        <v>6.7</v>
      </c>
      <c r="N74" s="82">
        <f>'Paste #BBall'!M74</f>
        <v>1.3</v>
      </c>
      <c r="O74" s="82">
        <f>'Paste #BBall'!N74</f>
        <v>0.7</v>
      </c>
      <c r="P74" s="82">
        <f>'Paste #BBall'!O74</f>
        <v>1.5</v>
      </c>
      <c r="Q74" s="82">
        <f>'Paste #BBall'!P74</f>
        <v>1</v>
      </c>
      <c r="R74" s="81" t="str">
        <f>Left(Right('Paste #BBall'!H74,Len('Paste #BBall'!H74)-Search("/",'Paste #BBall'!H74)),Len(Right('Paste #BBall'!H74,Len('Paste #BBall'!H74)-Search("/",'Paste #BBall'!H74)))-1)</f>
        <v>6.5</v>
      </c>
      <c r="S74" s="81" t="str">
        <f>Left(Right('Paste #BBall'!I74,Len('Paste #BBall'!I74)-Search("/",'Paste #BBall'!I74)),Len(Right('Paste #BBall'!I74,Len('Paste #BBall'!I74)-Search("/",'Paste #BBall'!I74)))-1)</f>
        <v>2.6</v>
      </c>
      <c r="T74" s="37"/>
      <c r="U74" s="37"/>
      <c r="V74" s="37"/>
    </row>
    <row r="75">
      <c r="A75" s="2">
        <v>74.0</v>
      </c>
      <c r="B75" s="2" t="str">
        <f>'Paste #BBall'!C75</f>
        <v>Zion Williamson</v>
      </c>
      <c r="C75" s="2" t="str">
        <f>'Paste #BBall'!D75</f>
        <v>PF</v>
      </c>
      <c r="D75" s="2" t="str">
        <f>'Paste #BBall'!E75</f>
        <v>NOP</v>
      </c>
      <c r="E75" s="2">
        <f>'Paste #BBall'!F75</f>
        <v>61</v>
      </c>
      <c r="F75" s="80">
        <f>'Paste #BBall'!G75</f>
        <v>33.1</v>
      </c>
      <c r="G75" s="81" t="str">
        <f>right(Left('Paste #BBall'!H75,Search("/",'Paste #BBall'!H75)-1),len(Left('Paste #BBall'!H75,Search("/",'Paste #BBall'!H75)-1))-search("(",Left('Paste #BBall'!H75,Search("/",'Paste #BBall'!H75)-1)))</f>
        <v>9.5</v>
      </c>
      <c r="H75" s="82">
        <f t="shared" si="1"/>
        <v>0.5864197531</v>
      </c>
      <c r="I75" s="82" t="str">
        <f>right(Left('Paste #BBall'!I75,Search("/",'Paste #BBall'!I75)-1),len(Left('Paste #BBall'!I75,Search("/",'Paste #BBall'!I75)-1))-search("(",Left('Paste #BBall'!I75,Search("/",'Paste #BBall'!I75)-1)))</f>
        <v>6.2</v>
      </c>
      <c r="J75" s="82">
        <f t="shared" si="2"/>
        <v>0.7045454545</v>
      </c>
      <c r="K75" s="82">
        <f>'Paste #BBall'!J75</f>
        <v>0.2</v>
      </c>
      <c r="L75" s="82">
        <f>'Paste #BBall'!K75</f>
        <v>25.5</v>
      </c>
      <c r="M75" s="82">
        <f>'Paste #BBall'!L75</f>
        <v>7.3</v>
      </c>
      <c r="N75" s="82">
        <f>'Paste #BBall'!M75</f>
        <v>3.1</v>
      </c>
      <c r="O75" s="82">
        <f>'Paste #BBall'!N75</f>
        <v>0.8</v>
      </c>
      <c r="P75" s="82">
        <f>'Paste #BBall'!O75</f>
        <v>0.5</v>
      </c>
      <c r="Q75" s="82">
        <f>'Paste #BBall'!P75</f>
        <v>2.7</v>
      </c>
      <c r="R75" s="81" t="str">
        <f>Left(Right('Paste #BBall'!H75,Len('Paste #BBall'!H75)-Search("/",'Paste #BBall'!H75)),Len(Right('Paste #BBall'!H75,Len('Paste #BBall'!H75)-Search("/",'Paste #BBall'!H75)))-1)</f>
        <v>16.2</v>
      </c>
      <c r="S75" s="81" t="str">
        <f>Left(Right('Paste #BBall'!I75,Len('Paste #BBall'!I75)-Search("/",'Paste #BBall'!I75)),Len(Right('Paste #BBall'!I75,Len('Paste #BBall'!I75)-Search("/",'Paste #BBall'!I75)))-1)</f>
        <v>8.8</v>
      </c>
      <c r="T75" s="37"/>
      <c r="U75" s="37"/>
      <c r="V75" s="37"/>
    </row>
    <row r="76">
      <c r="A76" s="2">
        <v>75.0</v>
      </c>
      <c r="B76" s="2" t="str">
        <f>'Paste #BBall'!C76</f>
        <v>Jerami Grant</v>
      </c>
      <c r="C76" s="2" t="str">
        <f>'Paste #BBall'!D76</f>
        <v>SF/PF</v>
      </c>
      <c r="D76" s="2" t="str">
        <f>'Paste #BBall'!E76</f>
        <v>POR</v>
      </c>
      <c r="E76" s="2">
        <f>'Paste #BBall'!F76</f>
        <v>70</v>
      </c>
      <c r="F76" s="80">
        <f>'Paste #BBall'!G76</f>
        <v>33.9</v>
      </c>
      <c r="G76" s="81" t="str">
        <f>right(Left('Paste #BBall'!H76,Search("/",'Paste #BBall'!H76)-1),len(Left('Paste #BBall'!H76,Search("/",'Paste #BBall'!H76)-1))-search("(",Left('Paste #BBall'!H76,Search("/",'Paste #BBall'!H76)-1)))</f>
        <v>5.8</v>
      </c>
      <c r="H76" s="82">
        <f t="shared" si="1"/>
        <v>0.4496124031</v>
      </c>
      <c r="I76" s="82" t="str">
        <f>right(Left('Paste #BBall'!I76,Search("/",'Paste #BBall'!I76)-1),len(Left('Paste #BBall'!I76,Search("/",'Paste #BBall'!I76)-1))-search("(",Left('Paste #BBall'!I76,Search("/",'Paste #BBall'!I76)-1)))</f>
        <v>3.0</v>
      </c>
      <c r="J76" s="82">
        <f t="shared" si="2"/>
        <v>0.8333333333</v>
      </c>
      <c r="K76" s="82">
        <f>'Paste #BBall'!J76</f>
        <v>1.7</v>
      </c>
      <c r="L76" s="82">
        <f>'Paste #BBall'!K76</f>
        <v>16.2</v>
      </c>
      <c r="M76" s="82">
        <f>'Paste #BBall'!L76</f>
        <v>4.1</v>
      </c>
      <c r="N76" s="82">
        <f>'Paste #BBall'!M76</f>
        <v>2.1</v>
      </c>
      <c r="O76" s="82">
        <f>'Paste #BBall'!N76</f>
        <v>1</v>
      </c>
      <c r="P76" s="82">
        <f>'Paste #BBall'!O76</f>
        <v>1.1</v>
      </c>
      <c r="Q76" s="82">
        <f>'Paste #BBall'!P76</f>
        <v>2</v>
      </c>
      <c r="R76" s="81" t="str">
        <f>Left(Right('Paste #BBall'!H76,Len('Paste #BBall'!H76)-Search("/",'Paste #BBall'!H76)),Len(Right('Paste #BBall'!H76,Len('Paste #BBall'!H76)-Search("/",'Paste #BBall'!H76)))-1)</f>
        <v>12.9</v>
      </c>
      <c r="S76" s="81" t="str">
        <f>Left(Right('Paste #BBall'!I76,Len('Paste #BBall'!I76)-Search("/",'Paste #BBall'!I76)),Len(Right('Paste #BBall'!I76,Len('Paste #BBall'!I76)-Search("/",'Paste #BBall'!I76)))-1)</f>
        <v>3.6</v>
      </c>
      <c r="T76" s="37"/>
      <c r="U76" s="37"/>
      <c r="V76" s="37"/>
    </row>
    <row r="77">
      <c r="A77" s="2">
        <v>76.0</v>
      </c>
      <c r="B77" s="2" t="str">
        <f>'Paste #BBall'!C77</f>
        <v>Wendell Carter Jr.</v>
      </c>
      <c r="C77" s="2" t="str">
        <f>'Paste #BBall'!D77</f>
        <v>PF/C</v>
      </c>
      <c r="D77" s="2" t="str">
        <f>'Paste #BBall'!E77</f>
        <v>ORL</v>
      </c>
      <c r="E77" s="2">
        <f>'Paste #BBall'!F77</f>
        <v>66</v>
      </c>
      <c r="F77" s="80">
        <f>'Paste #BBall'!G77</f>
        <v>30.3</v>
      </c>
      <c r="G77" s="81" t="str">
        <f>right(Left('Paste #BBall'!H77,Search("/",'Paste #BBall'!H77)-1),len(Left('Paste #BBall'!H77,Search("/",'Paste #BBall'!H77)-1))-search("(",Left('Paste #BBall'!H77,Search("/",'Paste #BBall'!H77)-1)))</f>
        <v>5.8</v>
      </c>
      <c r="H77" s="82">
        <f t="shared" si="1"/>
        <v>0.5272727273</v>
      </c>
      <c r="I77" s="82" t="str">
        <f>right(Left('Paste #BBall'!I77,Search("/",'Paste #BBall'!I77)-1),len(Left('Paste #BBall'!I77,Search("/",'Paste #BBall'!I77)-1))-search("(",Left('Paste #BBall'!I77,Search("/",'Paste #BBall'!I77)-1)))</f>
        <v>2.2</v>
      </c>
      <c r="J77" s="82">
        <f t="shared" si="2"/>
        <v>0.7096774194</v>
      </c>
      <c r="K77" s="82">
        <f>'Paste #BBall'!J77</f>
        <v>1</v>
      </c>
      <c r="L77" s="82">
        <f>'Paste #BBall'!K77</f>
        <v>14.8</v>
      </c>
      <c r="M77" s="82">
        <f>'Paste #BBall'!L77</f>
        <v>9.9</v>
      </c>
      <c r="N77" s="82">
        <f>'Paste #BBall'!M77</f>
        <v>2.4</v>
      </c>
      <c r="O77" s="82">
        <f>'Paste #BBall'!N77</f>
        <v>0.6</v>
      </c>
      <c r="P77" s="82">
        <f>'Paste #BBall'!O77</f>
        <v>0.7</v>
      </c>
      <c r="Q77" s="82">
        <f>'Paste #BBall'!P77</f>
        <v>1.9</v>
      </c>
      <c r="R77" s="81" t="str">
        <f>Left(Right('Paste #BBall'!H77,Len('Paste #BBall'!H77)-Search("/",'Paste #BBall'!H77)),Len(Right('Paste #BBall'!H77,Len('Paste #BBall'!H77)-Search("/",'Paste #BBall'!H77)))-1)</f>
        <v>11.0</v>
      </c>
      <c r="S77" s="81" t="str">
        <f>Left(Right('Paste #BBall'!I77,Len('Paste #BBall'!I77)-Search("/",'Paste #BBall'!I77)),Len(Right('Paste #BBall'!I77,Len('Paste #BBall'!I77)-Search("/",'Paste #BBall'!I77)))-1)</f>
        <v>3.1</v>
      </c>
      <c r="T77" s="37"/>
      <c r="U77" s="37"/>
      <c r="V77" s="37"/>
    </row>
    <row r="78">
      <c r="A78" s="2">
        <v>77.0</v>
      </c>
      <c r="B78" s="2" t="str">
        <f>'Paste #BBall'!C78</f>
        <v>Lauri Markkanen</v>
      </c>
      <c r="C78" s="2" t="str">
        <f>'Paste #BBall'!D78</f>
        <v>SF/PF</v>
      </c>
      <c r="D78" s="2" t="str">
        <f>'Paste #BBall'!E78</f>
        <v>UTA</v>
      </c>
      <c r="E78" s="2">
        <f>'Paste #BBall'!F78</f>
        <v>65</v>
      </c>
      <c r="F78" s="80">
        <f>'Paste #BBall'!G78</f>
        <v>32.3</v>
      </c>
      <c r="G78" s="81" t="str">
        <f>right(Left('Paste #BBall'!H78,Search("/",'Paste #BBall'!H78)-1),len(Left('Paste #BBall'!H78,Search("/",'Paste #BBall'!H78)-1))-search("(",Left('Paste #BBall'!H78,Search("/",'Paste #BBall'!H78)-1)))</f>
        <v>6.4</v>
      </c>
      <c r="H78" s="82">
        <f t="shared" si="1"/>
        <v>0.4475524476</v>
      </c>
      <c r="I78" s="82" t="str">
        <f>right(Left('Paste #BBall'!I78,Search("/",'Paste #BBall'!I78)-1),len(Left('Paste #BBall'!I78,Search("/",'Paste #BBall'!I78)-1))-search("(",Left('Paste #BBall'!I78,Search("/",'Paste #BBall'!I78)-1)))</f>
        <v>2.5</v>
      </c>
      <c r="J78" s="82">
        <f t="shared" si="2"/>
        <v>0.8620689655</v>
      </c>
      <c r="K78" s="82">
        <f>'Paste #BBall'!J78</f>
        <v>2.5</v>
      </c>
      <c r="L78" s="82">
        <f>'Paste #BBall'!K78</f>
        <v>17.7</v>
      </c>
      <c r="M78" s="82">
        <f>'Paste #BBall'!L78</f>
        <v>6.4</v>
      </c>
      <c r="N78" s="82">
        <f>'Paste #BBall'!M78</f>
        <v>1.5</v>
      </c>
      <c r="O78" s="82">
        <f>'Paste #BBall'!N78</f>
        <v>0.8</v>
      </c>
      <c r="P78" s="82">
        <f>'Paste #BBall'!O78</f>
        <v>0.5</v>
      </c>
      <c r="Q78" s="82">
        <f>'Paste #BBall'!P78</f>
        <v>1.2</v>
      </c>
      <c r="R78" s="81" t="str">
        <f>Left(Right('Paste #BBall'!H78,Len('Paste #BBall'!H78)-Search("/",'Paste #BBall'!H78)),Len(Right('Paste #BBall'!H78,Len('Paste #BBall'!H78)-Search("/",'Paste #BBall'!H78)))-1)</f>
        <v>14.3</v>
      </c>
      <c r="S78" s="81" t="str">
        <f>Left(Right('Paste #BBall'!I78,Len('Paste #BBall'!I78)-Search("/",'Paste #BBall'!I78)),Len(Right('Paste #BBall'!I78,Len('Paste #BBall'!I78)-Search("/",'Paste #BBall'!I78)))-1)</f>
        <v>2.9</v>
      </c>
      <c r="T78" s="37"/>
      <c r="U78" s="37"/>
      <c r="V78" s="37"/>
    </row>
    <row r="79">
      <c r="A79" s="2">
        <v>78.0</v>
      </c>
      <c r="B79" s="2" t="str">
        <f>'Paste #BBall'!C79</f>
        <v>Keegan Murray</v>
      </c>
      <c r="C79" s="2" t="str">
        <f>'Paste #BBall'!D79</f>
        <v>PF</v>
      </c>
      <c r="D79" s="2" t="str">
        <f>'Paste #BBall'!E79</f>
        <v>SAC</v>
      </c>
      <c r="E79" s="2">
        <f>'Paste #BBall'!F79</f>
        <v>72</v>
      </c>
      <c r="F79" s="80">
        <f>'Paste #BBall'!G79</f>
        <v>30</v>
      </c>
      <c r="G79" s="81" t="str">
        <f>right(Left('Paste #BBall'!H79,Search("/",'Paste #BBall'!H79)-1),len(Left('Paste #BBall'!H79,Search("/",'Paste #BBall'!H79)-1))-search("(",Left('Paste #BBall'!H79,Search("/",'Paste #BBall'!H79)-1)))</f>
        <v>6.0</v>
      </c>
      <c r="H79" s="82">
        <f t="shared" si="1"/>
        <v>0.5128205128</v>
      </c>
      <c r="I79" s="82" t="str">
        <f>right(Left('Paste #BBall'!I79,Search("/",'Paste #BBall'!I79)-1),len(Left('Paste #BBall'!I79,Search("/",'Paste #BBall'!I79)-1))-search("(",Left('Paste #BBall'!I79,Search("/",'Paste #BBall'!I79)-1)))</f>
        <v>2.8</v>
      </c>
      <c r="J79" s="82">
        <f t="shared" si="2"/>
        <v>0.7567567568</v>
      </c>
      <c r="K79" s="82">
        <f>'Paste #BBall'!J79</f>
        <v>1.3</v>
      </c>
      <c r="L79" s="82">
        <f>'Paste #BBall'!K79</f>
        <v>16.2</v>
      </c>
      <c r="M79" s="82">
        <f>'Paste #BBall'!L79</f>
        <v>6</v>
      </c>
      <c r="N79" s="82">
        <f>'Paste #BBall'!M79</f>
        <v>1</v>
      </c>
      <c r="O79" s="82">
        <f>'Paste #BBall'!N79</f>
        <v>0.7</v>
      </c>
      <c r="P79" s="82">
        <f>'Paste #BBall'!O79</f>
        <v>1</v>
      </c>
      <c r="Q79" s="82">
        <f>'Paste #BBall'!P79</f>
        <v>1</v>
      </c>
      <c r="R79" s="81" t="str">
        <f>Left(Right('Paste #BBall'!H79,Len('Paste #BBall'!H79)-Search("/",'Paste #BBall'!H79)),Len(Right('Paste #BBall'!H79,Len('Paste #BBall'!H79)-Search("/",'Paste #BBall'!H79)))-1)</f>
        <v>11.7</v>
      </c>
      <c r="S79" s="81" t="str">
        <f>Left(Right('Paste #BBall'!I79,Len('Paste #BBall'!I79)-Search("/",'Paste #BBall'!I79)),Len(Right('Paste #BBall'!I79,Len('Paste #BBall'!I79)-Search("/",'Paste #BBall'!I79)))-1)</f>
        <v>3.7</v>
      </c>
      <c r="T79" s="37"/>
      <c r="U79" s="37"/>
      <c r="V79" s="37"/>
    </row>
    <row r="80">
      <c r="A80" s="2">
        <v>79.0</v>
      </c>
      <c r="B80" s="2" t="str">
        <f>'Paste #BBall'!C80</f>
        <v>Al Horford</v>
      </c>
      <c r="C80" s="2" t="str">
        <f>'Paste #BBall'!D80</f>
        <v>PF/C</v>
      </c>
      <c r="D80" s="2" t="str">
        <f>'Paste #BBall'!E80</f>
        <v>BOS</v>
      </c>
      <c r="E80" s="2">
        <f>'Paste #BBall'!F80</f>
        <v>67</v>
      </c>
      <c r="F80" s="80">
        <f>'Paste #BBall'!G80</f>
        <v>27.1</v>
      </c>
      <c r="G80" s="81" t="str">
        <f>right(Left('Paste #BBall'!H80,Search("/",'Paste #BBall'!H80)-1),len(Left('Paste #BBall'!H80,Search("/",'Paste #BBall'!H80)-1))-search("(",Left('Paste #BBall'!H80,Search("/",'Paste #BBall'!H80)-1)))</f>
        <v>3.7</v>
      </c>
      <c r="H80" s="82">
        <f t="shared" si="1"/>
        <v>0.4683544304</v>
      </c>
      <c r="I80" s="82" t="str">
        <f>right(Left('Paste #BBall'!I80,Search("/",'Paste #BBall'!I80)-1),len(Left('Paste #BBall'!I80,Search("/",'Paste #BBall'!I80)-1))-search("(",Left('Paste #BBall'!I80,Search("/",'Paste #BBall'!I80)-1)))</f>
        <v>1.1</v>
      </c>
      <c r="J80" s="82">
        <f t="shared" si="2"/>
        <v>0.7857142857</v>
      </c>
      <c r="K80" s="82">
        <f>'Paste #BBall'!J80</f>
        <v>1.2</v>
      </c>
      <c r="L80" s="82">
        <f>'Paste #BBall'!K80</f>
        <v>9.8</v>
      </c>
      <c r="M80" s="82">
        <f>'Paste #BBall'!L80</f>
        <v>6.9</v>
      </c>
      <c r="N80" s="82">
        <f>'Paste #BBall'!M80</f>
        <v>3.2</v>
      </c>
      <c r="O80" s="82">
        <f>'Paste #BBall'!N80</f>
        <v>0.7</v>
      </c>
      <c r="P80" s="82">
        <f>'Paste #BBall'!O80</f>
        <v>1.1</v>
      </c>
      <c r="Q80" s="82">
        <f>'Paste #BBall'!P80</f>
        <v>0.9</v>
      </c>
      <c r="R80" s="81" t="str">
        <f>Left(Right('Paste #BBall'!H80,Len('Paste #BBall'!H80)-Search("/",'Paste #BBall'!H80)),Len(Right('Paste #BBall'!H80,Len('Paste #BBall'!H80)-Search("/",'Paste #BBall'!H80)))-1)</f>
        <v>7.9</v>
      </c>
      <c r="S80" s="81" t="str">
        <f>Left(Right('Paste #BBall'!I80,Len('Paste #BBall'!I80)-Search("/",'Paste #BBall'!I80)),Len(Right('Paste #BBall'!I80,Len('Paste #BBall'!I80)-Search("/",'Paste #BBall'!I80)))-1)</f>
        <v>1.4</v>
      </c>
      <c r="T80" s="37"/>
      <c r="U80" s="37"/>
      <c r="V80" s="37"/>
    </row>
    <row r="81">
      <c r="A81" s="2">
        <v>80.0</v>
      </c>
      <c r="B81" s="2" t="str">
        <f>'Paste #BBall'!C81</f>
        <v>Marcus Smart</v>
      </c>
      <c r="C81" s="2" t="str">
        <f>'Paste #BBall'!D81</f>
        <v>PG/SF</v>
      </c>
      <c r="D81" s="2" t="str">
        <f>'Paste #BBall'!E81</f>
        <v>BOS</v>
      </c>
      <c r="E81" s="2">
        <f>'Paste #BBall'!F81</f>
        <v>70</v>
      </c>
      <c r="F81" s="80">
        <f>'Paste #BBall'!G81</f>
        <v>31.4</v>
      </c>
      <c r="G81" s="81" t="str">
        <f>right(Left('Paste #BBall'!H81,Search("/",'Paste #BBall'!H81)-1),len(Left('Paste #BBall'!H81,Search("/",'Paste #BBall'!H81)-1))-search("(",Left('Paste #BBall'!H81,Search("/",'Paste #BBall'!H81)-1)))</f>
        <v>4.2</v>
      </c>
      <c r="H81" s="82">
        <f t="shared" si="1"/>
        <v>0.42</v>
      </c>
      <c r="I81" s="82" t="str">
        <f>right(Left('Paste #BBall'!I81,Search("/",'Paste #BBall'!I81)-1),len(Left('Paste #BBall'!I81,Search("/",'Paste #BBall'!I81)-1))-search("(",Left('Paste #BBall'!I81,Search("/",'Paste #BBall'!I81)-1)))</f>
        <v>1.8</v>
      </c>
      <c r="J81" s="82">
        <f t="shared" si="2"/>
        <v>0.8181818182</v>
      </c>
      <c r="K81" s="82">
        <f>'Paste #BBall'!J81</f>
        <v>1.6</v>
      </c>
      <c r="L81" s="82">
        <f>'Paste #BBall'!K81</f>
        <v>11.7</v>
      </c>
      <c r="M81" s="82">
        <f>'Paste #BBall'!L81</f>
        <v>3.8</v>
      </c>
      <c r="N81" s="82">
        <f>'Paste #BBall'!M81</f>
        <v>5.8</v>
      </c>
      <c r="O81" s="82">
        <f>'Paste #BBall'!N81</f>
        <v>1.7</v>
      </c>
      <c r="P81" s="82">
        <f>'Paste #BBall'!O81</f>
        <v>0.3</v>
      </c>
      <c r="Q81" s="82">
        <f>'Paste #BBall'!P81</f>
        <v>2.2</v>
      </c>
      <c r="R81" s="81" t="str">
        <f>Left(Right('Paste #BBall'!H81,Len('Paste #BBall'!H81)-Search("/",'Paste #BBall'!H81)),Len(Right('Paste #BBall'!H81,Len('Paste #BBall'!H81)-Search("/",'Paste #BBall'!H81)))-1)</f>
        <v>10.0</v>
      </c>
      <c r="S81" s="81" t="str">
        <f>Left(Right('Paste #BBall'!I81,Len('Paste #BBall'!I81)-Search("/",'Paste #BBall'!I81)),Len(Right('Paste #BBall'!I81,Len('Paste #BBall'!I81)-Search("/",'Paste #BBall'!I81)))-1)</f>
        <v>2.2</v>
      </c>
      <c r="T81" s="37"/>
      <c r="U81" s="37"/>
      <c r="V81" s="37"/>
    </row>
    <row r="82">
      <c r="A82" s="2">
        <v>81.0</v>
      </c>
      <c r="B82" s="2" t="str">
        <f>'Paste #BBall'!C82</f>
        <v>Jalen Brunson</v>
      </c>
      <c r="C82" s="2" t="str">
        <f>'Paste #BBall'!D82</f>
        <v>PG/SG</v>
      </c>
      <c r="D82" s="2" t="str">
        <f>'Paste #BBall'!E82</f>
        <v>NYK</v>
      </c>
      <c r="E82" s="2">
        <f>'Paste #BBall'!F82</f>
        <v>77</v>
      </c>
      <c r="F82" s="80">
        <f>'Paste #BBall'!G82</f>
        <v>33.9</v>
      </c>
      <c r="G82" s="81" t="str">
        <f>right(Left('Paste #BBall'!H82,Search("/",'Paste #BBall'!H82)-1),len(Left('Paste #BBall'!H82,Search("/",'Paste #BBall'!H82)-1))-search("(",Left('Paste #BBall'!H82,Search("/",'Paste #BBall'!H82)-1)))</f>
        <v>6.9</v>
      </c>
      <c r="H82" s="82">
        <f t="shared" si="1"/>
        <v>0.475862069</v>
      </c>
      <c r="I82" s="82" t="str">
        <f>right(Left('Paste #BBall'!I82,Search("/",'Paste #BBall'!I82)-1),len(Left('Paste #BBall'!I82,Search("/",'Paste #BBall'!I82)-1))-search("(",Left('Paste #BBall'!I82,Search("/",'Paste #BBall'!I82)-1)))</f>
        <v>2.5</v>
      </c>
      <c r="J82" s="82">
        <f t="shared" si="2"/>
        <v>0.8333333333</v>
      </c>
      <c r="K82" s="82">
        <f>'Paste #BBall'!J82</f>
        <v>1.3</v>
      </c>
      <c r="L82" s="82">
        <f>'Paste #BBall'!K82</f>
        <v>17.6</v>
      </c>
      <c r="M82" s="82">
        <f>'Paste #BBall'!L82</f>
        <v>3.6</v>
      </c>
      <c r="N82" s="82">
        <f>'Paste #BBall'!M82</f>
        <v>6.5</v>
      </c>
      <c r="O82" s="82">
        <f>'Paste #BBall'!N82</f>
        <v>0.9</v>
      </c>
      <c r="P82" s="82">
        <f>'Paste #BBall'!O82</f>
        <v>0</v>
      </c>
      <c r="Q82" s="82">
        <f>'Paste #BBall'!P82</f>
        <v>1.7</v>
      </c>
      <c r="R82" s="81" t="str">
        <f>Left(Right('Paste #BBall'!H82,Len('Paste #BBall'!H82)-Search("/",'Paste #BBall'!H82)),Len(Right('Paste #BBall'!H82,Len('Paste #BBall'!H82)-Search("/",'Paste #BBall'!H82)))-1)</f>
        <v>14.5</v>
      </c>
      <c r="S82" s="81" t="str">
        <f>Left(Right('Paste #BBall'!I82,Len('Paste #BBall'!I82)-Search("/",'Paste #BBall'!I82)),Len(Right('Paste #BBall'!I82,Len('Paste #BBall'!I82)-Search("/",'Paste #BBall'!I82)))-1)</f>
        <v>3.0</v>
      </c>
      <c r="T82" s="37"/>
      <c r="U82" s="37"/>
      <c r="V82" s="37"/>
    </row>
    <row r="83">
      <c r="A83" s="2">
        <v>82.0</v>
      </c>
      <c r="B83" s="2" t="str">
        <f>'Paste #BBall'!C83</f>
        <v>Gary Trent Jr.</v>
      </c>
      <c r="C83" s="2" t="str">
        <f>'Paste #BBall'!D83</f>
        <v>SG</v>
      </c>
      <c r="D83" s="2" t="str">
        <f>'Paste #BBall'!E83</f>
        <v>TOR</v>
      </c>
      <c r="E83" s="2">
        <f>'Paste #BBall'!F83</f>
        <v>70</v>
      </c>
      <c r="F83" s="80">
        <f>'Paste #BBall'!G83</f>
        <v>35</v>
      </c>
      <c r="G83" s="81" t="str">
        <f>right(Left('Paste #BBall'!H83,Search("/",'Paste #BBall'!H83)-1),len(Left('Paste #BBall'!H83,Search("/",'Paste #BBall'!H83)-1))-search("(",Left('Paste #BBall'!H83,Search("/",'Paste #BBall'!H83)-1)))</f>
        <v>6.5</v>
      </c>
      <c r="H83" s="82">
        <f t="shared" si="1"/>
        <v>0.4113924051</v>
      </c>
      <c r="I83" s="82" t="str">
        <f>right(Left('Paste #BBall'!I83,Search("/",'Paste #BBall'!I83)-1),len(Left('Paste #BBall'!I83,Search("/",'Paste #BBall'!I83)-1))-search("(",Left('Paste #BBall'!I83,Search("/",'Paste #BBall'!I83)-1)))</f>
        <v>2.3</v>
      </c>
      <c r="J83" s="82">
        <f t="shared" si="2"/>
        <v>0.8214285714</v>
      </c>
      <c r="K83" s="82">
        <f>'Paste #BBall'!J83</f>
        <v>3</v>
      </c>
      <c r="L83" s="82">
        <f>'Paste #BBall'!K83</f>
        <v>18.4</v>
      </c>
      <c r="M83" s="82">
        <f>'Paste #BBall'!L83</f>
        <v>2.9</v>
      </c>
      <c r="N83" s="82">
        <f>'Paste #BBall'!M83</f>
        <v>2</v>
      </c>
      <c r="O83" s="82">
        <f>'Paste #BBall'!N83</f>
        <v>1.5</v>
      </c>
      <c r="P83" s="82">
        <f>'Paste #BBall'!O83</f>
        <v>0.3</v>
      </c>
      <c r="Q83" s="82">
        <f>'Paste #BBall'!P83</f>
        <v>1</v>
      </c>
      <c r="R83" s="81" t="str">
        <f>Left(Right('Paste #BBall'!H83,Len('Paste #BBall'!H83)-Search("/",'Paste #BBall'!H83)),Len(Right('Paste #BBall'!H83,Len('Paste #BBall'!H83)-Search("/",'Paste #BBall'!H83)))-1)</f>
        <v>15.8</v>
      </c>
      <c r="S83" s="81" t="str">
        <f>Left(Right('Paste #BBall'!I83,Len('Paste #BBall'!I83)-Search("/",'Paste #BBall'!I83)),Len(Right('Paste #BBall'!I83,Len('Paste #BBall'!I83)-Search("/",'Paste #BBall'!I83)))-1)</f>
        <v>2.8</v>
      </c>
      <c r="T83" s="37"/>
      <c r="U83" s="37"/>
      <c r="V83" s="37"/>
    </row>
    <row r="84">
      <c r="A84" s="2">
        <v>83.0</v>
      </c>
      <c r="B84" s="2" t="str">
        <f>'Paste #BBall'!C84</f>
        <v>Jakob Poeltl</v>
      </c>
      <c r="C84" s="2" t="str">
        <f>'Paste #BBall'!D84</f>
        <v>C</v>
      </c>
      <c r="D84" s="2" t="str">
        <f>'Paste #BBall'!E84</f>
        <v>SAS</v>
      </c>
      <c r="E84" s="2">
        <f>'Paste #BBall'!F84</f>
        <v>68</v>
      </c>
      <c r="F84" s="80">
        <f>'Paste #BBall'!G84</f>
        <v>28.7</v>
      </c>
      <c r="G84" s="81" t="str">
        <f>right(Left('Paste #BBall'!H84,Search("/",'Paste #BBall'!H84)-1),len(Left('Paste #BBall'!H84,Search("/",'Paste #BBall'!H84)-1))-search("(",Left('Paste #BBall'!H84,Search("/",'Paste #BBall'!H84)-1)))</f>
        <v>6.1</v>
      </c>
      <c r="H84" s="82">
        <f t="shared" si="1"/>
        <v>0.6161616162</v>
      </c>
      <c r="I84" s="82" t="str">
        <f>right(Left('Paste #BBall'!I84,Search("/",'Paste #BBall'!I84)-1),len(Left('Paste #BBall'!I84,Search("/",'Paste #BBall'!I84)-1))-search("(",Left('Paste #BBall'!I84,Search("/",'Paste #BBall'!I84)-1)))</f>
        <v>1.4</v>
      </c>
      <c r="J84" s="82">
        <f t="shared" si="2"/>
        <v>0.4666666667</v>
      </c>
      <c r="K84" s="82">
        <f>'Paste #BBall'!J84</f>
        <v>0</v>
      </c>
      <c r="L84" s="82">
        <f>'Paste #BBall'!K84</f>
        <v>13.5</v>
      </c>
      <c r="M84" s="82">
        <f>'Paste #BBall'!L84</f>
        <v>9.5</v>
      </c>
      <c r="N84" s="82">
        <f>'Paste #BBall'!M84</f>
        <v>2.8</v>
      </c>
      <c r="O84" s="82">
        <f>'Paste #BBall'!N84</f>
        <v>0.7</v>
      </c>
      <c r="P84" s="82">
        <f>'Paste #BBall'!O84</f>
        <v>1.7</v>
      </c>
      <c r="Q84" s="82">
        <f>'Paste #BBall'!P84</f>
        <v>1.6</v>
      </c>
      <c r="R84" s="81" t="str">
        <f>Left(Right('Paste #BBall'!H84,Len('Paste #BBall'!H84)-Search("/",'Paste #BBall'!H84)),Len(Right('Paste #BBall'!H84,Len('Paste #BBall'!H84)-Search("/",'Paste #BBall'!H84)))-1)</f>
        <v>9.9</v>
      </c>
      <c r="S84" s="81" t="str">
        <f>Left(Right('Paste #BBall'!I84,Len('Paste #BBall'!I84)-Search("/",'Paste #BBall'!I84)),Len(Right('Paste #BBall'!I84,Len('Paste #BBall'!I84)-Search("/",'Paste #BBall'!I84)))-1)</f>
        <v>3.0</v>
      </c>
      <c r="T84" s="37"/>
      <c r="U84" s="37"/>
      <c r="V84" s="37"/>
    </row>
    <row r="85">
      <c r="A85" s="2">
        <v>84.0</v>
      </c>
      <c r="B85" s="2" t="str">
        <f>'Paste #BBall'!C85</f>
        <v>Alperen Sengun</v>
      </c>
      <c r="C85" s="2" t="str">
        <f>'Paste #BBall'!D85</f>
        <v>C</v>
      </c>
      <c r="D85" s="2" t="str">
        <f>'Paste #BBall'!E85</f>
        <v>HOU</v>
      </c>
      <c r="E85" s="2">
        <f>'Paste #BBall'!F85</f>
        <v>76</v>
      </c>
      <c r="F85" s="80">
        <f>'Paste #BBall'!G85</f>
        <v>30.1</v>
      </c>
      <c r="G85" s="81" t="str">
        <f>right(Left('Paste #BBall'!H85,Search("/",'Paste #BBall'!H85)-1),len(Left('Paste #BBall'!H85,Search("/",'Paste #BBall'!H85)-1))-search("(",Left('Paste #BBall'!H85,Search("/",'Paste #BBall'!H85)-1)))</f>
        <v>5.2</v>
      </c>
      <c r="H85" s="82">
        <f t="shared" si="1"/>
        <v>0.4727272727</v>
      </c>
      <c r="I85" s="82" t="str">
        <f>right(Left('Paste #BBall'!I85,Search("/",'Paste #BBall'!I85)-1),len(Left('Paste #BBall'!I85,Search("/",'Paste #BBall'!I85)-1))-search("(",Left('Paste #BBall'!I85,Search("/",'Paste #BBall'!I85)-1)))</f>
        <v>3.4</v>
      </c>
      <c r="J85" s="82">
        <f t="shared" si="2"/>
        <v>0.7234042553</v>
      </c>
      <c r="K85" s="82">
        <f>'Paste #BBall'!J85</f>
        <v>0.6</v>
      </c>
      <c r="L85" s="82">
        <f>'Paste #BBall'!K85</f>
        <v>14.3</v>
      </c>
      <c r="M85" s="82">
        <f>'Paste #BBall'!L85</f>
        <v>8.3</v>
      </c>
      <c r="N85" s="82">
        <f>'Paste #BBall'!M85</f>
        <v>3.8</v>
      </c>
      <c r="O85" s="82">
        <f>'Paste #BBall'!N85</f>
        <v>1</v>
      </c>
      <c r="P85" s="82">
        <f>'Paste #BBall'!O85</f>
        <v>1.2</v>
      </c>
      <c r="Q85" s="82">
        <f>'Paste #BBall'!P85</f>
        <v>3</v>
      </c>
      <c r="R85" s="81" t="str">
        <f>Left(Right('Paste #BBall'!H85,Len('Paste #BBall'!H85)-Search("/",'Paste #BBall'!H85)),Len(Right('Paste #BBall'!H85,Len('Paste #BBall'!H85)-Search("/",'Paste #BBall'!H85)))-1)</f>
        <v>11.0</v>
      </c>
      <c r="S85" s="81" t="str">
        <f>Left(Right('Paste #BBall'!I85,Len('Paste #BBall'!I85)-Search("/",'Paste #BBall'!I85)),Len(Right('Paste #BBall'!I85,Len('Paste #BBall'!I85)-Search("/",'Paste #BBall'!I85)))-1)</f>
        <v>4.7</v>
      </c>
      <c r="T85" s="37"/>
      <c r="U85" s="37"/>
      <c r="V85" s="37"/>
    </row>
    <row r="86">
      <c r="A86" s="2">
        <v>85.0</v>
      </c>
      <c r="B86" s="2" t="str">
        <f>'Paste #BBall'!C86</f>
        <v>Ben Simmons</v>
      </c>
      <c r="C86" s="2" t="str">
        <f>'Paste #BBall'!D86</f>
        <v>PG</v>
      </c>
      <c r="D86" s="2" t="str">
        <f>'Paste #BBall'!E86</f>
        <v>BRO</v>
      </c>
      <c r="E86" s="2">
        <f>'Paste #BBall'!F86</f>
        <v>68</v>
      </c>
      <c r="F86" s="80">
        <f>'Paste #BBall'!G86</f>
        <v>33.1</v>
      </c>
      <c r="G86" s="81" t="str">
        <f>right(Left('Paste #BBall'!H86,Search("/",'Paste #BBall'!H86)-1),len(Left('Paste #BBall'!H86,Search("/",'Paste #BBall'!H86)-1))-search("(",Left('Paste #BBall'!H86,Search("/",'Paste #BBall'!H86)-1)))</f>
        <v>5.1</v>
      </c>
      <c r="H86" s="82">
        <f t="shared" si="1"/>
        <v>0.51</v>
      </c>
      <c r="I86" s="82" t="str">
        <f>right(Left('Paste #BBall'!I86,Search("/",'Paste #BBall'!I86)-1),len(Left('Paste #BBall'!I86,Search("/",'Paste #BBall'!I86)-1))-search("(",Left('Paste #BBall'!I86,Search("/",'Paste #BBall'!I86)-1)))</f>
        <v>3.1</v>
      </c>
      <c r="J86" s="82">
        <f t="shared" si="2"/>
        <v>0.6888888889</v>
      </c>
      <c r="K86" s="82">
        <f>'Paste #BBall'!J86</f>
        <v>0.1</v>
      </c>
      <c r="L86" s="82">
        <f>'Paste #BBall'!K86</f>
        <v>13.4</v>
      </c>
      <c r="M86" s="82">
        <f>'Paste #BBall'!L86</f>
        <v>7.3</v>
      </c>
      <c r="N86" s="82">
        <f>'Paste #BBall'!M86</f>
        <v>6</v>
      </c>
      <c r="O86" s="82">
        <f>'Paste #BBall'!N86</f>
        <v>1.5</v>
      </c>
      <c r="P86" s="82">
        <f>'Paste #BBall'!O86</f>
        <v>0.6</v>
      </c>
      <c r="Q86" s="82">
        <f>'Paste #BBall'!P86</f>
        <v>3.1</v>
      </c>
      <c r="R86" s="81" t="str">
        <f>Left(Right('Paste #BBall'!H86,Len('Paste #BBall'!H86)-Search("/",'Paste #BBall'!H86)),Len(Right('Paste #BBall'!H86,Len('Paste #BBall'!H86)-Search("/",'Paste #BBall'!H86)))-1)</f>
        <v>10.0</v>
      </c>
      <c r="S86" s="81" t="str">
        <f>Left(Right('Paste #BBall'!I86,Len('Paste #BBall'!I86)-Search("/",'Paste #BBall'!I86)),Len(Right('Paste #BBall'!I86,Len('Paste #BBall'!I86)-Search("/",'Paste #BBall'!I86)))-1)</f>
        <v>4.5</v>
      </c>
      <c r="T86" s="37"/>
      <c r="U86" s="37"/>
      <c r="V86" s="37"/>
    </row>
    <row r="87">
      <c r="A87" s="2">
        <v>86.0</v>
      </c>
      <c r="B87" s="2" t="str">
        <f>'Paste #BBall'!C87</f>
        <v>Keldon Johnson</v>
      </c>
      <c r="C87" s="2" t="str">
        <f>'Paste #BBall'!D87</f>
        <v>SF/PF</v>
      </c>
      <c r="D87" s="2" t="str">
        <f>'Paste #BBall'!E87</f>
        <v>SAS</v>
      </c>
      <c r="E87" s="2">
        <f>'Paste #BBall'!F87</f>
        <v>68</v>
      </c>
      <c r="F87" s="80">
        <f>'Paste #BBall'!G87</f>
        <v>33.5</v>
      </c>
      <c r="G87" s="81" t="str">
        <f>right(Left('Paste #BBall'!H87,Search("/",'Paste #BBall'!H87)-1),len(Left('Paste #BBall'!H87,Search("/",'Paste #BBall'!H87)-1))-search("(",Left('Paste #BBall'!H87,Search("/",'Paste #BBall'!H87)-1)))</f>
        <v>7.2</v>
      </c>
      <c r="H87" s="82">
        <f t="shared" si="1"/>
        <v>0.464516129</v>
      </c>
      <c r="I87" s="82" t="str">
        <f>right(Left('Paste #BBall'!I87,Search("/",'Paste #BBall'!I87)-1),len(Left('Paste #BBall'!I87,Search("/",'Paste #BBall'!I87)-1))-search("(",Left('Paste #BBall'!I87,Search("/",'Paste #BBall'!I87)-1)))</f>
        <v>3.3</v>
      </c>
      <c r="J87" s="82">
        <f t="shared" si="2"/>
        <v>0.7857142857</v>
      </c>
      <c r="K87" s="82">
        <f>'Paste #BBall'!J87</f>
        <v>2.4</v>
      </c>
      <c r="L87" s="82">
        <f>'Paste #BBall'!K87</f>
        <v>20.1</v>
      </c>
      <c r="M87" s="82">
        <f>'Paste #BBall'!L87</f>
        <v>6.5</v>
      </c>
      <c r="N87" s="82">
        <f>'Paste #BBall'!M87</f>
        <v>2.3</v>
      </c>
      <c r="O87" s="82">
        <f>'Paste #BBall'!N87</f>
        <v>0.9</v>
      </c>
      <c r="P87" s="82">
        <f>'Paste #BBall'!O87</f>
        <v>0.2</v>
      </c>
      <c r="Q87" s="82">
        <f>'Paste #BBall'!P87</f>
        <v>1.6</v>
      </c>
      <c r="R87" s="81" t="str">
        <f>Left(Right('Paste #BBall'!H87,Len('Paste #BBall'!H87)-Search("/",'Paste #BBall'!H87)),Len(Right('Paste #BBall'!H87,Len('Paste #BBall'!H87)-Search("/",'Paste #BBall'!H87)))-1)</f>
        <v>15.5</v>
      </c>
      <c r="S87" s="81" t="str">
        <f>Left(Right('Paste #BBall'!I87,Len('Paste #BBall'!I87)-Search("/",'Paste #BBall'!I87)),Len(Right('Paste #BBall'!I87,Len('Paste #BBall'!I87)-Search("/",'Paste #BBall'!I87)))-1)</f>
        <v>4.2</v>
      </c>
      <c r="T87" s="37"/>
      <c r="U87" s="37"/>
      <c r="V87" s="37"/>
    </row>
    <row r="88">
      <c r="A88" s="2">
        <v>87.0</v>
      </c>
      <c r="B88" s="2" t="str">
        <f>'Paste #BBall'!C88</f>
        <v>Brook Lopez</v>
      </c>
      <c r="C88" s="2" t="str">
        <f>'Paste #BBall'!D88</f>
        <v>C</v>
      </c>
      <c r="D88" s="2" t="str">
        <f>'Paste #BBall'!E88</f>
        <v>MIL</v>
      </c>
      <c r="E88" s="2">
        <f>'Paste #BBall'!F88</f>
        <v>70</v>
      </c>
      <c r="F88" s="80">
        <f>'Paste #BBall'!G88</f>
        <v>26.7</v>
      </c>
      <c r="G88" s="81" t="str">
        <f>right(Left('Paste #BBall'!H88,Search("/",'Paste #BBall'!H88)-1),len(Left('Paste #BBall'!H88,Search("/",'Paste #BBall'!H88)-1))-search("(",Left('Paste #BBall'!H88,Search("/",'Paste #BBall'!H88)-1)))</f>
        <v>4.6</v>
      </c>
      <c r="H88" s="82">
        <f t="shared" si="1"/>
        <v>0.4791666667</v>
      </c>
      <c r="I88" s="82" t="str">
        <f>right(Left('Paste #BBall'!I88,Search("/",'Paste #BBall'!I88)-1),len(Left('Paste #BBall'!I88,Search("/",'Paste #BBall'!I88)-1))-search("(",Left('Paste #BBall'!I88,Search("/",'Paste #BBall'!I88)-1)))</f>
        <v>1.8</v>
      </c>
      <c r="J88" s="82">
        <f t="shared" si="2"/>
        <v>0.9</v>
      </c>
      <c r="K88" s="82">
        <f>'Paste #BBall'!J88</f>
        <v>1.4</v>
      </c>
      <c r="L88" s="82">
        <f>'Paste #BBall'!K88</f>
        <v>12.3</v>
      </c>
      <c r="M88" s="82">
        <f>'Paste #BBall'!L88</f>
        <v>4.9</v>
      </c>
      <c r="N88" s="82">
        <f>'Paste #BBall'!M88</f>
        <v>0.6</v>
      </c>
      <c r="O88" s="82">
        <f>'Paste #BBall'!N88</f>
        <v>0.7</v>
      </c>
      <c r="P88" s="82">
        <f>'Paste #BBall'!O88</f>
        <v>1.3</v>
      </c>
      <c r="Q88" s="82">
        <f>'Paste #BBall'!P88</f>
        <v>1.1</v>
      </c>
      <c r="R88" s="81" t="str">
        <f>Left(Right('Paste #BBall'!H88,Len('Paste #BBall'!H88)-Search("/",'Paste #BBall'!H88)),Len(Right('Paste #BBall'!H88,Len('Paste #BBall'!H88)-Search("/",'Paste #BBall'!H88)))-1)</f>
        <v>9.6</v>
      </c>
      <c r="S88" s="81" t="str">
        <f>Left(Right('Paste #BBall'!I88,Len('Paste #BBall'!I88)-Search("/",'Paste #BBall'!I88)),Len(Right('Paste #BBall'!I88,Len('Paste #BBall'!I88)-Search("/",'Paste #BBall'!I88)))-1)</f>
        <v>2.0</v>
      </c>
      <c r="T88" s="37"/>
      <c r="U88" s="37"/>
      <c r="V88" s="37"/>
    </row>
    <row r="89">
      <c r="A89" s="2">
        <v>88.0</v>
      </c>
      <c r="B89" s="2" t="str">
        <f>'Paste #BBall'!C89</f>
        <v>Franz Wagner</v>
      </c>
      <c r="C89" s="2" t="str">
        <f>'Paste #BBall'!D89</f>
        <v>SF/PF</v>
      </c>
      <c r="D89" s="2" t="str">
        <f>'Paste #BBall'!E89</f>
        <v>ORL</v>
      </c>
      <c r="E89" s="2">
        <f>'Paste #BBall'!F89</f>
        <v>80</v>
      </c>
      <c r="F89" s="80">
        <f>'Paste #BBall'!G89</f>
        <v>31.2</v>
      </c>
      <c r="G89" s="81" t="str">
        <f>right(Left('Paste #BBall'!H89,Search("/",'Paste #BBall'!H89)-1),len(Left('Paste #BBall'!H89,Search("/",'Paste #BBall'!H89)-1))-search("(",Left('Paste #BBall'!H89,Search("/",'Paste #BBall'!H89)-1)))</f>
        <v>6.5</v>
      </c>
      <c r="H89" s="82">
        <f t="shared" si="1"/>
        <v>0.4609929078</v>
      </c>
      <c r="I89" s="82" t="str">
        <f>right(Left('Paste #BBall'!I89,Search("/",'Paste #BBall'!I89)-1),len(Left('Paste #BBall'!I89,Search("/",'Paste #BBall'!I89)-1))-search("(",Left('Paste #BBall'!I89,Search("/",'Paste #BBall'!I89)-1)))</f>
        <v>2.5</v>
      </c>
      <c r="J89" s="82">
        <f t="shared" si="2"/>
        <v>0.8620689655</v>
      </c>
      <c r="K89" s="82">
        <f>'Paste #BBall'!J89</f>
        <v>1.4</v>
      </c>
      <c r="L89" s="82">
        <f>'Paste #BBall'!K89</f>
        <v>16.8</v>
      </c>
      <c r="M89" s="82">
        <f>'Paste #BBall'!L89</f>
        <v>4.7</v>
      </c>
      <c r="N89" s="82">
        <f>'Paste #BBall'!M89</f>
        <v>3</v>
      </c>
      <c r="O89" s="82">
        <f>'Paste #BBall'!N89</f>
        <v>0.9</v>
      </c>
      <c r="P89" s="82">
        <f>'Paste #BBall'!O89</f>
        <v>0.4</v>
      </c>
      <c r="Q89" s="82">
        <f>'Paste #BBall'!P89</f>
        <v>1.6</v>
      </c>
      <c r="R89" s="81" t="str">
        <f>Left(Right('Paste #BBall'!H89,Len('Paste #BBall'!H89)-Search("/",'Paste #BBall'!H89)),Len(Right('Paste #BBall'!H89,Len('Paste #BBall'!H89)-Search("/",'Paste #BBall'!H89)))-1)</f>
        <v>14.1</v>
      </c>
      <c r="S89" s="81" t="str">
        <f>Left(Right('Paste #BBall'!I89,Len('Paste #BBall'!I89)-Search("/",'Paste #BBall'!I89)),Len(Right('Paste #BBall'!I89,Len('Paste #BBall'!I89)-Search("/",'Paste #BBall'!I89)))-1)</f>
        <v>2.9</v>
      </c>
      <c r="T89" s="37"/>
      <c r="U89" s="37"/>
      <c r="V89" s="37"/>
    </row>
    <row r="90">
      <c r="A90" s="2">
        <v>89.0</v>
      </c>
      <c r="B90" s="2" t="str">
        <f>'Paste #BBall'!C90</f>
        <v>Saddiq Bey</v>
      </c>
      <c r="C90" s="2" t="str">
        <f>'Paste #BBall'!D90</f>
        <v>SF/PF</v>
      </c>
      <c r="D90" s="2" t="str">
        <f>'Paste #BBall'!E90</f>
        <v>DET</v>
      </c>
      <c r="E90" s="2">
        <f>'Paste #BBall'!F90</f>
        <v>80</v>
      </c>
      <c r="F90" s="80">
        <f>'Paste #BBall'!G90</f>
        <v>33.4</v>
      </c>
      <c r="G90" s="81" t="str">
        <f>right(Left('Paste #BBall'!H90,Search("/",'Paste #BBall'!H90)-1),len(Left('Paste #BBall'!H90,Search("/",'Paste #BBall'!H90)-1))-search("(",Left('Paste #BBall'!H90,Search("/",'Paste #BBall'!H90)-1)))</f>
        <v>6.0</v>
      </c>
      <c r="H90" s="82">
        <f t="shared" si="1"/>
        <v>0.4166666667</v>
      </c>
      <c r="I90" s="82" t="str">
        <f>right(Left('Paste #BBall'!I90,Search("/",'Paste #BBall'!I90)-1),len(Left('Paste #BBall'!I90,Search("/",'Paste #BBall'!I90)-1))-search("(",Left('Paste #BBall'!I90,Search("/",'Paste #BBall'!I90)-1)))</f>
        <v>2.7</v>
      </c>
      <c r="J90" s="82">
        <f t="shared" si="2"/>
        <v>0.84375</v>
      </c>
      <c r="K90" s="82">
        <f>'Paste #BBall'!J90</f>
        <v>2.9</v>
      </c>
      <c r="L90" s="82">
        <f>'Paste #BBall'!K90</f>
        <v>17.5</v>
      </c>
      <c r="M90" s="82">
        <f>'Paste #BBall'!L90</f>
        <v>5.6</v>
      </c>
      <c r="N90" s="82">
        <f>'Paste #BBall'!M90</f>
        <v>2.9</v>
      </c>
      <c r="O90" s="82">
        <f>'Paste #BBall'!N90</f>
        <v>0.9</v>
      </c>
      <c r="P90" s="82">
        <f>'Paste #BBall'!O90</f>
        <v>0.2</v>
      </c>
      <c r="Q90" s="82">
        <f>'Paste #BBall'!P90</f>
        <v>1.2</v>
      </c>
      <c r="R90" s="81" t="str">
        <f>Left(Right('Paste #BBall'!H90,Len('Paste #BBall'!H90)-Search("/",'Paste #BBall'!H90)),Len(Right('Paste #BBall'!H90,Len('Paste #BBall'!H90)-Search("/",'Paste #BBall'!H90)))-1)</f>
        <v>14.4</v>
      </c>
      <c r="S90" s="81" t="str">
        <f>Left(Right('Paste #BBall'!I90,Len('Paste #BBall'!I90)-Search("/",'Paste #BBall'!I90)),Len(Right('Paste #BBall'!I90,Len('Paste #BBall'!I90)-Search("/",'Paste #BBall'!I90)))-1)</f>
        <v>3.2</v>
      </c>
      <c r="T90" s="37"/>
      <c r="U90" s="37"/>
      <c r="V90" s="37"/>
    </row>
    <row r="91">
      <c r="A91" s="2">
        <v>90.0</v>
      </c>
      <c r="B91" s="2" t="str">
        <f>'Paste #BBall'!C91</f>
        <v>Robert Covington</v>
      </c>
      <c r="C91" s="2" t="str">
        <f>'Paste #BBall'!D91</f>
        <v>SF/PF</v>
      </c>
      <c r="D91" s="2" t="str">
        <f>'Paste #BBall'!E91</f>
        <v>LAC</v>
      </c>
      <c r="E91" s="2">
        <f>'Paste #BBall'!F91</f>
        <v>72</v>
      </c>
      <c r="F91" s="80">
        <f>'Paste #BBall'!G91</f>
        <v>26</v>
      </c>
      <c r="G91" s="81" t="str">
        <f>right(Left('Paste #BBall'!H91,Search("/",'Paste #BBall'!H91)-1),len(Left('Paste #BBall'!H91,Search("/",'Paste #BBall'!H91)-1))-search("(",Left('Paste #BBall'!H91,Search("/",'Paste #BBall'!H91)-1)))</f>
        <v>2.8</v>
      </c>
      <c r="H91" s="82">
        <f t="shared" si="1"/>
        <v>0.4117647059</v>
      </c>
      <c r="I91" s="82" t="str">
        <f>right(Left('Paste #BBall'!I91,Search("/",'Paste #BBall'!I91)-1),len(Left('Paste #BBall'!I91,Search("/",'Paste #BBall'!I91)-1))-search("(",Left('Paste #BBall'!I91,Search("/",'Paste #BBall'!I91)-1)))</f>
        <v>0.8</v>
      </c>
      <c r="J91" s="82">
        <f t="shared" si="2"/>
        <v>0.8</v>
      </c>
      <c r="K91" s="82">
        <f>'Paste #BBall'!J91</f>
        <v>1.8</v>
      </c>
      <c r="L91" s="82">
        <f>'Paste #BBall'!K91</f>
        <v>8.2</v>
      </c>
      <c r="M91" s="82">
        <f>'Paste #BBall'!L91</f>
        <v>5.4</v>
      </c>
      <c r="N91" s="82">
        <f>'Paste #BBall'!M91</f>
        <v>1.3</v>
      </c>
      <c r="O91" s="82">
        <f>'Paste #BBall'!N91</f>
        <v>1.3</v>
      </c>
      <c r="P91" s="82">
        <f>'Paste #BBall'!O91</f>
        <v>1.2</v>
      </c>
      <c r="Q91" s="82">
        <f>'Paste #BBall'!P91</f>
        <v>1.1</v>
      </c>
      <c r="R91" s="81" t="str">
        <f>Left(Right('Paste #BBall'!H91,Len('Paste #BBall'!H91)-Search("/",'Paste #BBall'!H91)),Len(Right('Paste #BBall'!H91,Len('Paste #BBall'!H91)-Search("/",'Paste #BBall'!H91)))-1)</f>
        <v>6.8</v>
      </c>
      <c r="S91" s="81" t="str">
        <f>Left(Right('Paste #BBall'!I91,Len('Paste #BBall'!I91)-Search("/",'Paste #BBall'!I91)),Len(Right('Paste #BBall'!I91,Len('Paste #BBall'!I91)-Search("/",'Paste #BBall'!I91)))-1)</f>
        <v>1.0</v>
      </c>
      <c r="T91" s="37"/>
      <c r="U91" s="37"/>
      <c r="V91" s="37"/>
    </row>
    <row r="92">
      <c r="A92" s="2">
        <v>91.0</v>
      </c>
      <c r="B92" s="2" t="str">
        <f>'Paste #BBall'!C92</f>
        <v>Kelly Olynyk</v>
      </c>
      <c r="C92" s="2" t="str">
        <f>'Paste #BBall'!D92</f>
        <v>PF/C</v>
      </c>
      <c r="D92" s="2" t="str">
        <f>'Paste #BBall'!E92</f>
        <v>UTA</v>
      </c>
      <c r="E92" s="2">
        <f>'Paste #BBall'!F92</f>
        <v>70</v>
      </c>
      <c r="F92" s="80">
        <f>'Paste #BBall'!G92</f>
        <v>26</v>
      </c>
      <c r="G92" s="81" t="str">
        <f>right(Left('Paste #BBall'!H92,Search("/",'Paste #BBall'!H92)-1),len(Left('Paste #BBall'!H92,Search("/",'Paste #BBall'!H92)-1))-search("(",Left('Paste #BBall'!H92,Search("/",'Paste #BBall'!H92)-1)))</f>
        <v>4.1</v>
      </c>
      <c r="H92" s="82">
        <f t="shared" si="1"/>
        <v>0.4505494505</v>
      </c>
      <c r="I92" s="82" t="str">
        <f>right(Left('Paste #BBall'!I92,Search("/",'Paste #BBall'!I92)-1),len(Left('Paste #BBall'!I92,Search("/",'Paste #BBall'!I92)-1))-search("(",Left('Paste #BBall'!I92,Search("/",'Paste #BBall'!I92)-1)))</f>
        <v>2.0</v>
      </c>
      <c r="J92" s="82">
        <f t="shared" si="2"/>
        <v>0.7692307692</v>
      </c>
      <c r="K92" s="82">
        <f>'Paste #BBall'!J92</f>
        <v>1.3</v>
      </c>
      <c r="L92" s="82">
        <f>'Paste #BBall'!K92</f>
        <v>11.5</v>
      </c>
      <c r="M92" s="82">
        <f>'Paste #BBall'!L92</f>
        <v>6.2</v>
      </c>
      <c r="N92" s="82">
        <f>'Paste #BBall'!M92</f>
        <v>3.9</v>
      </c>
      <c r="O92" s="82">
        <f>'Paste #BBall'!N92</f>
        <v>1.1</v>
      </c>
      <c r="P92" s="82">
        <f>'Paste #BBall'!O92</f>
        <v>0.7</v>
      </c>
      <c r="Q92" s="82">
        <f>'Paste #BBall'!P92</f>
        <v>2.1</v>
      </c>
      <c r="R92" s="81" t="str">
        <f>Left(Right('Paste #BBall'!H92,Len('Paste #BBall'!H92)-Search("/",'Paste #BBall'!H92)),Len(Right('Paste #BBall'!H92,Len('Paste #BBall'!H92)-Search("/",'Paste #BBall'!H92)))-1)</f>
        <v>9.1</v>
      </c>
      <c r="S92" s="81" t="str">
        <f>Left(Right('Paste #BBall'!I92,Len('Paste #BBall'!I92)-Search("/",'Paste #BBall'!I92)),Len(Right('Paste #BBall'!I92,Len('Paste #BBall'!I92)-Search("/",'Paste #BBall'!I92)))-1)</f>
        <v>2.6</v>
      </c>
      <c r="T92" s="37"/>
      <c r="U92" s="37"/>
      <c r="V92" s="37"/>
    </row>
    <row r="93">
      <c r="A93" s="2">
        <v>92.0</v>
      </c>
      <c r="B93" s="2" t="str">
        <f>'Paste #BBall'!C93</f>
        <v>Klay Thompson</v>
      </c>
      <c r="C93" s="2" t="str">
        <f>'Paste #BBall'!D93</f>
        <v>SG</v>
      </c>
      <c r="D93" s="2" t="str">
        <f>'Paste #BBall'!E93</f>
        <v>GSW</v>
      </c>
      <c r="E93" s="2">
        <f>'Paste #BBall'!F93</f>
        <v>69</v>
      </c>
      <c r="F93" s="80">
        <f>'Paste #BBall'!G93</f>
        <v>30.4</v>
      </c>
      <c r="G93" s="81" t="str">
        <f>right(Left('Paste #BBall'!H93,Search("/",'Paste #BBall'!H93)-1),len(Left('Paste #BBall'!H93,Search("/",'Paste #BBall'!H93)-1))-search("(",Left('Paste #BBall'!H93,Search("/",'Paste #BBall'!H93)-1)))</f>
        <v>7.8</v>
      </c>
      <c r="H93" s="82">
        <f t="shared" si="1"/>
        <v>0.4333333333</v>
      </c>
      <c r="I93" s="82" t="str">
        <f>right(Left('Paste #BBall'!I93,Search("/",'Paste #BBall'!I93)-1),len(Left('Paste #BBall'!I93,Search("/",'Paste #BBall'!I93)-1))-search("(",Left('Paste #BBall'!I93,Search("/",'Paste #BBall'!I93)-1)))</f>
        <v>1.4</v>
      </c>
      <c r="J93" s="82">
        <f t="shared" si="2"/>
        <v>0.875</v>
      </c>
      <c r="K93" s="82">
        <f>'Paste #BBall'!J93</f>
        <v>3.5</v>
      </c>
      <c r="L93" s="82">
        <f>'Paste #BBall'!K93</f>
        <v>20.4</v>
      </c>
      <c r="M93" s="82">
        <f>'Paste #BBall'!L93</f>
        <v>3.9</v>
      </c>
      <c r="N93" s="82">
        <f>'Paste #BBall'!M93</f>
        <v>2.8</v>
      </c>
      <c r="O93" s="82">
        <f>'Paste #BBall'!N93</f>
        <v>0.5</v>
      </c>
      <c r="P93" s="82">
        <f>'Paste #BBall'!O93</f>
        <v>0.5</v>
      </c>
      <c r="Q93" s="82">
        <f>'Paste #BBall'!P93</f>
        <v>1.3</v>
      </c>
      <c r="R93" s="81" t="str">
        <f>Left(Right('Paste #BBall'!H93,Len('Paste #BBall'!H93)-Search("/",'Paste #BBall'!H93)),Len(Right('Paste #BBall'!H93,Len('Paste #BBall'!H93)-Search("/",'Paste #BBall'!H93)))-1)</f>
        <v>18.0</v>
      </c>
      <c r="S93" s="81" t="str">
        <f>Left(Right('Paste #BBall'!I93,Len('Paste #BBall'!I93)-Search("/",'Paste #BBall'!I93)),Len(Right('Paste #BBall'!I93,Len('Paste #BBall'!I93)-Search("/",'Paste #BBall'!I93)))-1)</f>
        <v>1.6</v>
      </c>
      <c r="T93" s="37"/>
      <c r="U93" s="37"/>
      <c r="V93" s="37"/>
    </row>
    <row r="94">
      <c r="A94" s="2">
        <v>93.0</v>
      </c>
      <c r="B94" s="2" t="str">
        <f>'Paste #BBall'!C94</f>
        <v>Lonzo Ball</v>
      </c>
      <c r="C94" s="2" t="str">
        <f>'Paste #BBall'!D94</f>
        <v>PG</v>
      </c>
      <c r="D94" s="2" t="str">
        <f>'Paste #BBall'!E94</f>
        <v>CHI</v>
      </c>
      <c r="E94" s="2">
        <f>'Paste #BBall'!F94</f>
        <v>50</v>
      </c>
      <c r="F94" s="80">
        <f>'Paste #BBall'!G94</f>
        <v>30.4</v>
      </c>
      <c r="G94" s="81" t="str">
        <f>right(Left('Paste #BBall'!H94,Search("/",'Paste #BBall'!H94)-1),len(Left('Paste #BBall'!H94,Search("/",'Paste #BBall'!H94)-1))-search("(",Left('Paste #BBall'!H94,Search("/",'Paste #BBall'!H94)-1)))</f>
        <v>3.8</v>
      </c>
      <c r="H94" s="82">
        <f t="shared" si="1"/>
        <v>0.4086021505</v>
      </c>
      <c r="I94" s="82" t="str">
        <f>right(Left('Paste #BBall'!I94,Search("/",'Paste #BBall'!I94)-1),len(Left('Paste #BBall'!I94,Search("/",'Paste #BBall'!I94)-1))-search("(",Left('Paste #BBall'!I94,Search("/",'Paste #BBall'!I94)-1)))</f>
        <v>0.4</v>
      </c>
      <c r="J94" s="82">
        <f t="shared" si="2"/>
        <v>0.8</v>
      </c>
      <c r="K94" s="82">
        <f>'Paste #BBall'!J94</f>
        <v>2.3</v>
      </c>
      <c r="L94" s="82">
        <f>'Paste #BBall'!K94</f>
        <v>10.3</v>
      </c>
      <c r="M94" s="82">
        <f>'Paste #BBall'!L94</f>
        <v>4.4</v>
      </c>
      <c r="N94" s="82">
        <f>'Paste #BBall'!M94</f>
        <v>4.6</v>
      </c>
      <c r="O94" s="82">
        <f>'Paste #BBall'!N94</f>
        <v>1.3</v>
      </c>
      <c r="P94" s="82">
        <f>'Paste #BBall'!O94</f>
        <v>0.6</v>
      </c>
      <c r="Q94" s="82">
        <f>'Paste #BBall'!P94</f>
        <v>2.1</v>
      </c>
      <c r="R94" s="81" t="str">
        <f>Left(Right('Paste #BBall'!H94,Len('Paste #BBall'!H94)-Search("/",'Paste #BBall'!H94)),Len(Right('Paste #BBall'!H94,Len('Paste #BBall'!H94)-Search("/",'Paste #BBall'!H94)))-1)</f>
        <v>9.3</v>
      </c>
      <c r="S94" s="81" t="str">
        <f>Left(Right('Paste #BBall'!I94,Len('Paste #BBall'!I94)-Search("/",'Paste #BBall'!I94)),Len(Right('Paste #BBall'!I94,Len('Paste #BBall'!I94)-Search("/",'Paste #BBall'!I94)))-1)</f>
        <v>0.5</v>
      </c>
      <c r="T94" s="37"/>
      <c r="U94" s="37"/>
      <c r="V94" s="37"/>
    </row>
    <row r="95">
      <c r="A95" s="2">
        <v>94.0</v>
      </c>
      <c r="B95" s="2" t="str">
        <f>'Paste #BBall'!C95</f>
        <v>Isaiah Hartenstein</v>
      </c>
      <c r="C95" s="2" t="str">
        <f>'Paste #BBall'!D95</f>
        <v>PF/C</v>
      </c>
      <c r="D95" s="2" t="str">
        <f>'Paste #BBall'!E95</f>
        <v>NYK</v>
      </c>
      <c r="E95" s="2">
        <f>'Paste #BBall'!F95</f>
        <v>69</v>
      </c>
      <c r="F95" s="80">
        <f>'Paste #BBall'!G95</f>
        <v>21.1</v>
      </c>
      <c r="G95" s="81" t="str">
        <f>right(Left('Paste #BBall'!H95,Search("/",'Paste #BBall'!H95)-1),len(Left('Paste #BBall'!H95,Search("/",'Paste #BBall'!H95)-1))-search("(",Left('Paste #BBall'!H95,Search("/",'Paste #BBall'!H95)-1)))</f>
        <v>4.1</v>
      </c>
      <c r="H95" s="82">
        <f t="shared" si="1"/>
        <v>0.6119402985</v>
      </c>
      <c r="I95" s="82" t="str">
        <f>right(Left('Paste #BBall'!I95,Search("/",'Paste #BBall'!I95)-1),len(Left('Paste #BBall'!I95,Search("/",'Paste #BBall'!I95)-1))-search("(",Left('Paste #BBall'!I95,Search("/",'Paste #BBall'!I95)-1)))</f>
        <v>1.6</v>
      </c>
      <c r="J95" s="82">
        <f t="shared" si="2"/>
        <v>0.6956521739</v>
      </c>
      <c r="K95" s="82">
        <f>'Paste #BBall'!J95</f>
        <v>0.2</v>
      </c>
      <c r="L95" s="82">
        <f>'Paste #BBall'!K95</f>
        <v>10</v>
      </c>
      <c r="M95" s="82">
        <f>'Paste #BBall'!L95</f>
        <v>5.9</v>
      </c>
      <c r="N95" s="82">
        <f>'Paste #BBall'!M95</f>
        <v>2.6</v>
      </c>
      <c r="O95" s="82">
        <f>'Paste #BBall'!N95</f>
        <v>0.8</v>
      </c>
      <c r="P95" s="82">
        <f>'Paste #BBall'!O95</f>
        <v>1.2</v>
      </c>
      <c r="Q95" s="82">
        <f>'Paste #BBall'!P95</f>
        <v>1.4</v>
      </c>
      <c r="R95" s="81" t="str">
        <f>Left(Right('Paste #BBall'!H95,Len('Paste #BBall'!H95)-Search("/",'Paste #BBall'!H95)),Len(Right('Paste #BBall'!H95,Len('Paste #BBall'!H95)-Search("/",'Paste #BBall'!H95)))-1)</f>
        <v>6.7</v>
      </c>
      <c r="S95" s="81" t="str">
        <f>Left(Right('Paste #BBall'!I95,Len('Paste #BBall'!I95)-Search("/",'Paste #BBall'!I95)),Len(Right('Paste #BBall'!I95,Len('Paste #BBall'!I95)-Search("/",'Paste #BBall'!I95)))-1)</f>
        <v>2.3</v>
      </c>
      <c r="T95" s="37"/>
      <c r="U95" s="37"/>
      <c r="V95" s="37"/>
    </row>
    <row r="96">
      <c r="A96" s="2">
        <v>95.0</v>
      </c>
      <c r="B96" s="2" t="str">
        <f>'Paste #BBall'!C96</f>
        <v>Paolo Banchero</v>
      </c>
      <c r="C96" s="2" t="str">
        <f>'Paste #BBall'!D96</f>
        <v>PF</v>
      </c>
      <c r="D96" s="2" t="str">
        <f>'Paste #BBall'!E96</f>
        <v>ORL</v>
      </c>
      <c r="E96" s="2">
        <f>'Paste #BBall'!F96</f>
        <v>73</v>
      </c>
      <c r="F96" s="80">
        <f>'Paste #BBall'!G96</f>
        <v>31.8</v>
      </c>
      <c r="G96" s="81" t="str">
        <f>right(Left('Paste #BBall'!H96,Search("/",'Paste #BBall'!H96)-1),len(Left('Paste #BBall'!H96,Search("/",'Paste #BBall'!H96)-1))-search("(",Left('Paste #BBall'!H96,Search("/",'Paste #BBall'!H96)-1)))</f>
        <v>6.6</v>
      </c>
      <c r="H96" s="82">
        <f t="shared" si="1"/>
        <v>0.4680851064</v>
      </c>
      <c r="I96" s="82" t="str">
        <f>right(Left('Paste #BBall'!I96,Search("/",'Paste #BBall'!I96)-1),len(Left('Paste #BBall'!I96,Search("/",'Paste #BBall'!I96)-1))-search("(",Left('Paste #BBall'!I96,Search("/",'Paste #BBall'!I96)-1)))</f>
        <v>3.5</v>
      </c>
      <c r="J96" s="82">
        <f t="shared" si="2"/>
        <v>0.7291666667</v>
      </c>
      <c r="K96" s="82">
        <f>'Paste #BBall'!J96</f>
        <v>1.1</v>
      </c>
      <c r="L96" s="82">
        <f>'Paste #BBall'!K96</f>
        <v>17.9</v>
      </c>
      <c r="M96" s="82">
        <f>'Paste #BBall'!L96</f>
        <v>7.7</v>
      </c>
      <c r="N96" s="82">
        <f>'Paste #BBall'!M96</f>
        <v>3.2</v>
      </c>
      <c r="O96" s="82">
        <f>'Paste #BBall'!N96</f>
        <v>0.8</v>
      </c>
      <c r="P96" s="82">
        <f>'Paste #BBall'!O96</f>
        <v>0.9</v>
      </c>
      <c r="Q96" s="82">
        <f>'Paste #BBall'!P96</f>
        <v>2.4</v>
      </c>
      <c r="R96" s="81" t="str">
        <f>Left(Right('Paste #BBall'!H96,Len('Paste #BBall'!H96)-Search("/",'Paste #BBall'!H96)),Len(Right('Paste #BBall'!H96,Len('Paste #BBall'!H96)-Search("/",'Paste #BBall'!H96)))-1)</f>
        <v>14.1</v>
      </c>
      <c r="S96" s="81" t="str">
        <f>Left(Right('Paste #BBall'!I96,Len('Paste #BBall'!I96)-Search("/",'Paste #BBall'!I96)),Len(Right('Paste #BBall'!I96,Len('Paste #BBall'!I96)-Search("/",'Paste #BBall'!I96)))-1)</f>
        <v>4.8</v>
      </c>
      <c r="T96" s="37"/>
      <c r="U96" s="37"/>
      <c r="V96" s="37"/>
    </row>
    <row r="97">
      <c r="A97" s="2">
        <v>96.0</v>
      </c>
      <c r="B97" s="2" t="str">
        <f>'Paste #BBall'!C97</f>
        <v>Monte Morris</v>
      </c>
      <c r="C97" s="2" t="str">
        <f>'Paste #BBall'!D97</f>
        <v>PG</v>
      </c>
      <c r="D97" s="2" t="str">
        <f>'Paste #BBall'!E97</f>
        <v>WAS</v>
      </c>
      <c r="E97" s="2">
        <f>'Paste #BBall'!F97</f>
        <v>72</v>
      </c>
      <c r="F97" s="80">
        <f>'Paste #BBall'!G97</f>
        <v>28</v>
      </c>
      <c r="G97" s="81" t="str">
        <f>right(Left('Paste #BBall'!H97,Search("/",'Paste #BBall'!H97)-1),len(Left('Paste #BBall'!H97,Search("/",'Paste #BBall'!H97)-1))-search("(",Left('Paste #BBall'!H97,Search("/",'Paste #BBall'!H97)-1)))</f>
        <v>4.8</v>
      </c>
      <c r="H97" s="82">
        <f t="shared" si="1"/>
        <v>0.48</v>
      </c>
      <c r="I97" s="82" t="str">
        <f>right(Left('Paste #BBall'!I97,Search("/",'Paste #BBall'!I97)-1),len(Left('Paste #BBall'!I97,Search("/",'Paste #BBall'!I97)-1))-search("(",Left('Paste #BBall'!I97,Search("/",'Paste #BBall'!I97)-1)))</f>
        <v>1.2</v>
      </c>
      <c r="J97" s="82">
        <f t="shared" si="2"/>
        <v>0.8571428571</v>
      </c>
      <c r="K97" s="82">
        <f>'Paste #BBall'!J97</f>
        <v>1.8</v>
      </c>
      <c r="L97" s="82">
        <f>'Paste #BBall'!K97</f>
        <v>12.6</v>
      </c>
      <c r="M97" s="82">
        <f>'Paste #BBall'!L97</f>
        <v>3</v>
      </c>
      <c r="N97" s="82">
        <f>'Paste #BBall'!M97</f>
        <v>6.2</v>
      </c>
      <c r="O97" s="82">
        <f>'Paste #BBall'!N97</f>
        <v>0.8</v>
      </c>
      <c r="P97" s="82">
        <f>'Paste #BBall'!O97</f>
        <v>0.2</v>
      </c>
      <c r="Q97" s="82">
        <f>'Paste #BBall'!P97</f>
        <v>1</v>
      </c>
      <c r="R97" s="81" t="str">
        <f>Left(Right('Paste #BBall'!H97,Len('Paste #BBall'!H97)-Search("/",'Paste #BBall'!H97)),Len(Right('Paste #BBall'!H97,Len('Paste #BBall'!H97)-Search("/",'Paste #BBall'!H97)))-1)</f>
        <v>10.0</v>
      </c>
      <c r="S97" s="81" t="str">
        <f>Left(Right('Paste #BBall'!I97,Len('Paste #BBall'!I97)-Search("/",'Paste #BBall'!I97)),Len(Right('Paste #BBall'!I97,Len('Paste #BBall'!I97)-Search("/",'Paste #BBall'!I97)))-1)</f>
        <v>1.4</v>
      </c>
      <c r="T97" s="37"/>
      <c r="U97" s="37"/>
      <c r="V97" s="37"/>
    </row>
    <row r="98">
      <c r="A98" s="2">
        <v>97.0</v>
      </c>
      <c r="B98" s="2" t="str">
        <f>'Paste #BBall'!C98</f>
        <v>Josh Giddey</v>
      </c>
      <c r="C98" s="2" t="str">
        <f>'Paste #BBall'!D98</f>
        <v>PG/SG</v>
      </c>
      <c r="D98" s="2" t="str">
        <f>'Paste #BBall'!E98</f>
        <v>OKL</v>
      </c>
      <c r="E98" s="2">
        <f>'Paste #BBall'!F98</f>
        <v>64</v>
      </c>
      <c r="F98" s="80">
        <f>'Paste #BBall'!G98</f>
        <v>32.5</v>
      </c>
      <c r="G98" s="81" t="str">
        <f>right(Left('Paste #BBall'!H98,Search("/",'Paste #BBall'!H98)-1),len(Left('Paste #BBall'!H98,Search("/",'Paste #BBall'!H98)-1))-search("(",Left('Paste #BBall'!H98,Search("/",'Paste #BBall'!H98)-1)))</f>
        <v>6.0</v>
      </c>
      <c r="H98" s="82">
        <f t="shared" si="1"/>
        <v>0.4255319149</v>
      </c>
      <c r="I98" s="82" t="str">
        <f>right(Left('Paste #BBall'!I98,Search("/",'Paste #BBall'!I98)-1),len(Left('Paste #BBall'!I98,Search("/",'Paste #BBall'!I98)-1))-search("(",Left('Paste #BBall'!I98,Search("/",'Paste #BBall'!I98)-1)))</f>
        <v>1.3</v>
      </c>
      <c r="J98" s="82">
        <f t="shared" si="2"/>
        <v>0.7222222222</v>
      </c>
      <c r="K98" s="82">
        <f>'Paste #BBall'!J98</f>
        <v>1.2</v>
      </c>
      <c r="L98" s="82">
        <f>'Paste #BBall'!K98</f>
        <v>14.5</v>
      </c>
      <c r="M98" s="82">
        <f>'Paste #BBall'!L98</f>
        <v>8.2</v>
      </c>
      <c r="N98" s="82">
        <f>'Paste #BBall'!M98</f>
        <v>6.7</v>
      </c>
      <c r="O98" s="82">
        <f>'Paste #BBall'!N98</f>
        <v>1</v>
      </c>
      <c r="P98" s="82">
        <f>'Paste #BBall'!O98</f>
        <v>0.4</v>
      </c>
      <c r="Q98" s="82">
        <f>'Paste #BBall'!P98</f>
        <v>3.4</v>
      </c>
      <c r="R98" s="81" t="str">
        <f>Left(Right('Paste #BBall'!H98,Len('Paste #BBall'!H98)-Search("/",'Paste #BBall'!H98)),Len(Right('Paste #BBall'!H98,Len('Paste #BBall'!H98)-Search("/",'Paste #BBall'!H98)))-1)</f>
        <v>14.1</v>
      </c>
      <c r="S98" s="81" t="str">
        <f>Left(Right('Paste #BBall'!I98,Len('Paste #BBall'!I98)-Search("/",'Paste #BBall'!I98)),Len(Right('Paste #BBall'!I98,Len('Paste #BBall'!I98)-Search("/",'Paste #BBall'!I98)))-1)</f>
        <v>1.8</v>
      </c>
      <c r="T98" s="37"/>
      <c r="U98" s="37"/>
      <c r="V98" s="37"/>
    </row>
    <row r="99">
      <c r="A99" s="2">
        <v>98.0</v>
      </c>
      <c r="B99" s="2" t="str">
        <f>'Paste #BBall'!C99</f>
        <v>Christian Wood</v>
      </c>
      <c r="C99" s="2" t="str">
        <f>'Paste #BBall'!D99</f>
        <v>PF/C</v>
      </c>
      <c r="D99" s="2" t="str">
        <f>'Paste #BBall'!E99</f>
        <v>DAL</v>
      </c>
      <c r="E99" s="2">
        <f>'Paste #BBall'!F99</f>
        <v>72</v>
      </c>
      <c r="F99" s="80">
        <f>'Paste #BBall'!G99</f>
        <v>29.6</v>
      </c>
      <c r="G99" s="81" t="str">
        <f>right(Left('Paste #BBall'!H99,Search("/",'Paste #BBall'!H99)-1),len(Left('Paste #BBall'!H99,Search("/",'Paste #BBall'!H99)-1))-search("(",Left('Paste #BBall'!H99,Search("/",'Paste #BBall'!H99)-1)))</f>
        <v>6.2</v>
      </c>
      <c r="H99" s="82">
        <f t="shared" si="1"/>
        <v>0.5</v>
      </c>
      <c r="I99" s="82" t="str">
        <f>right(Left('Paste #BBall'!I99,Search("/",'Paste #BBall'!I99)-1),len(Left('Paste #BBall'!I99,Search("/",'Paste #BBall'!I99)-1))-search("(",Left('Paste #BBall'!I99,Search("/",'Paste #BBall'!I99)-1)))</f>
        <v>2.9</v>
      </c>
      <c r="J99" s="82">
        <f t="shared" si="2"/>
        <v>0.6444444444</v>
      </c>
      <c r="K99" s="82">
        <f>'Paste #BBall'!J99</f>
        <v>1.7</v>
      </c>
      <c r="L99" s="82">
        <f>'Paste #BBall'!K99</f>
        <v>17.1</v>
      </c>
      <c r="M99" s="82">
        <f>'Paste #BBall'!L99</f>
        <v>9.4</v>
      </c>
      <c r="N99" s="82">
        <f>'Paste #BBall'!M99</f>
        <v>2</v>
      </c>
      <c r="O99" s="82">
        <f>'Paste #BBall'!N99</f>
        <v>0.8</v>
      </c>
      <c r="P99" s="82">
        <f>'Paste #BBall'!O99</f>
        <v>1</v>
      </c>
      <c r="Q99" s="82">
        <f>'Paste #BBall'!P99</f>
        <v>1.8</v>
      </c>
      <c r="R99" s="81" t="str">
        <f>Left(Right('Paste #BBall'!H99,Len('Paste #BBall'!H99)-Search("/",'Paste #BBall'!H99)),Len(Right('Paste #BBall'!H99,Len('Paste #BBall'!H99)-Search("/",'Paste #BBall'!H99)))-1)</f>
        <v>12.4</v>
      </c>
      <c r="S99" s="81" t="str">
        <f>Left(Right('Paste #BBall'!I99,Len('Paste #BBall'!I99)-Search("/",'Paste #BBall'!I99)),Len(Right('Paste #BBall'!I99,Len('Paste #BBall'!I99)-Search("/",'Paste #BBall'!I99)))-1)</f>
        <v>4.5</v>
      </c>
      <c r="T99" s="37"/>
      <c r="U99" s="37"/>
      <c r="V99" s="37"/>
    </row>
    <row r="100">
      <c r="A100" s="2">
        <v>99.0</v>
      </c>
      <c r="B100" s="2" t="str">
        <f>'Paste #BBall'!C100</f>
        <v>Jusuf Nurkic</v>
      </c>
      <c r="C100" s="2" t="str">
        <f>'Paste #BBall'!D100</f>
        <v>C</v>
      </c>
      <c r="D100" s="2" t="str">
        <f>'Paste #BBall'!E100</f>
        <v>POR</v>
      </c>
      <c r="E100" s="2">
        <f>'Paste #BBall'!F100</f>
        <v>65</v>
      </c>
      <c r="F100" s="80">
        <f>'Paste #BBall'!G100</f>
        <v>28.2</v>
      </c>
      <c r="G100" s="81" t="str">
        <f>right(Left('Paste #BBall'!H100,Search("/",'Paste #BBall'!H100)-1),len(Left('Paste #BBall'!H100,Search("/",'Paste #BBall'!H100)-1))-search("(",Left('Paste #BBall'!H100,Search("/",'Paste #BBall'!H100)-1)))</f>
        <v>5.2</v>
      </c>
      <c r="H100" s="82">
        <f t="shared" si="1"/>
        <v>0.5148514851</v>
      </c>
      <c r="I100" s="82" t="str">
        <f>right(Left('Paste #BBall'!I100,Search("/",'Paste #BBall'!I100)-1),len(Left('Paste #BBall'!I100,Search("/",'Paste #BBall'!I100)-1))-search("(",Left('Paste #BBall'!I100,Search("/",'Paste #BBall'!I100)-1)))</f>
        <v>3.0</v>
      </c>
      <c r="J100" s="82">
        <f t="shared" si="2"/>
        <v>0.6666666667</v>
      </c>
      <c r="K100" s="82">
        <f>'Paste #BBall'!J100</f>
        <v>0.3</v>
      </c>
      <c r="L100" s="82">
        <f>'Paste #BBall'!K100</f>
        <v>13.8</v>
      </c>
      <c r="M100" s="82">
        <f>'Paste #BBall'!L100</f>
        <v>10.9</v>
      </c>
      <c r="N100" s="82">
        <f>'Paste #BBall'!M100</f>
        <v>2.6</v>
      </c>
      <c r="O100" s="82">
        <f>'Paste #BBall'!N100</f>
        <v>1.1</v>
      </c>
      <c r="P100" s="82">
        <f>'Paste #BBall'!O100</f>
        <v>0.8</v>
      </c>
      <c r="Q100" s="82">
        <f>'Paste #BBall'!P100</f>
        <v>2.7</v>
      </c>
      <c r="R100" s="81" t="str">
        <f>Left(Right('Paste #BBall'!H100,Len('Paste #BBall'!H100)-Search("/",'Paste #BBall'!H100)),Len(Right('Paste #BBall'!H100,Len('Paste #BBall'!H100)-Search("/",'Paste #BBall'!H100)))-1)</f>
        <v>10.1</v>
      </c>
      <c r="S100" s="81" t="str">
        <f>Left(Right('Paste #BBall'!I100,Len('Paste #BBall'!I100)-Search("/",'Paste #BBall'!I100)),Len(Right('Paste #BBall'!I100,Len('Paste #BBall'!I100)-Search("/",'Paste #BBall'!I100)))-1)</f>
        <v>4.5</v>
      </c>
      <c r="T100" s="37"/>
      <c r="U100" s="37"/>
      <c r="V100" s="37"/>
    </row>
    <row r="101">
      <c r="A101" s="2">
        <v>100.0</v>
      </c>
      <c r="B101" s="2" t="str">
        <f>'Paste #BBall'!C101</f>
        <v>Mike Conley</v>
      </c>
      <c r="C101" s="2" t="str">
        <f>'Paste #BBall'!D101</f>
        <v>PG</v>
      </c>
      <c r="D101" s="2" t="str">
        <f>'Paste #BBall'!E101</f>
        <v>UTA</v>
      </c>
      <c r="E101" s="2">
        <f>'Paste #BBall'!F101</f>
        <v>64</v>
      </c>
      <c r="F101" s="80">
        <f>'Paste #BBall'!G101</f>
        <v>27.2</v>
      </c>
      <c r="G101" s="81" t="str">
        <f>right(Left('Paste #BBall'!H101,Search("/",'Paste #BBall'!H101)-1),len(Left('Paste #BBall'!H101,Search("/",'Paste #BBall'!H101)-1))-search("(",Left('Paste #BBall'!H101,Search("/",'Paste #BBall'!H101)-1)))</f>
        <v>4.6</v>
      </c>
      <c r="H101" s="82">
        <f t="shared" si="1"/>
        <v>0.4339622642</v>
      </c>
      <c r="I101" s="82" t="str">
        <f>right(Left('Paste #BBall'!I101,Search("/",'Paste #BBall'!I101)-1),len(Left('Paste #BBall'!I101,Search("/",'Paste #BBall'!I101)-1))-search("(",Left('Paste #BBall'!I101,Search("/",'Paste #BBall'!I101)-1)))</f>
        <v>1.7</v>
      </c>
      <c r="J101" s="82">
        <f t="shared" si="2"/>
        <v>0.8095238095</v>
      </c>
      <c r="K101" s="82">
        <f>'Paste #BBall'!J101</f>
        <v>2.3</v>
      </c>
      <c r="L101" s="82">
        <f>'Paste #BBall'!K101</f>
        <v>13.3</v>
      </c>
      <c r="M101" s="82">
        <f>'Paste #BBall'!L101</f>
        <v>3</v>
      </c>
      <c r="N101" s="82">
        <f>'Paste #BBall'!M101</f>
        <v>5.1</v>
      </c>
      <c r="O101" s="82">
        <f>'Paste #BBall'!N101</f>
        <v>1.1</v>
      </c>
      <c r="P101" s="82">
        <f>'Paste #BBall'!O101</f>
        <v>0.3</v>
      </c>
      <c r="Q101" s="82">
        <f>'Paste #BBall'!P101</f>
        <v>1.6</v>
      </c>
      <c r="R101" s="81" t="str">
        <f>Left(Right('Paste #BBall'!H101,Len('Paste #BBall'!H101)-Search("/",'Paste #BBall'!H101)),Len(Right('Paste #BBall'!H101,Len('Paste #BBall'!H101)-Search("/",'Paste #BBall'!H101)))-1)</f>
        <v>10.6</v>
      </c>
      <c r="S101" s="81" t="str">
        <f>Left(Right('Paste #BBall'!I101,Len('Paste #BBall'!I101)-Search("/",'Paste #BBall'!I101)),Len(Right('Paste #BBall'!I101,Len('Paste #BBall'!I101)-Search("/",'Paste #BBall'!I101)))-1)</f>
        <v>2.1</v>
      </c>
      <c r="T101" s="37"/>
      <c r="U101" s="37"/>
      <c r="V101" s="37"/>
    </row>
    <row r="102">
      <c r="A102" s="2">
        <v>101.0</v>
      </c>
      <c r="B102" s="2" t="str">
        <f>'Paste #BBall'!C102</f>
        <v>Jabari Smith Jr</v>
      </c>
      <c r="C102" s="2" t="str">
        <f>'Paste #BBall'!D102</f>
        <v>PF</v>
      </c>
      <c r="D102" s="2" t="str">
        <f>'Paste #BBall'!E102</f>
        <v>HOU</v>
      </c>
      <c r="E102" s="2">
        <f>'Paste #BBall'!F102</f>
        <v>73</v>
      </c>
      <c r="F102" s="80">
        <f>'Paste #BBall'!G102</f>
        <v>28.8</v>
      </c>
      <c r="G102" s="81" t="str">
        <f>right(Left('Paste #BBall'!H102,Search("/",'Paste #BBall'!H102)-1),len(Left('Paste #BBall'!H102,Search("/",'Paste #BBall'!H102)-1))-search("(",Left('Paste #BBall'!H102,Search("/",'Paste #BBall'!H102)-1)))</f>
        <v>5.8</v>
      </c>
      <c r="H102" s="82">
        <f t="shared" si="1"/>
        <v>0.4461538462</v>
      </c>
      <c r="I102" s="82" t="str">
        <f>right(Left('Paste #BBall'!I102,Search("/",'Paste #BBall'!I102)-1),len(Left('Paste #BBall'!I102,Search("/",'Paste #BBall'!I102)-1))-search("(",Left('Paste #BBall'!I102,Search("/",'Paste #BBall'!I102)-1)))</f>
        <v>3.5</v>
      </c>
      <c r="J102" s="82">
        <f t="shared" si="2"/>
        <v>0.7608695652</v>
      </c>
      <c r="K102" s="82">
        <f>'Paste #BBall'!J102</f>
        <v>1.3</v>
      </c>
      <c r="L102" s="82">
        <f>'Paste #BBall'!K102</f>
        <v>16.5</v>
      </c>
      <c r="M102" s="82">
        <f>'Paste #BBall'!L102</f>
        <v>7.4</v>
      </c>
      <c r="N102" s="82">
        <f>'Paste #BBall'!M102</f>
        <v>1.5</v>
      </c>
      <c r="O102" s="82">
        <f>'Paste #BBall'!N102</f>
        <v>0.8</v>
      </c>
      <c r="P102" s="82">
        <f>'Paste #BBall'!O102</f>
        <v>1.1</v>
      </c>
      <c r="Q102" s="82">
        <f>'Paste #BBall'!P102</f>
        <v>1.9</v>
      </c>
      <c r="R102" s="81" t="str">
        <f>Left(Right('Paste #BBall'!H102,Len('Paste #BBall'!H102)-Search("/",'Paste #BBall'!H102)),Len(Right('Paste #BBall'!H102,Len('Paste #BBall'!H102)-Search("/",'Paste #BBall'!H102)))-1)</f>
        <v>13.0</v>
      </c>
      <c r="S102" s="81" t="str">
        <f>Left(Right('Paste #BBall'!I102,Len('Paste #BBall'!I102)-Search("/",'Paste #BBall'!I102)),Len(Right('Paste #BBall'!I102,Len('Paste #BBall'!I102)-Search("/",'Paste #BBall'!I102)))-1)</f>
        <v>4.6</v>
      </c>
      <c r="T102" s="37"/>
      <c r="U102" s="37"/>
      <c r="V102" s="37"/>
    </row>
    <row r="103">
      <c r="A103" s="2">
        <v>102.0</v>
      </c>
      <c r="B103" s="2" t="str">
        <f>'Paste #BBall'!C103</f>
        <v>JaVale McGee</v>
      </c>
      <c r="C103" s="2" t="str">
        <f>'Paste #BBall'!D103</f>
        <v>C</v>
      </c>
      <c r="D103" s="2" t="str">
        <f>'Paste #BBall'!E103</f>
        <v>DAL</v>
      </c>
      <c r="E103" s="2">
        <f>'Paste #BBall'!F103</f>
        <v>76</v>
      </c>
      <c r="F103" s="80">
        <f>'Paste #BBall'!G103</f>
        <v>22.2</v>
      </c>
      <c r="G103" s="81" t="str">
        <f>right(Left('Paste #BBall'!H103,Search("/",'Paste #BBall'!H103)-1),len(Left('Paste #BBall'!H103,Search("/",'Paste #BBall'!H103)-1))-search("(",Left('Paste #BBall'!H103,Search("/",'Paste #BBall'!H103)-1)))</f>
        <v>5.1</v>
      </c>
      <c r="H103" s="82">
        <f t="shared" si="1"/>
        <v>0.5795454545</v>
      </c>
      <c r="I103" s="82" t="str">
        <f>right(Left('Paste #BBall'!I103,Search("/",'Paste #BBall'!I103)-1),len(Left('Paste #BBall'!I103,Search("/",'Paste #BBall'!I103)-1))-search("(",Left('Paste #BBall'!I103,Search("/",'Paste #BBall'!I103)-1)))</f>
        <v>1.5</v>
      </c>
      <c r="J103" s="82">
        <f t="shared" si="2"/>
        <v>0.7142857143</v>
      </c>
      <c r="K103" s="82">
        <f>'Paste #BBall'!J103</f>
        <v>0</v>
      </c>
      <c r="L103" s="82">
        <f>'Paste #BBall'!K103</f>
        <v>11.8</v>
      </c>
      <c r="M103" s="82">
        <f>'Paste #BBall'!L103</f>
        <v>8.8</v>
      </c>
      <c r="N103" s="82">
        <f>'Paste #BBall'!M103</f>
        <v>0.9</v>
      </c>
      <c r="O103" s="82">
        <f>'Paste #BBall'!N103</f>
        <v>0.4</v>
      </c>
      <c r="P103" s="82">
        <f>'Paste #BBall'!O103</f>
        <v>1.4</v>
      </c>
      <c r="Q103" s="82">
        <f>'Paste #BBall'!P103</f>
        <v>1.9</v>
      </c>
      <c r="R103" s="81" t="str">
        <f>Left(Right('Paste #BBall'!H103,Len('Paste #BBall'!H103)-Search("/",'Paste #BBall'!H103)),Len(Right('Paste #BBall'!H103,Len('Paste #BBall'!H103)-Search("/",'Paste #BBall'!H103)))-1)</f>
        <v>8.8</v>
      </c>
      <c r="S103" s="81" t="str">
        <f>Left(Right('Paste #BBall'!I103,Len('Paste #BBall'!I103)-Search("/",'Paste #BBall'!I103)),Len(Right('Paste #BBall'!I103,Len('Paste #BBall'!I103)-Search("/",'Paste #BBall'!I103)))-1)</f>
        <v>2.1</v>
      </c>
      <c r="T103" s="37"/>
      <c r="U103" s="37"/>
      <c r="V103" s="37"/>
    </row>
    <row r="104">
      <c r="A104" s="2">
        <v>103.0</v>
      </c>
      <c r="B104" s="2" t="str">
        <f>'Paste #BBall'!C104</f>
        <v>Tre Jones</v>
      </c>
      <c r="C104" s="2" t="str">
        <f>'Paste #BBall'!D104</f>
        <v>PG</v>
      </c>
      <c r="D104" s="2" t="str">
        <f>'Paste #BBall'!E104</f>
        <v>SAS</v>
      </c>
      <c r="E104" s="2">
        <f>'Paste #BBall'!F104</f>
        <v>71</v>
      </c>
      <c r="F104" s="80">
        <f>'Paste #BBall'!G104</f>
        <v>30</v>
      </c>
      <c r="G104" s="81" t="str">
        <f>right(Left('Paste #BBall'!H104,Search("/",'Paste #BBall'!H104)-1),len(Left('Paste #BBall'!H104,Search("/",'Paste #BBall'!H104)-1))-search("(",Left('Paste #BBall'!H104,Search("/",'Paste #BBall'!H104)-1)))</f>
        <v>4.7</v>
      </c>
      <c r="H104" s="82">
        <f t="shared" si="1"/>
        <v>0.47</v>
      </c>
      <c r="I104" s="82" t="str">
        <f>right(Left('Paste #BBall'!I104,Search("/",'Paste #BBall'!I104)-1),len(Left('Paste #BBall'!I104,Search("/",'Paste #BBall'!I104)-1))-search("(",Left('Paste #BBall'!I104,Search("/",'Paste #BBall'!I104)-1)))</f>
        <v>2.0</v>
      </c>
      <c r="J104" s="82">
        <f t="shared" si="2"/>
        <v>0.8333333333</v>
      </c>
      <c r="K104" s="82">
        <f>'Paste #BBall'!J104</f>
        <v>0.7</v>
      </c>
      <c r="L104" s="82">
        <f>'Paste #BBall'!K104</f>
        <v>12.2</v>
      </c>
      <c r="M104" s="82">
        <f>'Paste #BBall'!L104</f>
        <v>4</v>
      </c>
      <c r="N104" s="82">
        <f>'Paste #BBall'!M104</f>
        <v>6.2</v>
      </c>
      <c r="O104" s="82">
        <f>'Paste #BBall'!N104</f>
        <v>1.1</v>
      </c>
      <c r="P104" s="82">
        <f>'Paste #BBall'!O104</f>
        <v>0.2</v>
      </c>
      <c r="Q104" s="82">
        <f>'Paste #BBall'!P104</f>
        <v>1.3</v>
      </c>
      <c r="R104" s="81" t="str">
        <f>Left(Right('Paste #BBall'!H104,Len('Paste #BBall'!H104)-Search("/",'Paste #BBall'!H104)),Len(Right('Paste #BBall'!H104,Len('Paste #BBall'!H104)-Search("/",'Paste #BBall'!H104)))-1)</f>
        <v>10.0</v>
      </c>
      <c r="S104" s="81" t="str">
        <f>Left(Right('Paste #BBall'!I104,Len('Paste #BBall'!I104)-Search("/",'Paste #BBall'!I104)),Len(Right('Paste #BBall'!I104,Len('Paste #BBall'!I104)-Search("/",'Paste #BBall'!I104)))-1)</f>
        <v>2.4</v>
      </c>
      <c r="T104" s="37"/>
      <c r="U104" s="37"/>
      <c r="V104" s="37"/>
    </row>
    <row r="105">
      <c r="A105" s="2">
        <v>104.0</v>
      </c>
      <c r="B105" s="2" t="str">
        <f>'Paste #BBall'!C105</f>
        <v>Kevin Porter Jr.</v>
      </c>
      <c r="C105" s="2" t="str">
        <f>'Paste #BBall'!D105</f>
        <v>PG/SF</v>
      </c>
      <c r="D105" s="2" t="str">
        <f>'Paste #BBall'!E105</f>
        <v>HOU</v>
      </c>
      <c r="E105" s="2">
        <f>'Paste #BBall'!F105</f>
        <v>61</v>
      </c>
      <c r="F105" s="80">
        <f>'Paste #BBall'!G105</f>
        <v>31.3</v>
      </c>
      <c r="G105" s="81" t="str">
        <f>right(Left('Paste #BBall'!H105,Search("/",'Paste #BBall'!H105)-1),len(Left('Paste #BBall'!H105,Search("/",'Paste #BBall'!H105)-1))-search("(",Left('Paste #BBall'!H105,Search("/",'Paste #BBall'!H105)-1)))</f>
        <v>6.0</v>
      </c>
      <c r="H105" s="82">
        <f t="shared" si="1"/>
        <v>0.4225352113</v>
      </c>
      <c r="I105" s="82" t="str">
        <f>right(Left('Paste #BBall'!I105,Search("/",'Paste #BBall'!I105)-1),len(Left('Paste #BBall'!I105,Search("/",'Paste #BBall'!I105)-1))-search("(",Left('Paste #BBall'!I105,Search("/",'Paste #BBall'!I105)-1)))</f>
        <v>2.3</v>
      </c>
      <c r="J105" s="82">
        <f t="shared" si="2"/>
        <v>0.696969697</v>
      </c>
      <c r="K105" s="82">
        <f>'Paste #BBall'!J105</f>
        <v>2.6</v>
      </c>
      <c r="L105" s="82">
        <f>'Paste #BBall'!K105</f>
        <v>16.9</v>
      </c>
      <c r="M105" s="82">
        <f>'Paste #BBall'!L105</f>
        <v>4.5</v>
      </c>
      <c r="N105" s="82">
        <f>'Paste #BBall'!M105</f>
        <v>6.3</v>
      </c>
      <c r="O105" s="82">
        <f>'Paste #BBall'!N105</f>
        <v>1.1</v>
      </c>
      <c r="P105" s="82">
        <f>'Paste #BBall'!O105</f>
        <v>0.4</v>
      </c>
      <c r="Q105" s="82">
        <f>'Paste #BBall'!P105</f>
        <v>3.2</v>
      </c>
      <c r="R105" s="81" t="str">
        <f>Left(Right('Paste #BBall'!H105,Len('Paste #BBall'!H105)-Search("/",'Paste #BBall'!H105)),Len(Right('Paste #BBall'!H105,Len('Paste #BBall'!H105)-Search("/",'Paste #BBall'!H105)))-1)</f>
        <v>14.2</v>
      </c>
      <c r="S105" s="81" t="str">
        <f>Left(Right('Paste #BBall'!I105,Len('Paste #BBall'!I105)-Search("/",'Paste #BBall'!I105)),Len(Right('Paste #BBall'!I105,Len('Paste #BBall'!I105)-Search("/",'Paste #BBall'!I105)))-1)</f>
        <v>3.3</v>
      </c>
      <c r="T105" s="37"/>
      <c r="U105" s="37"/>
      <c r="V105" s="37"/>
    </row>
    <row r="106">
      <c r="A106" s="2">
        <v>105.0</v>
      </c>
      <c r="B106" s="2" t="str">
        <f>'Paste #BBall'!C106</f>
        <v>Jarred Vanderbilt</v>
      </c>
      <c r="C106" s="2" t="str">
        <f>'Paste #BBall'!D106</f>
        <v>PF</v>
      </c>
      <c r="D106" s="2" t="str">
        <f>'Paste #BBall'!E106</f>
        <v>UTA</v>
      </c>
      <c r="E106" s="2">
        <f>'Paste #BBall'!F106</f>
        <v>70</v>
      </c>
      <c r="F106" s="80">
        <f>'Paste #BBall'!G106</f>
        <v>28</v>
      </c>
      <c r="G106" s="81" t="str">
        <f>right(Left('Paste #BBall'!H106,Search("/",'Paste #BBall'!H106)-1),len(Left('Paste #BBall'!H106,Search("/",'Paste #BBall'!H106)-1))-search("(",Left('Paste #BBall'!H106,Search("/",'Paste #BBall'!H106)-1)))</f>
        <v>3.8</v>
      </c>
      <c r="H106" s="82">
        <f t="shared" si="1"/>
        <v>0.5757575758</v>
      </c>
      <c r="I106" s="82" t="str">
        <f>right(Left('Paste #BBall'!I106,Search("/",'Paste #BBall'!I106)-1),len(Left('Paste #BBall'!I106,Search("/",'Paste #BBall'!I106)-1))-search("(",Left('Paste #BBall'!I106,Search("/",'Paste #BBall'!I106)-1)))</f>
        <v>1.3</v>
      </c>
      <c r="J106" s="82">
        <f t="shared" si="2"/>
        <v>0.65</v>
      </c>
      <c r="K106" s="82">
        <f>'Paste #BBall'!J106</f>
        <v>0</v>
      </c>
      <c r="L106" s="82">
        <f>'Paste #BBall'!K106</f>
        <v>8.9</v>
      </c>
      <c r="M106" s="82">
        <f>'Paste #BBall'!L106</f>
        <v>9.4</v>
      </c>
      <c r="N106" s="82">
        <f>'Paste #BBall'!M106</f>
        <v>1.5</v>
      </c>
      <c r="O106" s="82">
        <f>'Paste #BBall'!N106</f>
        <v>1.3</v>
      </c>
      <c r="P106" s="82">
        <f>'Paste #BBall'!O106</f>
        <v>0.7</v>
      </c>
      <c r="Q106" s="82">
        <f>'Paste #BBall'!P106</f>
        <v>1.1</v>
      </c>
      <c r="R106" s="81" t="str">
        <f>Left(Right('Paste #BBall'!H106,Len('Paste #BBall'!H106)-Search("/",'Paste #BBall'!H106)),Len(Right('Paste #BBall'!H106,Len('Paste #BBall'!H106)-Search("/",'Paste #BBall'!H106)))-1)</f>
        <v>6.6</v>
      </c>
      <c r="S106" s="81" t="str">
        <f>Left(Right('Paste #BBall'!I106,Len('Paste #BBall'!I106)-Search("/",'Paste #BBall'!I106)),Len(Right('Paste #BBall'!I106,Len('Paste #BBall'!I106)-Search("/",'Paste #BBall'!I106)))-1)</f>
        <v>2.0</v>
      </c>
      <c r="T106" s="37"/>
      <c r="U106" s="37"/>
      <c r="V106" s="37"/>
    </row>
    <row r="107">
      <c r="A107" s="2">
        <v>106.0</v>
      </c>
      <c r="B107" s="2" t="str">
        <f>'Paste #BBall'!C107</f>
        <v>Clint Capela</v>
      </c>
      <c r="C107" s="2" t="str">
        <f>'Paste #BBall'!D107</f>
        <v>C</v>
      </c>
      <c r="D107" s="2" t="str">
        <f>'Paste #BBall'!E107</f>
        <v>ATL</v>
      </c>
      <c r="E107" s="2">
        <f>'Paste #BBall'!F107</f>
        <v>72</v>
      </c>
      <c r="F107" s="80">
        <f>'Paste #BBall'!G107</f>
        <v>26.9</v>
      </c>
      <c r="G107" s="81" t="str">
        <f>right(Left('Paste #BBall'!H107,Search("/",'Paste #BBall'!H107)-1),len(Left('Paste #BBall'!H107,Search("/",'Paste #BBall'!H107)-1))-search("(",Left('Paste #BBall'!H107,Search("/",'Paste #BBall'!H107)-1)))</f>
        <v>5.0</v>
      </c>
      <c r="H107" s="82">
        <f t="shared" si="1"/>
        <v>0.6172839506</v>
      </c>
      <c r="I107" s="82" t="str">
        <f>right(Left('Paste #BBall'!I107,Search("/",'Paste #BBall'!I107)-1),len(Left('Paste #BBall'!I107,Search("/",'Paste #BBall'!I107)-1))-search("(",Left('Paste #BBall'!I107,Search("/",'Paste #BBall'!I107)-1)))</f>
        <v>1.1</v>
      </c>
      <c r="J107" s="82">
        <f t="shared" si="2"/>
        <v>0.4782608696</v>
      </c>
      <c r="K107" s="82">
        <f>'Paste #BBall'!J107</f>
        <v>0</v>
      </c>
      <c r="L107" s="82">
        <f>'Paste #BBall'!K107</f>
        <v>11</v>
      </c>
      <c r="M107" s="82">
        <f>'Paste #BBall'!L107</f>
        <v>11.8</v>
      </c>
      <c r="N107" s="82">
        <f>'Paste #BBall'!M107</f>
        <v>1.2</v>
      </c>
      <c r="O107" s="82">
        <f>'Paste #BBall'!N107</f>
        <v>0.7</v>
      </c>
      <c r="P107" s="82">
        <f>'Paste #BBall'!O107</f>
        <v>1.3</v>
      </c>
      <c r="Q107" s="82">
        <f>'Paste #BBall'!P107</f>
        <v>0.6</v>
      </c>
      <c r="R107" s="81" t="str">
        <f>Left(Right('Paste #BBall'!H107,Len('Paste #BBall'!H107)-Search("/",'Paste #BBall'!H107)),Len(Right('Paste #BBall'!H107,Len('Paste #BBall'!H107)-Search("/",'Paste #BBall'!H107)))-1)</f>
        <v>8.1</v>
      </c>
      <c r="S107" s="81" t="str">
        <f>Left(Right('Paste #BBall'!I107,Len('Paste #BBall'!I107)-Search("/",'Paste #BBall'!I107)),Len(Right('Paste #BBall'!I107,Len('Paste #BBall'!I107)-Search("/",'Paste #BBall'!I107)))-1)</f>
        <v>2.3</v>
      </c>
      <c r="T107" s="37"/>
      <c r="U107" s="37"/>
      <c r="V107" s="37"/>
    </row>
    <row r="108">
      <c r="A108" s="2">
        <v>107.0</v>
      </c>
      <c r="B108" s="2" t="str">
        <f>'Paste #BBall'!C108</f>
        <v>Herbert Jones</v>
      </c>
      <c r="C108" s="2" t="str">
        <f>'Paste #BBall'!D108</f>
        <v>SF/PF</v>
      </c>
      <c r="D108" s="2" t="str">
        <f>'Paste #BBall'!E108</f>
        <v>NOP</v>
      </c>
      <c r="E108" s="2">
        <f>'Paste #BBall'!F108</f>
        <v>76</v>
      </c>
      <c r="F108" s="80">
        <f>'Paste #BBall'!G108</f>
        <v>30</v>
      </c>
      <c r="G108" s="81" t="str">
        <f>right(Left('Paste #BBall'!H108,Search("/",'Paste #BBall'!H108)-1),len(Left('Paste #BBall'!H108,Search("/",'Paste #BBall'!H108)-1))-search("(",Left('Paste #BBall'!H108,Search("/",'Paste #BBall'!H108)-1)))</f>
        <v>3.6</v>
      </c>
      <c r="H108" s="82">
        <f t="shared" si="1"/>
        <v>0.4736842105</v>
      </c>
      <c r="I108" s="82" t="str">
        <f>right(Left('Paste #BBall'!I108,Search("/",'Paste #BBall'!I108)-1),len(Left('Paste #BBall'!I108,Search("/",'Paste #BBall'!I108)-1))-search("(",Left('Paste #BBall'!I108,Search("/",'Paste #BBall'!I108)-1)))</f>
        <v>1.8</v>
      </c>
      <c r="J108" s="82">
        <f t="shared" si="2"/>
        <v>0.8571428571</v>
      </c>
      <c r="K108" s="82">
        <f>'Paste #BBall'!J108</f>
        <v>0.7</v>
      </c>
      <c r="L108" s="82">
        <f>'Paste #BBall'!K108</f>
        <v>9.7</v>
      </c>
      <c r="M108" s="82">
        <f>'Paste #BBall'!L108</f>
        <v>3.9</v>
      </c>
      <c r="N108" s="82">
        <f>'Paste #BBall'!M108</f>
        <v>2</v>
      </c>
      <c r="O108" s="82">
        <f>'Paste #BBall'!N108</f>
        <v>1.5</v>
      </c>
      <c r="P108" s="82">
        <f>'Paste #BBall'!O108</f>
        <v>0.7</v>
      </c>
      <c r="Q108" s="82">
        <f>'Paste #BBall'!P108</f>
        <v>1.3</v>
      </c>
      <c r="R108" s="81" t="str">
        <f>Left(Right('Paste #BBall'!H108,Len('Paste #BBall'!H108)-Search("/",'Paste #BBall'!H108)),Len(Right('Paste #BBall'!H108,Len('Paste #BBall'!H108)-Search("/",'Paste #BBall'!H108)))-1)</f>
        <v>7.6</v>
      </c>
      <c r="S108" s="81" t="str">
        <f>Left(Right('Paste #BBall'!I108,Len('Paste #BBall'!I108)-Search("/",'Paste #BBall'!I108)),Len(Right('Paste #BBall'!I108,Len('Paste #BBall'!I108)-Search("/",'Paste #BBall'!I108)))-1)</f>
        <v>2.1</v>
      </c>
      <c r="T108" s="37"/>
      <c r="U108" s="37"/>
      <c r="V108" s="37"/>
    </row>
    <row r="109">
      <c r="A109" s="2">
        <v>108.0</v>
      </c>
      <c r="B109" s="2" t="str">
        <f>'Paste #BBall'!C109</f>
        <v>Bobby Portis</v>
      </c>
      <c r="C109" s="2" t="str">
        <f>'Paste #BBall'!D109</f>
        <v>PF/C</v>
      </c>
      <c r="D109" s="2" t="str">
        <f>'Paste #BBall'!E109</f>
        <v>MIL</v>
      </c>
      <c r="E109" s="2">
        <f>'Paste #BBall'!F109</f>
        <v>72</v>
      </c>
      <c r="F109" s="80">
        <f>'Paste #BBall'!G109</f>
        <v>26.6</v>
      </c>
      <c r="G109" s="81" t="str">
        <f>right(Left('Paste #BBall'!H109,Search("/",'Paste #BBall'!H109)-1),len(Left('Paste #BBall'!H109,Search("/",'Paste #BBall'!H109)-1))-search("(",Left('Paste #BBall'!H109,Search("/",'Paste #BBall'!H109)-1)))</f>
        <v>5.5</v>
      </c>
      <c r="H109" s="82">
        <f t="shared" si="1"/>
        <v>0.4824561404</v>
      </c>
      <c r="I109" s="82" t="str">
        <f>right(Left('Paste #BBall'!I109,Search("/",'Paste #BBall'!I109)-1),len(Left('Paste #BBall'!I109,Search("/",'Paste #BBall'!I109)-1))-search("(",Left('Paste #BBall'!I109,Search("/",'Paste #BBall'!I109)-1)))</f>
        <v>1.1</v>
      </c>
      <c r="J109" s="82">
        <f t="shared" si="2"/>
        <v>0.7333333333</v>
      </c>
      <c r="K109" s="82">
        <f>'Paste #BBall'!J109</f>
        <v>1.8</v>
      </c>
      <c r="L109" s="82">
        <f>'Paste #BBall'!K109</f>
        <v>13.8</v>
      </c>
      <c r="M109" s="82">
        <f>'Paste #BBall'!L109</f>
        <v>8.6</v>
      </c>
      <c r="N109" s="82">
        <f>'Paste #BBall'!M109</f>
        <v>1.1</v>
      </c>
      <c r="O109" s="82">
        <f>'Paste #BBall'!N109</f>
        <v>0.7</v>
      </c>
      <c r="P109" s="82">
        <f>'Paste #BBall'!O109</f>
        <v>0.7</v>
      </c>
      <c r="Q109" s="82">
        <f>'Paste #BBall'!P109</f>
        <v>1.2</v>
      </c>
      <c r="R109" s="81" t="str">
        <f>Left(Right('Paste #BBall'!H109,Len('Paste #BBall'!H109)-Search("/",'Paste #BBall'!H109)),Len(Right('Paste #BBall'!H109,Len('Paste #BBall'!H109)-Search("/",'Paste #BBall'!H109)))-1)</f>
        <v>11.4</v>
      </c>
      <c r="S109" s="81" t="str">
        <f>Left(Right('Paste #BBall'!I109,Len('Paste #BBall'!I109)-Search("/",'Paste #BBall'!I109)),Len(Right('Paste #BBall'!I109,Len('Paste #BBall'!I109)-Search("/",'Paste #BBall'!I109)))-1)</f>
        <v>1.5</v>
      </c>
      <c r="T109" s="37"/>
      <c r="U109" s="37"/>
      <c r="V109" s="37"/>
    </row>
    <row r="110">
      <c r="A110" s="2">
        <v>109.0</v>
      </c>
      <c r="B110" s="2" t="str">
        <f>'Paste #BBall'!C110</f>
        <v>Buddy Hield</v>
      </c>
      <c r="C110" s="2" t="str">
        <f>'Paste #BBall'!D110</f>
        <v>SG/SF</v>
      </c>
      <c r="D110" s="2" t="str">
        <f>'Paste #BBall'!E110</f>
        <v>IND</v>
      </c>
      <c r="E110" s="2">
        <f>'Paste #BBall'!F110</f>
        <v>78</v>
      </c>
      <c r="F110" s="80">
        <f>'Paste #BBall'!G110</f>
        <v>30.4</v>
      </c>
      <c r="G110" s="81" t="str">
        <f>right(Left('Paste #BBall'!H110,Search("/",'Paste #BBall'!H110)-1),len(Left('Paste #BBall'!H110,Search("/",'Paste #BBall'!H110)-1))-search("(",Left('Paste #BBall'!H110,Search("/",'Paste #BBall'!H110)-1)))</f>
        <v>5.6</v>
      </c>
      <c r="H110" s="82">
        <f t="shared" si="1"/>
        <v>0.4179104478</v>
      </c>
      <c r="I110" s="82" t="str">
        <f>right(Left('Paste #BBall'!I110,Search("/",'Paste #BBall'!I110)-1),len(Left('Paste #BBall'!I110,Search("/",'Paste #BBall'!I110)-1))-search("(",Left('Paste #BBall'!I110,Search("/",'Paste #BBall'!I110)-1)))</f>
        <v>1.4</v>
      </c>
      <c r="J110" s="82">
        <f t="shared" si="2"/>
        <v>0.875</v>
      </c>
      <c r="K110" s="82">
        <f>'Paste #BBall'!J110</f>
        <v>3.2</v>
      </c>
      <c r="L110" s="82">
        <f>'Paste #BBall'!K110</f>
        <v>15.8</v>
      </c>
      <c r="M110" s="82">
        <f>'Paste #BBall'!L110</f>
        <v>4.3</v>
      </c>
      <c r="N110" s="82">
        <f>'Paste #BBall'!M110</f>
        <v>2.8</v>
      </c>
      <c r="O110" s="82">
        <f>'Paste #BBall'!N110</f>
        <v>0.9</v>
      </c>
      <c r="P110" s="82">
        <f>'Paste #BBall'!O110</f>
        <v>0.3</v>
      </c>
      <c r="Q110" s="82">
        <f>'Paste #BBall'!P110</f>
        <v>1.9</v>
      </c>
      <c r="R110" s="81" t="str">
        <f>Left(Right('Paste #BBall'!H110,Len('Paste #BBall'!H110)-Search("/",'Paste #BBall'!H110)),Len(Right('Paste #BBall'!H110,Len('Paste #BBall'!H110)-Search("/",'Paste #BBall'!H110)))-1)</f>
        <v>13.4</v>
      </c>
      <c r="S110" s="81" t="str">
        <f>Left(Right('Paste #BBall'!I110,Len('Paste #BBall'!I110)-Search("/",'Paste #BBall'!I110)),Len(Right('Paste #BBall'!I110,Len('Paste #BBall'!I110)-Search("/",'Paste #BBall'!I110)))-1)</f>
        <v>1.6</v>
      </c>
      <c r="T110" s="37"/>
      <c r="U110" s="37"/>
      <c r="V110" s="37"/>
    </row>
    <row r="111">
      <c r="A111" s="2">
        <v>110.0</v>
      </c>
      <c r="B111" s="2" t="str">
        <f>'Paste #BBall'!C111</f>
        <v>Dorian Finney-Smith</v>
      </c>
      <c r="C111" s="2" t="str">
        <f>'Paste #BBall'!D111</f>
        <v>SF/PF</v>
      </c>
      <c r="D111" s="2" t="str">
        <f>'Paste #BBall'!E111</f>
        <v>DAL</v>
      </c>
      <c r="E111" s="2">
        <f>'Paste #BBall'!F111</f>
        <v>80</v>
      </c>
      <c r="F111" s="80">
        <f>'Paste #BBall'!G111</f>
        <v>32.1</v>
      </c>
      <c r="G111" s="81" t="str">
        <f>right(Left('Paste #BBall'!H111,Search("/",'Paste #BBall'!H111)-1),len(Left('Paste #BBall'!H111,Search("/",'Paste #BBall'!H111)-1))-search("(",Left('Paste #BBall'!H111,Search("/",'Paste #BBall'!H111)-1)))</f>
        <v>4.5</v>
      </c>
      <c r="H111" s="82">
        <f t="shared" si="1"/>
        <v>0.4736842105</v>
      </c>
      <c r="I111" s="82" t="str">
        <f>right(Left('Paste #BBall'!I111,Search("/",'Paste #BBall'!I111)-1),len(Left('Paste #BBall'!I111,Search("/",'Paste #BBall'!I111)-1))-search("(",Left('Paste #BBall'!I111,Search("/",'Paste #BBall'!I111)-1)))</f>
        <v>0.8</v>
      </c>
      <c r="J111" s="82">
        <f t="shared" si="2"/>
        <v>0.8</v>
      </c>
      <c r="K111" s="82">
        <f>'Paste #BBall'!J111</f>
        <v>2.2</v>
      </c>
      <c r="L111" s="82">
        <f>'Paste #BBall'!K111</f>
        <v>12</v>
      </c>
      <c r="M111" s="82">
        <f>'Paste #BBall'!L111</f>
        <v>4.7</v>
      </c>
      <c r="N111" s="82">
        <f>'Paste #BBall'!M111</f>
        <v>1.9</v>
      </c>
      <c r="O111" s="82">
        <f>'Paste #BBall'!N111</f>
        <v>1.1</v>
      </c>
      <c r="P111" s="82">
        <f>'Paste #BBall'!O111</f>
        <v>0.5</v>
      </c>
      <c r="Q111" s="82">
        <f>'Paste #BBall'!P111</f>
        <v>1</v>
      </c>
      <c r="R111" s="81" t="str">
        <f>Left(Right('Paste #BBall'!H111,Len('Paste #BBall'!H111)-Search("/",'Paste #BBall'!H111)),Len(Right('Paste #BBall'!H111,Len('Paste #BBall'!H111)-Search("/",'Paste #BBall'!H111)))-1)</f>
        <v>9.5</v>
      </c>
      <c r="S111" s="81" t="str">
        <f>Left(Right('Paste #BBall'!I111,Len('Paste #BBall'!I111)-Search("/",'Paste #BBall'!I111)),Len(Right('Paste #BBall'!I111,Len('Paste #BBall'!I111)-Search("/",'Paste #BBall'!I111)))-1)</f>
        <v>1.0</v>
      </c>
      <c r="T111" s="37"/>
      <c r="U111" s="37"/>
      <c r="V111" s="37"/>
    </row>
    <row r="112">
      <c r="A112" s="2">
        <v>111.0</v>
      </c>
      <c r="B112" s="2" t="str">
        <f>'Paste #BBall'!C112</f>
        <v>Kyle Kuzma</v>
      </c>
      <c r="C112" s="2" t="str">
        <f>'Paste #BBall'!D112</f>
        <v>SF/PF</v>
      </c>
      <c r="D112" s="2" t="str">
        <f>'Paste #BBall'!E112</f>
        <v>WAS</v>
      </c>
      <c r="E112" s="2">
        <f>'Paste #BBall'!F112</f>
        <v>70</v>
      </c>
      <c r="F112" s="80">
        <f>'Paste #BBall'!G112</f>
        <v>33.4</v>
      </c>
      <c r="G112" s="81" t="str">
        <f>right(Left('Paste #BBall'!H112,Search("/",'Paste #BBall'!H112)-1),len(Left('Paste #BBall'!H112,Search("/",'Paste #BBall'!H112)-1))-search("(",Left('Paste #BBall'!H112,Search("/",'Paste #BBall'!H112)-1)))</f>
        <v>6.1</v>
      </c>
      <c r="H112" s="82">
        <f t="shared" si="1"/>
        <v>0.4518518519</v>
      </c>
      <c r="I112" s="82" t="str">
        <f>right(Left('Paste #BBall'!I112,Search("/",'Paste #BBall'!I112)-1),len(Left('Paste #BBall'!I112,Search("/",'Paste #BBall'!I112)-1))-search("(",Left('Paste #BBall'!I112,Search("/",'Paste #BBall'!I112)-1)))</f>
        <v>2.5</v>
      </c>
      <c r="J112" s="82">
        <f t="shared" si="2"/>
        <v>0.7352941176</v>
      </c>
      <c r="K112" s="82">
        <f>'Paste #BBall'!J112</f>
        <v>1.9</v>
      </c>
      <c r="L112" s="82">
        <f>'Paste #BBall'!K112</f>
        <v>16.5</v>
      </c>
      <c r="M112" s="82">
        <f>'Paste #BBall'!L112</f>
        <v>8.1</v>
      </c>
      <c r="N112" s="82">
        <f>'Paste #BBall'!M112</f>
        <v>3.1</v>
      </c>
      <c r="O112" s="82">
        <f>'Paste #BBall'!N112</f>
        <v>0.6</v>
      </c>
      <c r="P112" s="82">
        <f>'Paste #BBall'!O112</f>
        <v>0.9</v>
      </c>
      <c r="Q112" s="82">
        <f>'Paste #BBall'!P112</f>
        <v>2.7</v>
      </c>
      <c r="R112" s="81" t="str">
        <f>Left(Right('Paste #BBall'!H112,Len('Paste #BBall'!H112)-Search("/",'Paste #BBall'!H112)),Len(Right('Paste #BBall'!H112,Len('Paste #BBall'!H112)-Search("/",'Paste #BBall'!H112)))-1)</f>
        <v>13.5</v>
      </c>
      <c r="S112" s="81" t="str">
        <f>Left(Right('Paste #BBall'!I112,Len('Paste #BBall'!I112)-Search("/",'Paste #BBall'!I112)),Len(Right('Paste #BBall'!I112,Len('Paste #BBall'!I112)-Search("/",'Paste #BBall'!I112)))-1)</f>
        <v>3.4</v>
      </c>
      <c r="T112" s="37"/>
      <c r="U112" s="37"/>
      <c r="V112" s="37"/>
    </row>
    <row r="113">
      <c r="A113" s="2">
        <v>112.0</v>
      </c>
      <c r="B113" s="2" t="str">
        <f>'Paste #BBall'!C113</f>
        <v>Cameron Johnson</v>
      </c>
      <c r="C113" s="2" t="str">
        <f>'Paste #BBall'!D113</f>
        <v>SF/PF</v>
      </c>
      <c r="D113" s="2" t="str">
        <f>'Paste #BBall'!E113</f>
        <v>PHX</v>
      </c>
      <c r="E113" s="2">
        <f>'Paste #BBall'!F113</f>
        <v>66</v>
      </c>
      <c r="F113" s="80">
        <f>'Paste #BBall'!G113</f>
        <v>28.2</v>
      </c>
      <c r="G113" s="81" t="str">
        <f>right(Left('Paste #BBall'!H113,Search("/",'Paste #BBall'!H113)-1),len(Left('Paste #BBall'!H113,Search("/",'Paste #BBall'!H113)-1))-search("(",Left('Paste #BBall'!H113,Search("/",'Paste #BBall'!H113)-1)))</f>
        <v>4.6</v>
      </c>
      <c r="H113" s="82">
        <f t="shared" si="1"/>
        <v>0.4554455446</v>
      </c>
      <c r="I113" s="82" t="str">
        <f>right(Left('Paste #BBall'!I113,Search("/",'Paste #BBall'!I113)-1),len(Left('Paste #BBall'!I113,Search("/",'Paste #BBall'!I113)-1))-search("(",Left('Paste #BBall'!I113,Search("/",'Paste #BBall'!I113)-1)))</f>
        <v>1.6</v>
      </c>
      <c r="J113" s="82">
        <f t="shared" si="2"/>
        <v>0.8421052632</v>
      </c>
      <c r="K113" s="82">
        <f>'Paste #BBall'!J113</f>
        <v>2.6</v>
      </c>
      <c r="L113" s="82">
        <f>'Paste #BBall'!K113</f>
        <v>13.4</v>
      </c>
      <c r="M113" s="82">
        <f>'Paste #BBall'!L113</f>
        <v>4.5</v>
      </c>
      <c r="N113" s="82">
        <f>'Paste #BBall'!M113</f>
        <v>1.6</v>
      </c>
      <c r="O113" s="82">
        <f>'Paste #BBall'!N113</f>
        <v>1</v>
      </c>
      <c r="P113" s="82">
        <f>'Paste #BBall'!O113</f>
        <v>0.2</v>
      </c>
      <c r="Q113" s="82">
        <f>'Paste #BBall'!P113</f>
        <v>0.8</v>
      </c>
      <c r="R113" s="81" t="str">
        <f>Left(Right('Paste #BBall'!H113,Len('Paste #BBall'!H113)-Search("/",'Paste #BBall'!H113)),Len(Right('Paste #BBall'!H113,Len('Paste #BBall'!H113)-Search("/",'Paste #BBall'!H113)))-1)</f>
        <v>10.1</v>
      </c>
      <c r="S113" s="81" t="str">
        <f>Left(Right('Paste #BBall'!I113,Len('Paste #BBall'!I113)-Search("/",'Paste #BBall'!I113)),Len(Right('Paste #BBall'!I113,Len('Paste #BBall'!I113)-Search("/",'Paste #BBall'!I113)))-1)</f>
        <v>1.9</v>
      </c>
      <c r="T113" s="37"/>
      <c r="U113" s="37"/>
      <c r="V113" s="37"/>
    </row>
    <row r="114">
      <c r="A114" s="2">
        <v>113.0</v>
      </c>
      <c r="B114" s="2" t="str">
        <f>'Paste #BBall'!C114</f>
        <v>Bogdan Bogdanovic</v>
      </c>
      <c r="C114" s="2" t="str">
        <f>'Paste #BBall'!D114</f>
        <v>SG/SF</v>
      </c>
      <c r="D114" s="2" t="str">
        <f>'Paste #BBall'!E114</f>
        <v>ATL</v>
      </c>
      <c r="E114" s="2">
        <f>'Paste #BBall'!F114</f>
        <v>65</v>
      </c>
      <c r="F114" s="80">
        <f>'Paste #BBall'!G114</f>
        <v>30.1</v>
      </c>
      <c r="G114" s="81" t="str">
        <f>right(Left('Paste #BBall'!H114,Search("/",'Paste #BBall'!H114)-1),len(Left('Paste #BBall'!H114,Search("/",'Paste #BBall'!H114)-1))-search("(",Left('Paste #BBall'!H114,Search("/",'Paste #BBall'!H114)-1)))</f>
        <v>5.3</v>
      </c>
      <c r="H114" s="82">
        <f t="shared" si="1"/>
        <v>0.4344262295</v>
      </c>
      <c r="I114" s="82" t="str">
        <f>right(Left('Paste #BBall'!I114,Search("/",'Paste #BBall'!I114)-1),len(Left('Paste #BBall'!I114,Search("/",'Paste #BBall'!I114)-1))-search("(",Left('Paste #BBall'!I114,Search("/",'Paste #BBall'!I114)-1)))</f>
        <v>1.5</v>
      </c>
      <c r="J114" s="82">
        <f t="shared" si="2"/>
        <v>0.8333333333</v>
      </c>
      <c r="K114" s="82">
        <f>'Paste #BBall'!J114</f>
        <v>2.6</v>
      </c>
      <c r="L114" s="82">
        <f>'Paste #BBall'!K114</f>
        <v>14.7</v>
      </c>
      <c r="M114" s="82">
        <f>'Paste #BBall'!L114</f>
        <v>3.9</v>
      </c>
      <c r="N114" s="82">
        <f>'Paste #BBall'!M114</f>
        <v>2.9</v>
      </c>
      <c r="O114" s="82">
        <f>'Paste #BBall'!N114</f>
        <v>1.1</v>
      </c>
      <c r="P114" s="82">
        <f>'Paste #BBall'!O114</f>
        <v>0.2</v>
      </c>
      <c r="Q114" s="82">
        <f>'Paste #BBall'!P114</f>
        <v>1.1</v>
      </c>
      <c r="R114" s="81" t="str">
        <f>Left(Right('Paste #BBall'!H114,Len('Paste #BBall'!H114)-Search("/",'Paste #BBall'!H114)),Len(Right('Paste #BBall'!H114,Len('Paste #BBall'!H114)-Search("/",'Paste #BBall'!H114)))-1)</f>
        <v>12.2</v>
      </c>
      <c r="S114" s="81" t="str">
        <f>Left(Right('Paste #BBall'!I114,Len('Paste #BBall'!I114)-Search("/",'Paste #BBall'!I114)),Len(Right('Paste #BBall'!I114,Len('Paste #BBall'!I114)-Search("/",'Paste #BBall'!I114)))-1)</f>
        <v>1.8</v>
      </c>
      <c r="T114" s="37"/>
      <c r="U114" s="37"/>
      <c r="V114" s="37"/>
    </row>
    <row r="115">
      <c r="A115" s="2">
        <v>114.0</v>
      </c>
      <c r="B115" s="2" t="str">
        <f>'Paste #BBall'!C115</f>
        <v>Jalen Green</v>
      </c>
      <c r="C115" s="2" t="str">
        <f>'Paste #BBall'!D115</f>
        <v>SG</v>
      </c>
      <c r="D115" s="2" t="str">
        <f>'Paste #BBall'!E115</f>
        <v>HOU</v>
      </c>
      <c r="E115" s="2">
        <f>'Paste #BBall'!F115</f>
        <v>72</v>
      </c>
      <c r="F115" s="80">
        <f>'Paste #BBall'!G115</f>
        <v>33.9</v>
      </c>
      <c r="G115" s="81" t="str">
        <f>right(Left('Paste #BBall'!H115,Search("/",'Paste #BBall'!H115)-1),len(Left('Paste #BBall'!H115,Search("/",'Paste #BBall'!H115)-1))-search("(",Left('Paste #BBall'!H115,Search("/",'Paste #BBall'!H115)-1)))</f>
        <v>7.6</v>
      </c>
      <c r="H115" s="82">
        <f t="shared" si="1"/>
        <v>0.4367816092</v>
      </c>
      <c r="I115" s="82" t="str">
        <f>right(Left('Paste #BBall'!I115,Search("/",'Paste #BBall'!I115)-1),len(Left('Paste #BBall'!I115,Search("/",'Paste #BBall'!I115)-1))-search("(",Left('Paste #BBall'!I115,Search("/",'Paste #BBall'!I115)-1)))</f>
        <v>3.0</v>
      </c>
      <c r="J115" s="82">
        <f t="shared" si="2"/>
        <v>0.7894736842</v>
      </c>
      <c r="K115" s="82">
        <f>'Paste #BBall'!J115</f>
        <v>2.7</v>
      </c>
      <c r="L115" s="82">
        <f>'Paste #BBall'!K115</f>
        <v>20.9</v>
      </c>
      <c r="M115" s="82">
        <f>'Paste #BBall'!L115</f>
        <v>3.7</v>
      </c>
      <c r="N115" s="82">
        <f>'Paste #BBall'!M115</f>
        <v>3.1</v>
      </c>
      <c r="O115" s="82">
        <f>'Paste #BBall'!N115</f>
        <v>0.8</v>
      </c>
      <c r="P115" s="82">
        <f>'Paste #BBall'!O115</f>
        <v>0.3</v>
      </c>
      <c r="Q115" s="82">
        <f>'Paste #BBall'!P115</f>
        <v>2.2</v>
      </c>
      <c r="R115" s="81" t="str">
        <f>Left(Right('Paste #BBall'!H115,Len('Paste #BBall'!H115)-Search("/",'Paste #BBall'!H115)),Len(Right('Paste #BBall'!H115,Len('Paste #BBall'!H115)-Search("/",'Paste #BBall'!H115)))-1)</f>
        <v>17.4</v>
      </c>
      <c r="S115" s="81" t="str">
        <f>Left(Right('Paste #BBall'!I115,Len('Paste #BBall'!I115)-Search("/",'Paste #BBall'!I115)),Len(Right('Paste #BBall'!I115,Len('Paste #BBall'!I115)-Search("/",'Paste #BBall'!I115)))-1)</f>
        <v>3.8</v>
      </c>
      <c r="T115" s="37"/>
      <c r="U115" s="37"/>
      <c r="V115" s="37"/>
    </row>
    <row r="116">
      <c r="A116" s="2">
        <v>115.0</v>
      </c>
      <c r="B116" s="2" t="str">
        <f>'Paste #BBall'!C116</f>
        <v>Nicolas Claxton</v>
      </c>
      <c r="C116" s="2" t="str">
        <f>'Paste #BBall'!D116</f>
        <v>PF/C</v>
      </c>
      <c r="D116" s="2" t="str">
        <f>'Paste #BBall'!E116</f>
        <v>BRO</v>
      </c>
      <c r="E116" s="2">
        <f>'Paste #BBall'!F116</f>
        <v>69</v>
      </c>
      <c r="F116" s="80">
        <f>'Paste #BBall'!G116</f>
        <v>27.1</v>
      </c>
      <c r="G116" s="81" t="str">
        <f>right(Left('Paste #BBall'!H116,Search("/",'Paste #BBall'!H116)-1),len(Left('Paste #BBall'!H116,Search("/",'Paste #BBall'!H116)-1))-search("(",Left('Paste #BBall'!H116,Search("/",'Paste #BBall'!H116)-1)))</f>
        <v>4.6</v>
      </c>
      <c r="H116" s="82">
        <f t="shared" si="1"/>
        <v>0.6301369863</v>
      </c>
      <c r="I116" s="82" t="str">
        <f>right(Left('Paste #BBall'!I116,Search("/",'Paste #BBall'!I116)-1),len(Left('Paste #BBall'!I116,Search("/",'Paste #BBall'!I116)-1))-search("(",Left('Paste #BBall'!I116,Search("/",'Paste #BBall'!I116)-1)))</f>
        <v>1.6</v>
      </c>
      <c r="J116" s="82">
        <f t="shared" si="2"/>
        <v>0.5925925926</v>
      </c>
      <c r="K116" s="82">
        <f>'Paste #BBall'!J116</f>
        <v>0</v>
      </c>
      <c r="L116" s="82">
        <f>'Paste #BBall'!K116</f>
        <v>10.8</v>
      </c>
      <c r="M116" s="82">
        <f>'Paste #BBall'!L116</f>
        <v>7.5</v>
      </c>
      <c r="N116" s="82">
        <f>'Paste #BBall'!M116</f>
        <v>1.2</v>
      </c>
      <c r="O116" s="82">
        <f>'Paste #BBall'!N116</f>
        <v>0.7</v>
      </c>
      <c r="P116" s="82">
        <f>'Paste #BBall'!O116</f>
        <v>1.5</v>
      </c>
      <c r="Q116" s="82">
        <f>'Paste #BBall'!P116</f>
        <v>1.1</v>
      </c>
      <c r="R116" s="81" t="str">
        <f>Left(Right('Paste #BBall'!H116,Len('Paste #BBall'!H116)-Search("/",'Paste #BBall'!H116)),Len(Right('Paste #BBall'!H116,Len('Paste #BBall'!H116)-Search("/",'Paste #BBall'!H116)))-1)</f>
        <v>7.3</v>
      </c>
      <c r="S116" s="81" t="str">
        <f>Left(Right('Paste #BBall'!I116,Len('Paste #BBall'!I116)-Search("/",'Paste #BBall'!I116)),Len(Right('Paste #BBall'!I116,Len('Paste #BBall'!I116)-Search("/",'Paste #BBall'!I116)))-1)</f>
        <v>2.7</v>
      </c>
      <c r="T116" s="37"/>
      <c r="U116" s="37"/>
      <c r="V116" s="37"/>
    </row>
    <row r="117">
      <c r="A117" s="2">
        <v>116.0</v>
      </c>
      <c r="B117" s="2" t="str">
        <f>'Paste #BBall'!C117</f>
        <v>Anfernee Simons</v>
      </c>
      <c r="C117" s="2" t="str">
        <f>'Paste #BBall'!D117</f>
        <v>PG/SF</v>
      </c>
      <c r="D117" s="2" t="str">
        <f>'Paste #BBall'!E117</f>
        <v>POR</v>
      </c>
      <c r="E117" s="2">
        <f>'Paste #BBall'!F117</f>
        <v>70</v>
      </c>
      <c r="F117" s="80">
        <f>'Paste #BBall'!G117</f>
        <v>32.1</v>
      </c>
      <c r="G117" s="81" t="str">
        <f>right(Left('Paste #BBall'!H117,Search("/",'Paste #BBall'!H117)-1),len(Left('Paste #BBall'!H117,Search("/",'Paste #BBall'!H117)-1))-search("(",Left('Paste #BBall'!H117,Search("/",'Paste #BBall'!H117)-1)))</f>
        <v>6.9</v>
      </c>
      <c r="H117" s="82">
        <f t="shared" si="1"/>
        <v>0.4451612903</v>
      </c>
      <c r="I117" s="82" t="str">
        <f>right(Left('Paste #BBall'!I117,Search("/",'Paste #BBall'!I117)-1),len(Left('Paste #BBall'!I117,Search("/",'Paste #BBall'!I117)-1))-search("(",Left('Paste #BBall'!I117,Search("/",'Paste #BBall'!I117)-1)))</f>
        <v>2.0</v>
      </c>
      <c r="J117" s="82">
        <f t="shared" si="2"/>
        <v>0.9090909091</v>
      </c>
      <c r="K117" s="82">
        <f>'Paste #BBall'!J117</f>
        <v>3</v>
      </c>
      <c r="L117" s="82">
        <f>'Paste #BBall'!K117</f>
        <v>18.8</v>
      </c>
      <c r="M117" s="82">
        <f>'Paste #BBall'!L117</f>
        <v>3</v>
      </c>
      <c r="N117" s="82">
        <f>'Paste #BBall'!M117</f>
        <v>3.3</v>
      </c>
      <c r="O117" s="82">
        <f>'Paste #BBall'!N117</f>
        <v>0.6</v>
      </c>
      <c r="P117" s="82">
        <f>'Paste #BBall'!O117</f>
        <v>0.1</v>
      </c>
      <c r="Q117" s="82">
        <f>'Paste #BBall'!P117</f>
        <v>2.2</v>
      </c>
      <c r="R117" s="81" t="str">
        <f>Left(Right('Paste #BBall'!H117,Len('Paste #BBall'!H117)-Search("/",'Paste #BBall'!H117)),Len(Right('Paste #BBall'!H117,Len('Paste #BBall'!H117)-Search("/",'Paste #BBall'!H117)))-1)</f>
        <v>15.5</v>
      </c>
      <c r="S117" s="81" t="str">
        <f>Left(Right('Paste #BBall'!I117,Len('Paste #BBall'!I117)-Search("/",'Paste #BBall'!I117)),Len(Right('Paste #BBall'!I117,Len('Paste #BBall'!I117)-Search("/",'Paste #BBall'!I117)))-1)</f>
        <v>2.2</v>
      </c>
      <c r="T117" s="37"/>
      <c r="U117" s="37"/>
      <c r="V117" s="37"/>
    </row>
    <row r="118">
      <c r="A118" s="2">
        <v>117.0</v>
      </c>
      <c r="B118" s="2" t="str">
        <f>'Paste #BBall'!C118</f>
        <v>Spencer Dinwiddie</v>
      </c>
      <c r="C118" s="2" t="str">
        <f>'Paste #BBall'!D118</f>
        <v>PG/SF</v>
      </c>
      <c r="D118" s="2" t="str">
        <f>'Paste #BBall'!E118</f>
        <v>DAL</v>
      </c>
      <c r="E118" s="2">
        <f>'Paste #BBall'!F118</f>
        <v>70</v>
      </c>
      <c r="F118" s="80">
        <f>'Paste #BBall'!G118</f>
        <v>31.7</v>
      </c>
      <c r="G118" s="81" t="str">
        <f>right(Left('Paste #BBall'!H118,Search("/",'Paste #BBall'!H118)-1),len(Left('Paste #BBall'!H118,Search("/",'Paste #BBall'!H118)-1))-search("(",Left('Paste #BBall'!H118,Search("/",'Paste #BBall'!H118)-1)))</f>
        <v>5.4</v>
      </c>
      <c r="H118" s="82">
        <f t="shared" si="1"/>
        <v>0.4390243902</v>
      </c>
      <c r="I118" s="82" t="str">
        <f>right(Left('Paste #BBall'!I118,Search("/",'Paste #BBall'!I118)-1),len(Left('Paste #BBall'!I118,Search("/",'Paste #BBall'!I118)-1))-search("(",Left('Paste #BBall'!I118,Search("/",'Paste #BBall'!I118)-1)))</f>
        <v>3.2</v>
      </c>
      <c r="J118" s="82">
        <f t="shared" si="2"/>
        <v>0.7619047619</v>
      </c>
      <c r="K118" s="82">
        <f>'Paste #BBall'!J118</f>
        <v>1.9</v>
      </c>
      <c r="L118" s="82">
        <f>'Paste #BBall'!K118</f>
        <v>15.9</v>
      </c>
      <c r="M118" s="82">
        <f>'Paste #BBall'!L118</f>
        <v>4.6</v>
      </c>
      <c r="N118" s="82">
        <f>'Paste #BBall'!M118</f>
        <v>5.7</v>
      </c>
      <c r="O118" s="82">
        <f>'Paste #BBall'!N118</f>
        <v>0.8</v>
      </c>
      <c r="P118" s="82">
        <f>'Paste #BBall'!O118</f>
        <v>0.2</v>
      </c>
      <c r="Q118" s="82">
        <f>'Paste #BBall'!P118</f>
        <v>1.8</v>
      </c>
      <c r="R118" s="81" t="str">
        <f>Left(Right('Paste #BBall'!H118,Len('Paste #BBall'!H118)-Search("/",'Paste #BBall'!H118)),Len(Right('Paste #BBall'!H118,Len('Paste #BBall'!H118)-Search("/",'Paste #BBall'!H118)))-1)</f>
        <v>12.3</v>
      </c>
      <c r="S118" s="81" t="str">
        <f>Left(Right('Paste #BBall'!I118,Len('Paste #BBall'!I118)-Search("/",'Paste #BBall'!I118)),Len(Right('Paste #BBall'!I118,Len('Paste #BBall'!I118)-Search("/",'Paste #BBall'!I118)))-1)</f>
        <v>4.2</v>
      </c>
      <c r="T118" s="37"/>
      <c r="U118" s="37"/>
      <c r="V118" s="37"/>
    </row>
    <row r="119">
      <c r="A119" s="2">
        <v>118.0</v>
      </c>
      <c r="B119" s="2" t="str">
        <f>'Paste #BBall'!C119</f>
        <v>Collin Sexton</v>
      </c>
      <c r="C119" s="2" t="str">
        <f>'Paste #BBall'!D119</f>
        <v>PG/SF</v>
      </c>
      <c r="D119" s="2" t="str">
        <f>'Paste #BBall'!E119</f>
        <v>UTA</v>
      </c>
      <c r="E119" s="2">
        <f>'Paste #BBall'!F119</f>
        <v>72</v>
      </c>
      <c r="F119" s="80">
        <f>'Paste #BBall'!G119</f>
        <v>33.7</v>
      </c>
      <c r="G119" s="81" t="str">
        <f>right(Left('Paste #BBall'!H119,Search("/",'Paste #BBall'!H119)-1),len(Left('Paste #BBall'!H119,Search("/",'Paste #BBall'!H119)-1))-search("(",Left('Paste #BBall'!H119,Search("/",'Paste #BBall'!H119)-1)))</f>
        <v>8.3</v>
      </c>
      <c r="H119" s="82">
        <f t="shared" si="1"/>
        <v>0.4585635359</v>
      </c>
      <c r="I119" s="82" t="str">
        <f>right(Left('Paste #BBall'!I119,Search("/",'Paste #BBall'!I119)-1),len(Left('Paste #BBall'!I119,Search("/",'Paste #BBall'!I119)-1))-search("(",Left('Paste #BBall'!I119,Search("/",'Paste #BBall'!I119)-1)))</f>
        <v>3.5</v>
      </c>
      <c r="J119" s="82">
        <f t="shared" si="2"/>
        <v>0.7954545455</v>
      </c>
      <c r="K119" s="82">
        <f>'Paste #BBall'!J119</f>
        <v>1.3</v>
      </c>
      <c r="L119" s="82">
        <f>'Paste #BBall'!K119</f>
        <v>21.5</v>
      </c>
      <c r="M119" s="82">
        <f>'Paste #BBall'!L119</f>
        <v>3.4</v>
      </c>
      <c r="N119" s="82">
        <f>'Paste #BBall'!M119</f>
        <v>4.1</v>
      </c>
      <c r="O119" s="82">
        <f>'Paste #BBall'!N119</f>
        <v>1</v>
      </c>
      <c r="P119" s="82">
        <f>'Paste #BBall'!O119</f>
        <v>0.1</v>
      </c>
      <c r="Q119" s="82">
        <f>'Paste #BBall'!P119</f>
        <v>2.8</v>
      </c>
      <c r="R119" s="81" t="str">
        <f>Left(Right('Paste #BBall'!H119,Len('Paste #BBall'!H119)-Search("/",'Paste #BBall'!H119)),Len(Right('Paste #BBall'!H119,Len('Paste #BBall'!H119)-Search("/",'Paste #BBall'!H119)))-1)</f>
        <v>18.1</v>
      </c>
      <c r="S119" s="81" t="str">
        <f>Left(Right('Paste #BBall'!I119,Len('Paste #BBall'!I119)-Search("/",'Paste #BBall'!I119)),Len(Right('Paste #BBall'!I119,Len('Paste #BBall'!I119)-Search("/",'Paste #BBall'!I119)))-1)</f>
        <v>4.4</v>
      </c>
      <c r="T119" s="37"/>
      <c r="U119" s="37"/>
      <c r="V119" s="37"/>
    </row>
    <row r="120">
      <c r="A120" s="2">
        <v>119.0</v>
      </c>
      <c r="B120" s="2" t="str">
        <f>'Paste #BBall'!C120</f>
        <v>Cody Martin</v>
      </c>
      <c r="C120" s="2" t="str">
        <f>'Paste #BBall'!D120</f>
        <v>SF</v>
      </c>
      <c r="D120" s="2" t="str">
        <f>'Paste #BBall'!E120</f>
        <v>CHA</v>
      </c>
      <c r="E120" s="2">
        <f>'Paste #BBall'!F120</f>
        <v>73</v>
      </c>
      <c r="F120" s="80">
        <f>'Paste #BBall'!G120</f>
        <v>28.4</v>
      </c>
      <c r="G120" s="81" t="str">
        <f>right(Left('Paste #BBall'!H120,Search("/",'Paste #BBall'!H120)-1),len(Left('Paste #BBall'!H120,Search("/",'Paste #BBall'!H120)-1))-search("(",Left('Paste #BBall'!H120,Search("/",'Paste #BBall'!H120)-1)))</f>
        <v>4.0</v>
      </c>
      <c r="H120" s="82">
        <f t="shared" si="1"/>
        <v>0.4819277108</v>
      </c>
      <c r="I120" s="82" t="str">
        <f>right(Left('Paste #BBall'!I120,Search("/",'Paste #BBall'!I120)-1),len(Left('Paste #BBall'!I120,Search("/",'Paste #BBall'!I120)-1))-search("(",Left('Paste #BBall'!I120,Search("/",'Paste #BBall'!I120)-1)))</f>
        <v>1.3</v>
      </c>
      <c r="J120" s="82">
        <f t="shared" si="2"/>
        <v>0.7647058824</v>
      </c>
      <c r="K120" s="82">
        <f>'Paste #BBall'!J120</f>
        <v>1.1</v>
      </c>
      <c r="L120" s="82">
        <f>'Paste #BBall'!K120</f>
        <v>10.3</v>
      </c>
      <c r="M120" s="82">
        <f>'Paste #BBall'!L120</f>
        <v>4.8</v>
      </c>
      <c r="N120" s="82">
        <f>'Paste #BBall'!M120</f>
        <v>2.9</v>
      </c>
      <c r="O120" s="82">
        <f>'Paste #BBall'!N120</f>
        <v>1.3</v>
      </c>
      <c r="P120" s="82">
        <f>'Paste #BBall'!O120</f>
        <v>0.6</v>
      </c>
      <c r="Q120" s="82">
        <f>'Paste #BBall'!P120</f>
        <v>1.1</v>
      </c>
      <c r="R120" s="81" t="str">
        <f>Left(Right('Paste #BBall'!H120,Len('Paste #BBall'!H120)-Search("/",'Paste #BBall'!H120)),Len(Right('Paste #BBall'!H120,Len('Paste #BBall'!H120)-Search("/",'Paste #BBall'!H120)))-1)</f>
        <v>8.3</v>
      </c>
      <c r="S120" s="81" t="str">
        <f>Left(Right('Paste #BBall'!I120,Len('Paste #BBall'!I120)-Search("/",'Paste #BBall'!I120)),Len(Right('Paste #BBall'!I120,Len('Paste #BBall'!I120)-Search("/",'Paste #BBall'!I120)))-1)</f>
        <v>1.7</v>
      </c>
      <c r="T120" s="37"/>
      <c r="U120" s="37"/>
      <c r="V120" s="37"/>
    </row>
    <row r="121">
      <c r="A121" s="2">
        <v>120.0</v>
      </c>
      <c r="B121" s="2" t="str">
        <f>'Paste #BBall'!C121</f>
        <v>Bones Hyland</v>
      </c>
      <c r="C121" s="2" t="str">
        <f>'Paste #BBall'!D121</f>
        <v>PG</v>
      </c>
      <c r="D121" s="2" t="str">
        <f>'Paste #BBall'!E121</f>
        <v>DEN</v>
      </c>
      <c r="E121" s="2">
        <f>'Paste #BBall'!F121</f>
        <v>72</v>
      </c>
      <c r="F121" s="80">
        <f>'Paste #BBall'!G121</f>
        <v>24</v>
      </c>
      <c r="G121" s="81" t="str">
        <f>right(Left('Paste #BBall'!H121,Search("/",'Paste #BBall'!H121)-1),len(Left('Paste #BBall'!H121,Search("/",'Paste #BBall'!H121)-1))-search("(",Left('Paste #BBall'!H121,Search("/",'Paste #BBall'!H121)-1)))</f>
        <v>4.0</v>
      </c>
      <c r="H121" s="82">
        <f t="shared" si="1"/>
        <v>0.4301075269</v>
      </c>
      <c r="I121" s="82" t="str">
        <f>right(Left('Paste #BBall'!I121,Search("/",'Paste #BBall'!I121)-1),len(Left('Paste #BBall'!I121,Search("/",'Paste #BBall'!I121)-1))-search("(",Left('Paste #BBall'!I121,Search("/",'Paste #BBall'!I121)-1)))</f>
        <v>2.0</v>
      </c>
      <c r="J121" s="82">
        <f t="shared" si="2"/>
        <v>0.8695652174</v>
      </c>
      <c r="K121" s="82">
        <f>'Paste #BBall'!J121</f>
        <v>2.4</v>
      </c>
      <c r="L121" s="82">
        <f>'Paste #BBall'!K121</f>
        <v>12.4</v>
      </c>
      <c r="M121" s="82">
        <f>'Paste #BBall'!L121</f>
        <v>3.5</v>
      </c>
      <c r="N121" s="82">
        <f>'Paste #BBall'!M121</f>
        <v>3.6</v>
      </c>
      <c r="O121" s="82">
        <f>'Paste #BBall'!N121</f>
        <v>0.8</v>
      </c>
      <c r="P121" s="82">
        <f>'Paste #BBall'!O121</f>
        <v>0.4</v>
      </c>
      <c r="Q121" s="82">
        <f>'Paste #BBall'!P121</f>
        <v>1.7</v>
      </c>
      <c r="R121" s="81" t="str">
        <f>Left(Right('Paste #BBall'!H121,Len('Paste #BBall'!H121)-Search("/",'Paste #BBall'!H121)),Len(Right('Paste #BBall'!H121,Len('Paste #BBall'!H121)-Search("/",'Paste #BBall'!H121)))-1)</f>
        <v>9.3</v>
      </c>
      <c r="S121" s="81" t="str">
        <f>Left(Right('Paste #BBall'!I121,Len('Paste #BBall'!I121)-Search("/",'Paste #BBall'!I121)),Len(Right('Paste #BBall'!I121,Len('Paste #BBall'!I121)-Search("/",'Paste #BBall'!I121)))-1)</f>
        <v>2.3</v>
      </c>
      <c r="T121" s="37"/>
      <c r="U121" s="37"/>
      <c r="V121" s="37"/>
    </row>
    <row r="122">
      <c r="A122" s="2">
        <v>121.0</v>
      </c>
      <c r="B122" s="2" t="str">
        <f>'Paste #BBall'!C122</f>
        <v>Jalen Smith</v>
      </c>
      <c r="C122" s="2" t="str">
        <f>'Paste #BBall'!D122</f>
        <v>PF</v>
      </c>
      <c r="D122" s="2" t="str">
        <f>'Paste #BBall'!E122</f>
        <v>IND</v>
      </c>
      <c r="E122" s="2">
        <f>'Paste #BBall'!F122</f>
        <v>72</v>
      </c>
      <c r="F122" s="80">
        <f>'Paste #BBall'!G122</f>
        <v>28.1</v>
      </c>
      <c r="G122" s="81" t="str">
        <f>right(Left('Paste #BBall'!H122,Search("/",'Paste #BBall'!H122)-1),len(Left('Paste #BBall'!H122,Search("/",'Paste #BBall'!H122)-1))-search("(",Left('Paste #BBall'!H122,Search("/",'Paste #BBall'!H122)-1)))</f>
        <v>5.1</v>
      </c>
      <c r="H122" s="82">
        <f t="shared" si="1"/>
        <v>0.4857142857</v>
      </c>
      <c r="I122" s="82" t="str">
        <f>right(Left('Paste #BBall'!I122,Search("/",'Paste #BBall'!I122)-1),len(Left('Paste #BBall'!I122,Search("/",'Paste #BBall'!I122)-1))-search("(",Left('Paste #BBall'!I122,Search("/",'Paste #BBall'!I122)-1)))</f>
        <v>2.1</v>
      </c>
      <c r="J122" s="82">
        <f t="shared" si="2"/>
        <v>0.75</v>
      </c>
      <c r="K122" s="82">
        <f>'Paste #BBall'!J122</f>
        <v>1.3</v>
      </c>
      <c r="L122" s="82">
        <f>'Paste #BBall'!K122</f>
        <v>13.5</v>
      </c>
      <c r="M122" s="82">
        <f>'Paste #BBall'!L122</f>
        <v>7.5</v>
      </c>
      <c r="N122" s="82">
        <f>'Paste #BBall'!M122</f>
        <v>0.8</v>
      </c>
      <c r="O122" s="82">
        <f>'Paste #BBall'!N122</f>
        <v>0.5</v>
      </c>
      <c r="P122" s="82">
        <f>'Paste #BBall'!O122</f>
        <v>1.1</v>
      </c>
      <c r="Q122" s="82">
        <f>'Paste #BBall'!P122</f>
        <v>1.3</v>
      </c>
      <c r="R122" s="81" t="str">
        <f>Left(Right('Paste #BBall'!H122,Len('Paste #BBall'!H122)-Search("/",'Paste #BBall'!H122)),Len(Right('Paste #BBall'!H122,Len('Paste #BBall'!H122)-Search("/",'Paste #BBall'!H122)))-1)</f>
        <v>10.5</v>
      </c>
      <c r="S122" s="81" t="str">
        <f>Left(Right('Paste #BBall'!I122,Len('Paste #BBall'!I122)-Search("/",'Paste #BBall'!I122)),Len(Right('Paste #BBall'!I122,Len('Paste #BBall'!I122)-Search("/",'Paste #BBall'!I122)))-1)</f>
        <v>2.8</v>
      </c>
      <c r="T122" s="37"/>
      <c r="U122" s="37"/>
      <c r="V122" s="37"/>
    </row>
    <row r="123">
      <c r="A123" s="2">
        <v>122.0</v>
      </c>
      <c r="B123" s="2" t="str">
        <f>'Paste #BBall'!C123</f>
        <v>Kendrick Nunn</v>
      </c>
      <c r="C123" s="2" t="str">
        <f>'Paste #BBall'!D123</f>
        <v>SG</v>
      </c>
      <c r="D123" s="2" t="str">
        <f>'Paste #BBall'!E123</f>
        <v>LAL</v>
      </c>
      <c r="E123" s="2">
        <f>'Paste #BBall'!F123</f>
        <v>60</v>
      </c>
      <c r="F123" s="80">
        <f>'Paste #BBall'!G123</f>
        <v>27</v>
      </c>
      <c r="G123" s="81" t="str">
        <f>right(Left('Paste #BBall'!H123,Search("/",'Paste #BBall'!H123)-1),len(Left('Paste #BBall'!H123,Search("/",'Paste #BBall'!H123)-1))-search("(",Left('Paste #BBall'!H123,Search("/",'Paste #BBall'!H123)-1)))</f>
        <v>5.3</v>
      </c>
      <c r="H123" s="82">
        <f t="shared" si="1"/>
        <v>0.4818181818</v>
      </c>
      <c r="I123" s="82" t="str">
        <f>right(Left('Paste #BBall'!I123,Search("/",'Paste #BBall'!I123)-1),len(Left('Paste #BBall'!I123,Search("/",'Paste #BBall'!I123)-1))-search("(",Left('Paste #BBall'!I123,Search("/",'Paste #BBall'!I123)-1)))</f>
        <v>0.9</v>
      </c>
      <c r="J123" s="82">
        <f t="shared" si="2"/>
        <v>0.9</v>
      </c>
      <c r="K123" s="82">
        <f>'Paste #BBall'!J123</f>
        <v>2.1</v>
      </c>
      <c r="L123" s="82">
        <f>'Paste #BBall'!K123</f>
        <v>13.6</v>
      </c>
      <c r="M123" s="82">
        <f>'Paste #BBall'!L123</f>
        <v>3</v>
      </c>
      <c r="N123" s="82">
        <f>'Paste #BBall'!M123</f>
        <v>2.4</v>
      </c>
      <c r="O123" s="82">
        <f>'Paste #BBall'!N123</f>
        <v>0.9</v>
      </c>
      <c r="P123" s="82">
        <f>'Paste #BBall'!O123</f>
        <v>0.3</v>
      </c>
      <c r="Q123" s="82">
        <f>'Paste #BBall'!P123</f>
        <v>1.3</v>
      </c>
      <c r="R123" s="81" t="str">
        <f>Left(Right('Paste #BBall'!H123,Len('Paste #BBall'!H123)-Search("/",'Paste #BBall'!H123)),Len(Right('Paste #BBall'!H123,Len('Paste #BBall'!H123)-Search("/",'Paste #BBall'!H123)))-1)</f>
        <v>11.0</v>
      </c>
      <c r="S123" s="81" t="str">
        <f>Left(Right('Paste #BBall'!I123,Len('Paste #BBall'!I123)-Search("/",'Paste #BBall'!I123)),Len(Right('Paste #BBall'!I123,Len('Paste #BBall'!I123)-Search("/",'Paste #BBall'!I123)))-1)</f>
        <v>1.0</v>
      </c>
      <c r="T123" s="37"/>
      <c r="U123" s="37"/>
      <c r="V123" s="37"/>
    </row>
    <row r="124">
      <c r="A124" s="2">
        <v>123.0</v>
      </c>
      <c r="B124" s="2" t="str">
        <f>'Paste #BBall'!C124</f>
        <v>Malcolm Brogdon</v>
      </c>
      <c r="C124" s="2" t="str">
        <f>'Paste #BBall'!D124</f>
        <v>PG/SG</v>
      </c>
      <c r="D124" s="2" t="str">
        <f>'Paste #BBall'!E124</f>
        <v>BOS</v>
      </c>
      <c r="E124" s="2">
        <f>'Paste #BBall'!F124</f>
        <v>60</v>
      </c>
      <c r="F124" s="80">
        <f>'Paste #BBall'!G124</f>
        <v>27.6</v>
      </c>
      <c r="G124" s="81" t="str">
        <f>right(Left('Paste #BBall'!H124,Search("/",'Paste #BBall'!H124)-1),len(Left('Paste #BBall'!H124,Search("/",'Paste #BBall'!H124)-1))-search("(",Left('Paste #BBall'!H124,Search("/",'Paste #BBall'!H124)-1)))</f>
        <v>5.7</v>
      </c>
      <c r="H124" s="82">
        <f t="shared" si="1"/>
        <v>0.4488188976</v>
      </c>
      <c r="I124" s="82" t="str">
        <f>right(Left('Paste #BBall'!I124,Search("/",'Paste #BBall'!I124)-1),len(Left('Paste #BBall'!I124,Search("/",'Paste #BBall'!I124)-1))-search("(",Left('Paste #BBall'!I124,Search("/",'Paste #BBall'!I124)-1)))</f>
        <v>3.4</v>
      </c>
      <c r="J124" s="82">
        <f t="shared" si="2"/>
        <v>0.85</v>
      </c>
      <c r="K124" s="82">
        <f>'Paste #BBall'!J124</f>
        <v>1.3</v>
      </c>
      <c r="L124" s="82">
        <f>'Paste #BBall'!K124</f>
        <v>16.1</v>
      </c>
      <c r="M124" s="82">
        <f>'Paste #BBall'!L124</f>
        <v>4.3</v>
      </c>
      <c r="N124" s="82">
        <f>'Paste #BBall'!M124</f>
        <v>3.9</v>
      </c>
      <c r="O124" s="82">
        <f>'Paste #BBall'!N124</f>
        <v>0.7</v>
      </c>
      <c r="P124" s="82">
        <f>'Paste #BBall'!O124</f>
        <v>0.3</v>
      </c>
      <c r="Q124" s="82">
        <f>'Paste #BBall'!P124</f>
        <v>1.8</v>
      </c>
      <c r="R124" s="81" t="str">
        <f>Left(Right('Paste #BBall'!H124,Len('Paste #BBall'!H124)-Search("/",'Paste #BBall'!H124)),Len(Right('Paste #BBall'!H124,Len('Paste #BBall'!H124)-Search("/",'Paste #BBall'!H124)))-1)</f>
        <v>12.7</v>
      </c>
      <c r="S124" s="81" t="str">
        <f>Left(Right('Paste #BBall'!I124,Len('Paste #BBall'!I124)-Search("/",'Paste #BBall'!I124)),Len(Right('Paste #BBall'!I124,Len('Paste #BBall'!I124)-Search("/",'Paste #BBall'!I124)))-1)</f>
        <v>4.0</v>
      </c>
      <c r="T124" s="37"/>
      <c r="U124" s="37"/>
      <c r="V124" s="37"/>
    </row>
    <row r="125">
      <c r="A125" s="2">
        <v>124.0</v>
      </c>
      <c r="B125" s="2" t="str">
        <f>'Paste #BBall'!C125</f>
        <v>Daniel Gafford</v>
      </c>
      <c r="C125" s="2" t="str">
        <f>'Paste #BBall'!D125</f>
        <v>PF/C</v>
      </c>
      <c r="D125" s="2" t="str">
        <f>'Paste #BBall'!E125</f>
        <v>WAS</v>
      </c>
      <c r="E125" s="2">
        <f>'Paste #BBall'!F125</f>
        <v>72</v>
      </c>
      <c r="F125" s="80">
        <f>'Paste #BBall'!G125</f>
        <v>22.1</v>
      </c>
      <c r="G125" s="81" t="str">
        <f>right(Left('Paste #BBall'!H125,Search("/",'Paste #BBall'!H125)-1),len(Left('Paste #BBall'!H125,Search("/",'Paste #BBall'!H125)-1))-search("(",Left('Paste #BBall'!H125,Search("/",'Paste #BBall'!H125)-1)))</f>
        <v>4.0</v>
      </c>
      <c r="H125" s="82">
        <f t="shared" si="1"/>
        <v>0.6349206349</v>
      </c>
      <c r="I125" s="82" t="str">
        <f>right(Left('Paste #BBall'!I125,Search("/",'Paste #BBall'!I125)-1),len(Left('Paste #BBall'!I125,Search("/",'Paste #BBall'!I125)-1))-search("(",Left('Paste #BBall'!I125,Search("/",'Paste #BBall'!I125)-1)))</f>
        <v>1.7</v>
      </c>
      <c r="J125" s="82">
        <f t="shared" si="2"/>
        <v>0.7083333333</v>
      </c>
      <c r="K125" s="82">
        <f>'Paste #BBall'!J125</f>
        <v>0</v>
      </c>
      <c r="L125" s="82">
        <f>'Paste #BBall'!K125</f>
        <v>9.7</v>
      </c>
      <c r="M125" s="82">
        <f>'Paste #BBall'!L125</f>
        <v>6.4</v>
      </c>
      <c r="N125" s="82">
        <f>'Paste #BBall'!M125</f>
        <v>1</v>
      </c>
      <c r="O125" s="82">
        <f>'Paste #BBall'!N125</f>
        <v>0.5</v>
      </c>
      <c r="P125" s="82">
        <f>'Paste #BBall'!O125</f>
        <v>1.4</v>
      </c>
      <c r="Q125" s="82">
        <f>'Paste #BBall'!P125</f>
        <v>1</v>
      </c>
      <c r="R125" s="81" t="str">
        <f>Left(Right('Paste #BBall'!H125,Len('Paste #BBall'!H125)-Search("/",'Paste #BBall'!H125)),Len(Right('Paste #BBall'!H125,Len('Paste #BBall'!H125)-Search("/",'Paste #BBall'!H125)))-1)</f>
        <v>6.3</v>
      </c>
      <c r="S125" s="81" t="str">
        <f>Left(Right('Paste #BBall'!I125,Len('Paste #BBall'!I125)-Search("/",'Paste #BBall'!I125)),Len(Right('Paste #BBall'!I125,Len('Paste #BBall'!I125)-Search("/",'Paste #BBall'!I125)))-1)</f>
        <v>2.4</v>
      </c>
      <c r="T125" s="37"/>
      <c r="U125" s="37"/>
      <c r="V125" s="37"/>
    </row>
    <row r="126">
      <c r="A126" s="2">
        <v>125.0</v>
      </c>
      <c r="B126" s="2" t="str">
        <f>'Paste #BBall'!C126</f>
        <v>Mitchell Robinson</v>
      </c>
      <c r="C126" s="2" t="str">
        <f>'Paste #BBall'!D126</f>
        <v>C</v>
      </c>
      <c r="D126" s="2" t="str">
        <f>'Paste #BBall'!E126</f>
        <v>NYK</v>
      </c>
      <c r="E126" s="2">
        <f>'Paste #BBall'!F126</f>
        <v>70</v>
      </c>
      <c r="F126" s="80">
        <f>'Paste #BBall'!G126</f>
        <v>25.3</v>
      </c>
      <c r="G126" s="81" t="str">
        <f>right(Left('Paste #BBall'!H126,Search("/",'Paste #BBall'!H126)-1),len(Left('Paste #BBall'!H126,Search("/",'Paste #BBall'!H126)-1))-search("(",Left('Paste #BBall'!H126,Search("/",'Paste #BBall'!H126)-1)))</f>
        <v>3.6</v>
      </c>
      <c r="H126" s="82">
        <f t="shared" si="1"/>
        <v>0.72</v>
      </c>
      <c r="I126" s="82" t="str">
        <f>right(Left('Paste #BBall'!I126,Search("/",'Paste #BBall'!I126)-1),len(Left('Paste #BBall'!I126,Search("/",'Paste #BBall'!I126)-1))-search("(",Left('Paste #BBall'!I126,Search("/",'Paste #BBall'!I126)-1)))</f>
        <v>1.2</v>
      </c>
      <c r="J126" s="82">
        <f t="shared" si="2"/>
        <v>0.48</v>
      </c>
      <c r="K126" s="82">
        <f>'Paste #BBall'!J126</f>
        <v>0</v>
      </c>
      <c r="L126" s="82">
        <f>'Paste #BBall'!K126</f>
        <v>8.4</v>
      </c>
      <c r="M126" s="82">
        <f>'Paste #BBall'!L126</f>
        <v>8.6</v>
      </c>
      <c r="N126" s="82">
        <f>'Paste #BBall'!M126</f>
        <v>0.5</v>
      </c>
      <c r="O126" s="82">
        <f>'Paste #BBall'!N126</f>
        <v>0.8</v>
      </c>
      <c r="P126" s="82">
        <f>'Paste #BBall'!O126</f>
        <v>1.7</v>
      </c>
      <c r="Q126" s="82">
        <f>'Paste #BBall'!P126</f>
        <v>0.8</v>
      </c>
      <c r="R126" s="81" t="str">
        <f>Left(Right('Paste #BBall'!H126,Len('Paste #BBall'!H126)-Search("/",'Paste #BBall'!H126)),Len(Right('Paste #BBall'!H126,Len('Paste #BBall'!H126)-Search("/",'Paste #BBall'!H126)))-1)</f>
        <v>5.0</v>
      </c>
      <c r="S126" s="81" t="str">
        <f>Left(Right('Paste #BBall'!I126,Len('Paste #BBall'!I126)-Search("/",'Paste #BBall'!I126)),Len(Right('Paste #BBall'!I126,Len('Paste #BBall'!I126)-Search("/",'Paste #BBall'!I126)))-1)</f>
        <v>2.5</v>
      </c>
      <c r="T126" s="37"/>
      <c r="U126" s="37"/>
      <c r="V126" s="37"/>
    </row>
    <row r="127">
      <c r="A127" s="2">
        <v>126.0</v>
      </c>
      <c r="B127" s="2" t="str">
        <f>'Paste #BBall'!C127</f>
        <v>Norman Powell</v>
      </c>
      <c r="C127" s="2" t="str">
        <f>'Paste #BBall'!D127</f>
        <v>SG/SF</v>
      </c>
      <c r="D127" s="2" t="str">
        <f>'Paste #BBall'!E127</f>
        <v>LAC</v>
      </c>
      <c r="E127" s="2">
        <f>'Paste #BBall'!F127</f>
        <v>68</v>
      </c>
      <c r="F127" s="80">
        <f>'Paste #BBall'!G127</f>
        <v>27.1</v>
      </c>
      <c r="G127" s="81" t="str">
        <f>right(Left('Paste #BBall'!H127,Search("/",'Paste #BBall'!H127)-1),len(Left('Paste #BBall'!H127,Search("/",'Paste #BBall'!H127)-1))-search("(",Left('Paste #BBall'!H127,Search("/",'Paste #BBall'!H127)-1)))</f>
        <v>5.3</v>
      </c>
      <c r="H127" s="82">
        <f t="shared" si="1"/>
        <v>0.4649122807</v>
      </c>
      <c r="I127" s="82" t="str">
        <f>right(Left('Paste #BBall'!I127,Search("/",'Paste #BBall'!I127)-1),len(Left('Paste #BBall'!I127,Search("/",'Paste #BBall'!I127)-1))-search("(",Left('Paste #BBall'!I127,Search("/",'Paste #BBall'!I127)-1)))</f>
        <v>3.6</v>
      </c>
      <c r="J127" s="82">
        <f t="shared" si="2"/>
        <v>0.8372093023</v>
      </c>
      <c r="K127" s="82">
        <f>'Paste #BBall'!J127</f>
        <v>2.1</v>
      </c>
      <c r="L127" s="82">
        <f>'Paste #BBall'!K127</f>
        <v>16.2</v>
      </c>
      <c r="M127" s="82">
        <f>'Paste #BBall'!L127</f>
        <v>2.7</v>
      </c>
      <c r="N127" s="82">
        <f>'Paste #BBall'!M127</f>
        <v>1.8</v>
      </c>
      <c r="O127" s="82">
        <f>'Paste #BBall'!N127</f>
        <v>0.8</v>
      </c>
      <c r="P127" s="82">
        <f>'Paste #BBall'!O127</f>
        <v>0.4</v>
      </c>
      <c r="Q127" s="82">
        <f>'Paste #BBall'!P127</f>
        <v>1.3</v>
      </c>
      <c r="R127" s="81" t="str">
        <f>Left(Right('Paste #BBall'!H127,Len('Paste #BBall'!H127)-Search("/",'Paste #BBall'!H127)),Len(Right('Paste #BBall'!H127,Len('Paste #BBall'!H127)-Search("/",'Paste #BBall'!H127)))-1)</f>
        <v>11.4</v>
      </c>
      <c r="S127" s="81" t="str">
        <f>Left(Right('Paste #BBall'!I127,Len('Paste #BBall'!I127)-Search("/",'Paste #BBall'!I127)),Len(Right('Paste #BBall'!I127,Len('Paste #BBall'!I127)-Search("/",'Paste #BBall'!I127)))-1)</f>
        <v>4.3</v>
      </c>
      <c r="T127" s="37"/>
      <c r="U127" s="37"/>
      <c r="V127" s="37"/>
    </row>
    <row r="128">
      <c r="A128" s="2">
        <v>127.0</v>
      </c>
      <c r="B128" s="2" t="str">
        <f>'Paste #BBall'!C128</f>
        <v>Aaron Gordon</v>
      </c>
      <c r="C128" s="2" t="str">
        <f>'Paste #BBall'!D128</f>
        <v>PF</v>
      </c>
      <c r="D128" s="2" t="str">
        <f>'Paste #BBall'!E128</f>
        <v>DEN</v>
      </c>
      <c r="E128" s="2">
        <f>'Paste #BBall'!F128</f>
        <v>76</v>
      </c>
      <c r="F128" s="80">
        <f>'Paste #BBall'!G128</f>
        <v>31.7</v>
      </c>
      <c r="G128" s="81" t="str">
        <f>right(Left('Paste #BBall'!H128,Search("/",'Paste #BBall'!H128)-1),len(Left('Paste #BBall'!H128,Search("/",'Paste #BBall'!H128)-1))-search("(",Left('Paste #BBall'!H128,Search("/",'Paste #BBall'!H128)-1)))</f>
        <v>5.5</v>
      </c>
      <c r="H128" s="82">
        <f t="shared" si="1"/>
        <v>0.5092592593</v>
      </c>
      <c r="I128" s="82" t="str">
        <f>right(Left('Paste #BBall'!I128,Search("/",'Paste #BBall'!I128)-1),len(Left('Paste #BBall'!I128,Search("/",'Paste #BBall'!I128)-1))-search("(",Left('Paste #BBall'!I128,Search("/",'Paste #BBall'!I128)-1)))</f>
        <v>2.4</v>
      </c>
      <c r="J128" s="82">
        <f t="shared" si="2"/>
        <v>0.75</v>
      </c>
      <c r="K128" s="82">
        <f>'Paste #BBall'!J128</f>
        <v>1.2</v>
      </c>
      <c r="L128" s="82">
        <f>'Paste #BBall'!K128</f>
        <v>14.6</v>
      </c>
      <c r="M128" s="82">
        <f>'Paste #BBall'!L128</f>
        <v>5.8</v>
      </c>
      <c r="N128" s="82">
        <f>'Paste #BBall'!M128</f>
        <v>2.5</v>
      </c>
      <c r="O128" s="82">
        <f>'Paste #BBall'!N128</f>
        <v>0.6</v>
      </c>
      <c r="P128" s="82">
        <f>'Paste #BBall'!O128</f>
        <v>0.6</v>
      </c>
      <c r="Q128" s="82">
        <f>'Paste #BBall'!P128</f>
        <v>1.8</v>
      </c>
      <c r="R128" s="81" t="str">
        <f>Left(Right('Paste #BBall'!H128,Len('Paste #BBall'!H128)-Search("/",'Paste #BBall'!H128)),Len(Right('Paste #BBall'!H128,Len('Paste #BBall'!H128)-Search("/",'Paste #BBall'!H128)))-1)</f>
        <v>10.8</v>
      </c>
      <c r="S128" s="81" t="str">
        <f>Left(Right('Paste #BBall'!I128,Len('Paste #BBall'!I128)-Search("/",'Paste #BBall'!I128)),Len(Right('Paste #BBall'!I128,Len('Paste #BBall'!I128)-Search("/",'Paste #BBall'!I128)))-1)</f>
        <v>3.2</v>
      </c>
      <c r="T128" s="37"/>
      <c r="U128" s="37"/>
      <c r="V128" s="37"/>
    </row>
    <row r="129">
      <c r="A129" s="2">
        <v>128.0</v>
      </c>
      <c r="B129" s="2" t="str">
        <f>'Paste #BBall'!C129</f>
        <v>Patrick Williams</v>
      </c>
      <c r="C129" s="2" t="str">
        <f>'Paste #BBall'!D129</f>
        <v>SF/PF</v>
      </c>
      <c r="D129" s="2" t="str">
        <f>'Paste #BBall'!E129</f>
        <v>CHI</v>
      </c>
      <c r="E129" s="2">
        <f>'Paste #BBall'!F129</f>
        <v>70</v>
      </c>
      <c r="F129" s="80">
        <f>'Paste #BBall'!G129</f>
        <v>28.9</v>
      </c>
      <c r="G129" s="81" t="str">
        <f>right(Left('Paste #BBall'!H129,Search("/",'Paste #BBall'!H129)-1),len(Left('Paste #BBall'!H129,Search("/",'Paste #BBall'!H129)-1))-search("(",Left('Paste #BBall'!H129,Search("/",'Paste #BBall'!H129)-1)))</f>
        <v>3.8</v>
      </c>
      <c r="H129" s="82">
        <f t="shared" si="1"/>
        <v>0.5135135135</v>
      </c>
      <c r="I129" s="82" t="str">
        <f>right(Left('Paste #BBall'!I129,Search("/",'Paste #BBall'!I129)-1),len(Left('Paste #BBall'!I129,Search("/",'Paste #BBall'!I129)-1))-search("(",Left('Paste #BBall'!I129,Search("/",'Paste #BBall'!I129)-1)))</f>
        <v>2.1</v>
      </c>
      <c r="J129" s="82">
        <f t="shared" si="2"/>
        <v>0.724137931</v>
      </c>
      <c r="K129" s="82">
        <f>'Paste #BBall'!J129</f>
        <v>1.3</v>
      </c>
      <c r="L129" s="82">
        <f>'Paste #BBall'!K129</f>
        <v>11</v>
      </c>
      <c r="M129" s="82">
        <f>'Paste #BBall'!L129</f>
        <v>4.9</v>
      </c>
      <c r="N129" s="82">
        <f>'Paste #BBall'!M129</f>
        <v>1.1</v>
      </c>
      <c r="O129" s="82">
        <f>'Paste #BBall'!N129</f>
        <v>1.1</v>
      </c>
      <c r="P129" s="82">
        <f>'Paste #BBall'!O129</f>
        <v>0.7</v>
      </c>
      <c r="Q129" s="82">
        <f>'Paste #BBall'!P129</f>
        <v>1.1</v>
      </c>
      <c r="R129" s="81" t="str">
        <f>Left(Right('Paste #BBall'!H129,Len('Paste #BBall'!H129)-Search("/",'Paste #BBall'!H129)),Len(Right('Paste #BBall'!H129,Len('Paste #BBall'!H129)-Search("/",'Paste #BBall'!H129)))-1)</f>
        <v>7.4</v>
      </c>
      <c r="S129" s="81" t="str">
        <f>Left(Right('Paste #BBall'!I129,Len('Paste #BBall'!I129)-Search("/",'Paste #BBall'!I129)),Len(Right('Paste #BBall'!I129,Len('Paste #BBall'!I129)-Search("/",'Paste #BBall'!I129)))-1)</f>
        <v>2.9</v>
      </c>
      <c r="T129" s="37"/>
      <c r="U129" s="37"/>
      <c r="V129" s="37"/>
    </row>
    <row r="130">
      <c r="A130" s="2">
        <v>129.0</v>
      </c>
      <c r="B130" s="2" t="str">
        <f>'Paste #BBall'!C130</f>
        <v>Harrison Barnes</v>
      </c>
      <c r="C130" s="2" t="str">
        <f>'Paste #BBall'!D130</f>
        <v>SF/PF</v>
      </c>
      <c r="D130" s="2" t="str">
        <f>'Paste #BBall'!E130</f>
        <v>SAC</v>
      </c>
      <c r="E130" s="2">
        <f>'Paste #BBall'!F130</f>
        <v>77</v>
      </c>
      <c r="F130" s="80">
        <f>'Paste #BBall'!G130</f>
        <v>31.6</v>
      </c>
      <c r="G130" s="81" t="str">
        <f>right(Left('Paste #BBall'!H130,Search("/",'Paste #BBall'!H130)-1),len(Left('Paste #BBall'!H130,Search("/",'Paste #BBall'!H130)-1))-search("(",Left('Paste #BBall'!H130,Search("/",'Paste #BBall'!H130)-1)))</f>
        <v>4.7</v>
      </c>
      <c r="H130" s="82">
        <f t="shared" si="1"/>
        <v>0.4795918367</v>
      </c>
      <c r="I130" s="82" t="str">
        <f>right(Left('Paste #BBall'!I130,Search("/",'Paste #BBall'!I130)-1),len(Left('Paste #BBall'!I130,Search("/",'Paste #BBall'!I130)-1))-search("(",Left('Paste #BBall'!I130,Search("/",'Paste #BBall'!I130)-1)))</f>
        <v>3.7</v>
      </c>
      <c r="J130" s="82">
        <f t="shared" si="2"/>
        <v>0.8222222222</v>
      </c>
      <c r="K130" s="82">
        <f>'Paste #BBall'!J130</f>
        <v>1.7</v>
      </c>
      <c r="L130" s="82">
        <f>'Paste #BBall'!K130</f>
        <v>14.7</v>
      </c>
      <c r="M130" s="82">
        <f>'Paste #BBall'!L130</f>
        <v>5</v>
      </c>
      <c r="N130" s="82">
        <f>'Paste #BBall'!M130</f>
        <v>2.3</v>
      </c>
      <c r="O130" s="82">
        <f>'Paste #BBall'!N130</f>
        <v>0.7</v>
      </c>
      <c r="P130" s="82">
        <f>'Paste #BBall'!O130</f>
        <v>0.2</v>
      </c>
      <c r="Q130" s="82">
        <f>'Paste #BBall'!P130</f>
        <v>1.4</v>
      </c>
      <c r="R130" s="81" t="str">
        <f>Left(Right('Paste #BBall'!H130,Len('Paste #BBall'!H130)-Search("/",'Paste #BBall'!H130)),Len(Right('Paste #BBall'!H130,Len('Paste #BBall'!H130)-Search("/",'Paste #BBall'!H130)))-1)</f>
        <v>9.8</v>
      </c>
      <c r="S130" s="81" t="str">
        <f>Left(Right('Paste #BBall'!I130,Len('Paste #BBall'!I130)-Search("/",'Paste #BBall'!I130)),Len(Right('Paste #BBall'!I130,Len('Paste #BBall'!I130)-Search("/",'Paste #BBall'!I130)))-1)</f>
        <v>4.5</v>
      </c>
      <c r="T130" s="37"/>
      <c r="U130" s="37"/>
      <c r="V130" s="37"/>
    </row>
    <row r="131">
      <c r="A131" s="2">
        <v>130.0</v>
      </c>
      <c r="B131" s="2" t="str">
        <f>'Paste #BBall'!C131</f>
        <v>De'Anthony Melton</v>
      </c>
      <c r="C131" s="2" t="str">
        <f>'Paste #BBall'!D131</f>
        <v>PG/SG</v>
      </c>
      <c r="D131" s="2" t="str">
        <f>'Paste #BBall'!E131</f>
        <v>PHI</v>
      </c>
      <c r="E131" s="2">
        <f>'Paste #BBall'!F131</f>
        <v>73</v>
      </c>
      <c r="F131" s="80">
        <f>'Paste #BBall'!G131</f>
        <v>25.1</v>
      </c>
      <c r="G131" s="81" t="str">
        <f>right(Left('Paste #BBall'!H131,Search("/",'Paste #BBall'!H131)-1),len(Left('Paste #BBall'!H131,Search("/",'Paste #BBall'!H131)-1))-search("(",Left('Paste #BBall'!H131,Search("/",'Paste #BBall'!H131)-1)))</f>
        <v>4.4</v>
      </c>
      <c r="H131" s="82">
        <f t="shared" si="1"/>
        <v>0.4112149533</v>
      </c>
      <c r="I131" s="82" t="str">
        <f>right(Left('Paste #BBall'!I131,Search("/",'Paste #BBall'!I131)-1),len(Left('Paste #BBall'!I131,Search("/",'Paste #BBall'!I131)-1))-search("(",Left('Paste #BBall'!I131,Search("/",'Paste #BBall'!I131)-1)))</f>
        <v>1.3</v>
      </c>
      <c r="J131" s="82">
        <f t="shared" si="2"/>
        <v>0.8125</v>
      </c>
      <c r="K131" s="82">
        <f>'Paste #BBall'!J131</f>
        <v>2</v>
      </c>
      <c r="L131" s="82">
        <f>'Paste #BBall'!K131</f>
        <v>12.1</v>
      </c>
      <c r="M131" s="82">
        <f>'Paste #BBall'!L131</f>
        <v>4.1</v>
      </c>
      <c r="N131" s="82">
        <f>'Paste #BBall'!M131</f>
        <v>2.7</v>
      </c>
      <c r="O131" s="82">
        <f>'Paste #BBall'!N131</f>
        <v>1.3</v>
      </c>
      <c r="P131" s="82">
        <f>'Paste #BBall'!O131</f>
        <v>0.6</v>
      </c>
      <c r="Q131" s="82">
        <f>'Paste #BBall'!P131</f>
        <v>1.7</v>
      </c>
      <c r="R131" s="81" t="str">
        <f>Left(Right('Paste #BBall'!H131,Len('Paste #BBall'!H131)-Search("/",'Paste #BBall'!H131)),Len(Right('Paste #BBall'!H131,Len('Paste #BBall'!H131)-Search("/",'Paste #BBall'!H131)))-1)</f>
        <v>10.7</v>
      </c>
      <c r="S131" s="81" t="str">
        <f>Left(Right('Paste #BBall'!I131,Len('Paste #BBall'!I131)-Search("/",'Paste #BBall'!I131)),Len(Right('Paste #BBall'!I131,Len('Paste #BBall'!I131)-Search("/",'Paste #BBall'!I131)))-1)</f>
        <v>1.6</v>
      </c>
      <c r="T131" s="37"/>
      <c r="U131" s="37"/>
      <c r="V131" s="37"/>
    </row>
    <row r="132">
      <c r="A132" s="2">
        <v>131.0</v>
      </c>
      <c r="B132" s="2" t="str">
        <f>'Paste #BBall'!C132</f>
        <v>Otto Porter Jr.</v>
      </c>
      <c r="C132" s="2" t="str">
        <f>'Paste #BBall'!D132</f>
        <v>SF</v>
      </c>
      <c r="D132" s="2" t="str">
        <f>'Paste #BBall'!E132</f>
        <v>TOR</v>
      </c>
      <c r="E132" s="2">
        <f>'Paste #BBall'!F132</f>
        <v>63</v>
      </c>
      <c r="F132" s="80">
        <f>'Paste #BBall'!G132</f>
        <v>22.2</v>
      </c>
      <c r="G132" s="81" t="str">
        <f>right(Left('Paste #BBall'!H132,Search("/",'Paste #BBall'!H132)-1),len(Left('Paste #BBall'!H132,Search("/",'Paste #BBall'!H132)-1))-search("(",Left('Paste #BBall'!H132,Search("/",'Paste #BBall'!H132)-1)))</f>
        <v>3.2</v>
      </c>
      <c r="H132" s="82">
        <f t="shared" si="1"/>
        <v>0.4776119403</v>
      </c>
      <c r="I132" s="82" t="str">
        <f>right(Left('Paste #BBall'!I132,Search("/",'Paste #BBall'!I132)-1),len(Left('Paste #BBall'!I132,Search("/",'Paste #BBall'!I132)-1))-search("(",Left('Paste #BBall'!I132,Search("/",'Paste #BBall'!I132)-1)))</f>
        <v>0.8</v>
      </c>
      <c r="J132" s="82">
        <f t="shared" si="2"/>
        <v>0.8</v>
      </c>
      <c r="K132" s="82">
        <f>'Paste #BBall'!J132</f>
        <v>1.3</v>
      </c>
      <c r="L132" s="82">
        <f>'Paste #BBall'!K132</f>
        <v>8.5</v>
      </c>
      <c r="M132" s="82">
        <f>'Paste #BBall'!L132</f>
        <v>5.9</v>
      </c>
      <c r="N132" s="82">
        <f>'Paste #BBall'!M132</f>
        <v>1.5</v>
      </c>
      <c r="O132" s="82">
        <f>'Paste #BBall'!N132</f>
        <v>1.1</v>
      </c>
      <c r="P132" s="82">
        <f>'Paste #BBall'!O132</f>
        <v>0.5</v>
      </c>
      <c r="Q132" s="82">
        <f>'Paste #BBall'!P132</f>
        <v>0.6</v>
      </c>
      <c r="R132" s="81" t="str">
        <f>Left(Right('Paste #BBall'!H132,Len('Paste #BBall'!H132)-Search("/",'Paste #BBall'!H132)),Len(Right('Paste #BBall'!H132,Len('Paste #BBall'!H132)-Search("/",'Paste #BBall'!H132)))-1)</f>
        <v>6.7</v>
      </c>
      <c r="S132" s="81" t="str">
        <f>Left(Right('Paste #BBall'!I132,Len('Paste #BBall'!I132)-Search("/",'Paste #BBall'!I132)),Len(Right('Paste #BBall'!I132,Len('Paste #BBall'!I132)-Search("/",'Paste #BBall'!I132)))-1)</f>
        <v>1.0</v>
      </c>
      <c r="T132" s="37"/>
      <c r="U132" s="37"/>
      <c r="V132" s="37"/>
    </row>
    <row r="133">
      <c r="A133" s="2">
        <v>132.0</v>
      </c>
      <c r="B133" s="2" t="str">
        <f>'Paste #BBall'!C133</f>
        <v>Kentavious Caldwell-Pope</v>
      </c>
      <c r="C133" s="2" t="str">
        <f>'Paste #BBall'!D133</f>
        <v>SG/SF</v>
      </c>
      <c r="D133" s="2" t="str">
        <f>'Paste #BBall'!E133</f>
        <v>DEN</v>
      </c>
      <c r="E133" s="2">
        <f>'Paste #BBall'!F133</f>
        <v>73</v>
      </c>
      <c r="F133" s="80">
        <f>'Paste #BBall'!G133</f>
        <v>28.8</v>
      </c>
      <c r="G133" s="81" t="str">
        <f>right(Left('Paste #BBall'!H133,Search("/",'Paste #BBall'!H133)-1),len(Left('Paste #BBall'!H133,Search("/",'Paste #BBall'!H133)-1))-search("(",Left('Paste #BBall'!H133,Search("/",'Paste #BBall'!H133)-1)))</f>
        <v>4.6</v>
      </c>
      <c r="H133" s="82">
        <f t="shared" si="1"/>
        <v>0.4380952381</v>
      </c>
      <c r="I133" s="82" t="str">
        <f>right(Left('Paste #BBall'!I133,Search("/",'Paste #BBall'!I133)-1),len(Left('Paste #BBall'!I133,Search("/",'Paste #BBall'!I133)-1))-search("(",Left('Paste #BBall'!I133,Search("/",'Paste #BBall'!I133)-1)))</f>
        <v>1.8</v>
      </c>
      <c r="J133" s="82">
        <f t="shared" si="2"/>
        <v>0.9473684211</v>
      </c>
      <c r="K133" s="82">
        <f>'Paste #BBall'!J133</f>
        <v>2</v>
      </c>
      <c r="L133" s="82">
        <f>'Paste #BBall'!K133</f>
        <v>12.9</v>
      </c>
      <c r="M133" s="82">
        <f>'Paste #BBall'!L133</f>
        <v>3.3</v>
      </c>
      <c r="N133" s="82">
        <f>'Paste #BBall'!M133</f>
        <v>1.8</v>
      </c>
      <c r="O133" s="82">
        <f>'Paste #BBall'!N133</f>
        <v>1.1</v>
      </c>
      <c r="P133" s="82">
        <f>'Paste #BBall'!O133</f>
        <v>0.3</v>
      </c>
      <c r="Q133" s="82">
        <f>'Paste #BBall'!P133</f>
        <v>1.3</v>
      </c>
      <c r="R133" s="81" t="str">
        <f>Left(Right('Paste #BBall'!H133,Len('Paste #BBall'!H133)-Search("/",'Paste #BBall'!H133)),Len(Right('Paste #BBall'!H133,Len('Paste #BBall'!H133)-Search("/",'Paste #BBall'!H133)))-1)</f>
        <v>10.5</v>
      </c>
      <c r="S133" s="81" t="str">
        <f>Left(Right('Paste #BBall'!I133,Len('Paste #BBall'!I133)-Search("/",'Paste #BBall'!I133)),Len(Right('Paste #BBall'!I133,Len('Paste #BBall'!I133)-Search("/",'Paste #BBall'!I133)))-1)</f>
        <v>1.9</v>
      </c>
      <c r="T133" s="37"/>
      <c r="U133" s="37"/>
      <c r="V133" s="37"/>
    </row>
    <row r="134">
      <c r="A134" s="2">
        <v>133.0</v>
      </c>
      <c r="B134" s="2" t="str">
        <f>'Paste #BBall'!C134</f>
        <v>Richaun Holmes</v>
      </c>
      <c r="C134" s="2" t="str">
        <f>'Paste #BBall'!D134</f>
        <v>PF/C</v>
      </c>
      <c r="D134" s="2" t="str">
        <f>'Paste #BBall'!E134</f>
        <v>SAC</v>
      </c>
      <c r="E134" s="2">
        <f>'Paste #BBall'!F134</f>
        <v>67</v>
      </c>
      <c r="F134" s="80">
        <f>'Paste #BBall'!G134</f>
        <v>22.8</v>
      </c>
      <c r="G134" s="81" t="str">
        <f>right(Left('Paste #BBall'!H134,Search("/",'Paste #BBall'!H134)-1),len(Left('Paste #BBall'!H134,Search("/",'Paste #BBall'!H134)-1))-search("(",Left('Paste #BBall'!H134,Search("/",'Paste #BBall'!H134)-1)))</f>
        <v>4.3</v>
      </c>
      <c r="H134" s="82">
        <f t="shared" si="1"/>
        <v>0.6615384615</v>
      </c>
      <c r="I134" s="82" t="str">
        <f>right(Left('Paste #BBall'!I134,Search("/",'Paste #BBall'!I134)-1),len(Left('Paste #BBall'!I134,Search("/",'Paste #BBall'!I134)-1))-search("(",Left('Paste #BBall'!I134,Search("/",'Paste #BBall'!I134)-1)))</f>
        <v>1.5</v>
      </c>
      <c r="J134" s="82">
        <f t="shared" si="2"/>
        <v>0.7894736842</v>
      </c>
      <c r="K134" s="82">
        <f>'Paste #BBall'!J134</f>
        <v>0</v>
      </c>
      <c r="L134" s="82">
        <f>'Paste #BBall'!K134</f>
        <v>10</v>
      </c>
      <c r="M134" s="82">
        <f>'Paste #BBall'!L134</f>
        <v>6.7</v>
      </c>
      <c r="N134" s="82">
        <f>'Paste #BBall'!M134</f>
        <v>1.1</v>
      </c>
      <c r="O134" s="82">
        <f>'Paste #BBall'!N134</f>
        <v>0.4</v>
      </c>
      <c r="P134" s="82">
        <f>'Paste #BBall'!O134</f>
        <v>0.9</v>
      </c>
      <c r="Q134" s="82">
        <f>'Paste #BBall'!P134</f>
        <v>1.2</v>
      </c>
      <c r="R134" s="81" t="str">
        <f>Left(Right('Paste #BBall'!H134,Len('Paste #BBall'!H134)-Search("/",'Paste #BBall'!H134)),Len(Right('Paste #BBall'!H134,Len('Paste #BBall'!H134)-Search("/",'Paste #BBall'!H134)))-1)</f>
        <v>6.5</v>
      </c>
      <c r="S134" s="81" t="str">
        <f>Left(Right('Paste #BBall'!I134,Len('Paste #BBall'!I134)-Search("/",'Paste #BBall'!I134)),Len(Right('Paste #BBall'!I134,Len('Paste #BBall'!I134)-Search("/",'Paste #BBall'!I134)))-1)</f>
        <v>1.9</v>
      </c>
      <c r="T134" s="37"/>
      <c r="U134" s="37"/>
      <c r="V134" s="37"/>
    </row>
    <row r="135">
      <c r="A135" s="2">
        <v>134.0</v>
      </c>
      <c r="B135" s="2" t="str">
        <f>'Paste #BBall'!C135</f>
        <v>Andrew Wiggins</v>
      </c>
      <c r="C135" s="2" t="str">
        <f>'Paste #BBall'!D135</f>
        <v>SF/PF</v>
      </c>
      <c r="D135" s="2" t="str">
        <f>'Paste #BBall'!E135</f>
        <v>GSW</v>
      </c>
      <c r="E135" s="2">
        <f>'Paste #BBall'!F135</f>
        <v>73</v>
      </c>
      <c r="F135" s="80">
        <f>'Paste #BBall'!G135</f>
        <v>32</v>
      </c>
      <c r="G135" s="81" t="str">
        <f>right(Left('Paste #BBall'!H135,Search("/",'Paste #BBall'!H135)-1),len(Left('Paste #BBall'!H135,Search("/",'Paste #BBall'!H135)-1))-search("(",Left('Paste #BBall'!H135,Search("/",'Paste #BBall'!H135)-1)))</f>
        <v>6.1</v>
      </c>
      <c r="H135" s="82">
        <f t="shared" si="1"/>
        <v>0.4552238806</v>
      </c>
      <c r="I135" s="82" t="str">
        <f>right(Left('Paste #BBall'!I135,Search("/",'Paste #BBall'!I135)-1),len(Left('Paste #BBall'!I135,Search("/",'Paste #BBall'!I135)-1))-search("(",Left('Paste #BBall'!I135,Search("/",'Paste #BBall'!I135)-1)))</f>
        <v>2.0</v>
      </c>
      <c r="J135" s="82">
        <f t="shared" si="2"/>
        <v>0.6666666667</v>
      </c>
      <c r="K135" s="82">
        <f>'Paste #BBall'!J135</f>
        <v>2.2</v>
      </c>
      <c r="L135" s="82">
        <f>'Paste #BBall'!K135</f>
        <v>16.5</v>
      </c>
      <c r="M135" s="82">
        <f>'Paste #BBall'!L135</f>
        <v>4.6</v>
      </c>
      <c r="N135" s="82">
        <f>'Paste #BBall'!M135</f>
        <v>2.2</v>
      </c>
      <c r="O135" s="82">
        <f>'Paste #BBall'!N135</f>
        <v>1</v>
      </c>
      <c r="P135" s="82">
        <f>'Paste #BBall'!O135</f>
        <v>0.7</v>
      </c>
      <c r="Q135" s="82">
        <f>'Paste #BBall'!P135</f>
        <v>1.5</v>
      </c>
      <c r="R135" s="81" t="str">
        <f>Left(Right('Paste #BBall'!H135,Len('Paste #BBall'!H135)-Search("/",'Paste #BBall'!H135)),Len(Right('Paste #BBall'!H135,Len('Paste #BBall'!H135)-Search("/",'Paste #BBall'!H135)))-1)</f>
        <v>13.4</v>
      </c>
      <c r="S135" s="81" t="str">
        <f>Left(Right('Paste #BBall'!I135,Len('Paste #BBall'!I135)-Search("/",'Paste #BBall'!I135)),Len(Right('Paste #BBall'!I135,Len('Paste #BBall'!I135)-Search("/",'Paste #BBall'!I135)))-1)</f>
        <v>3.0</v>
      </c>
      <c r="T135" s="37"/>
      <c r="U135" s="37"/>
      <c r="V135" s="37"/>
    </row>
    <row r="136">
      <c r="A136" s="2">
        <v>135.0</v>
      </c>
      <c r="B136" s="2" t="str">
        <f>'Paste #BBall'!C136</f>
        <v>Matisse Thybulle</v>
      </c>
      <c r="C136" s="2" t="str">
        <f>'Paste #BBall'!D136</f>
        <v>PG/SG</v>
      </c>
      <c r="D136" s="2" t="str">
        <f>'Paste #BBall'!E136</f>
        <v>PHI</v>
      </c>
      <c r="E136" s="2">
        <f>'Paste #BBall'!F136</f>
        <v>68</v>
      </c>
      <c r="F136" s="80">
        <f>'Paste #BBall'!G136</f>
        <v>24.6</v>
      </c>
      <c r="G136" s="81" t="str">
        <f>right(Left('Paste #BBall'!H136,Search("/",'Paste #BBall'!H136)-1),len(Left('Paste #BBall'!H136,Search("/",'Paste #BBall'!H136)-1))-search("(",Left('Paste #BBall'!H136,Search("/",'Paste #BBall'!H136)-1)))</f>
        <v>2.3</v>
      </c>
      <c r="H136" s="82">
        <f t="shared" si="1"/>
        <v>0.5111111111</v>
      </c>
      <c r="I136" s="82" t="str">
        <f>right(Left('Paste #BBall'!I136,Search("/",'Paste #BBall'!I136)-1),len(Left('Paste #BBall'!I136,Search("/",'Paste #BBall'!I136)-1))-search("(",Left('Paste #BBall'!I136,Search("/",'Paste #BBall'!I136)-1)))</f>
        <v>0.5</v>
      </c>
      <c r="J136" s="82">
        <f t="shared" si="2"/>
        <v>0.8333333333</v>
      </c>
      <c r="K136" s="82">
        <f>'Paste #BBall'!J136</f>
        <v>0.7</v>
      </c>
      <c r="L136" s="82">
        <f>'Paste #BBall'!K136</f>
        <v>5.7</v>
      </c>
      <c r="M136" s="82">
        <f>'Paste #BBall'!L136</f>
        <v>2.3</v>
      </c>
      <c r="N136" s="82">
        <f>'Paste #BBall'!M136</f>
        <v>1.1</v>
      </c>
      <c r="O136" s="82">
        <f>'Paste #BBall'!N136</f>
        <v>1.6</v>
      </c>
      <c r="P136" s="82">
        <f>'Paste #BBall'!O136</f>
        <v>1.1</v>
      </c>
      <c r="Q136" s="82">
        <f>'Paste #BBall'!P136</f>
        <v>0.6</v>
      </c>
      <c r="R136" s="81" t="str">
        <f>Left(Right('Paste #BBall'!H136,Len('Paste #BBall'!H136)-Search("/",'Paste #BBall'!H136)),Len(Right('Paste #BBall'!H136,Len('Paste #BBall'!H136)-Search("/",'Paste #BBall'!H136)))-1)</f>
        <v>4.5</v>
      </c>
      <c r="S136" s="81" t="str">
        <f>Left(Right('Paste #BBall'!I136,Len('Paste #BBall'!I136)-Search("/",'Paste #BBall'!I136)),Len(Right('Paste #BBall'!I136,Len('Paste #BBall'!I136)-Search("/",'Paste #BBall'!I136)))-1)</f>
        <v>0.6</v>
      </c>
      <c r="T136" s="37"/>
      <c r="U136" s="37"/>
      <c r="V136" s="37"/>
    </row>
    <row r="137">
      <c r="A137" s="2">
        <v>136.0</v>
      </c>
      <c r="B137" s="2" t="str">
        <f>'Paste #BBall'!C137</f>
        <v>Gary Payton II</v>
      </c>
      <c r="C137" s="2" t="str">
        <f>'Paste #BBall'!D137</f>
        <v>PG</v>
      </c>
      <c r="D137" s="2" t="str">
        <f>'Paste #BBall'!E137</f>
        <v>POR</v>
      </c>
      <c r="E137" s="2">
        <f>'Paste #BBall'!F137</f>
        <v>70</v>
      </c>
      <c r="F137" s="80">
        <f>'Paste #BBall'!G137</f>
        <v>20.9</v>
      </c>
      <c r="G137" s="81" t="str">
        <f>right(Left('Paste #BBall'!H137,Search("/",'Paste #BBall'!H137)-1),len(Left('Paste #BBall'!H137,Search("/",'Paste #BBall'!H137)-1))-search("(",Left('Paste #BBall'!H137,Search("/",'Paste #BBall'!H137)-1)))</f>
        <v>3.6</v>
      </c>
      <c r="H137" s="82">
        <f t="shared" si="1"/>
        <v>0.6101694915</v>
      </c>
      <c r="I137" s="82" t="str">
        <f>right(Left('Paste #BBall'!I137,Search("/",'Paste #BBall'!I137)-1),len(Left('Paste #BBall'!I137,Search("/",'Paste #BBall'!I137)-1))-search("(",Left('Paste #BBall'!I137,Search("/",'Paste #BBall'!I137)-1)))</f>
        <v>0.6</v>
      </c>
      <c r="J137" s="82">
        <f t="shared" si="2"/>
        <v>0.6666666667</v>
      </c>
      <c r="K137" s="82">
        <f>'Paste #BBall'!J137</f>
        <v>0.7</v>
      </c>
      <c r="L137" s="82">
        <f>'Paste #BBall'!K137</f>
        <v>8.5</v>
      </c>
      <c r="M137" s="82">
        <f>'Paste #BBall'!L137</f>
        <v>4.2</v>
      </c>
      <c r="N137" s="82">
        <f>'Paste #BBall'!M137</f>
        <v>1.1</v>
      </c>
      <c r="O137" s="82">
        <f>'Paste #BBall'!N137</f>
        <v>1.4</v>
      </c>
      <c r="P137" s="82">
        <f>'Paste #BBall'!O137</f>
        <v>0.4</v>
      </c>
      <c r="Q137" s="82">
        <f>'Paste #BBall'!P137</f>
        <v>0.7</v>
      </c>
      <c r="R137" s="81" t="str">
        <f>Left(Right('Paste #BBall'!H137,Len('Paste #BBall'!H137)-Search("/",'Paste #BBall'!H137)),Len(Right('Paste #BBall'!H137,Len('Paste #BBall'!H137)-Search("/",'Paste #BBall'!H137)))-1)</f>
        <v>5.9</v>
      </c>
      <c r="S137" s="81" t="str">
        <f>Left(Right('Paste #BBall'!I137,Len('Paste #BBall'!I137)-Search("/",'Paste #BBall'!I137)),Len(Right('Paste #BBall'!I137,Len('Paste #BBall'!I137)-Search("/",'Paste #BBall'!I137)))-1)</f>
        <v>0.9</v>
      </c>
      <c r="T137" s="37"/>
      <c r="U137" s="37"/>
      <c r="V137" s="37"/>
    </row>
    <row r="138">
      <c r="A138" s="2">
        <v>137.0</v>
      </c>
      <c r="B138" s="2" t="str">
        <f>'Paste #BBall'!C138</f>
        <v>Jalen Suggs</v>
      </c>
      <c r="C138" s="2" t="str">
        <f>'Paste #BBall'!D138</f>
        <v>PG/SG</v>
      </c>
      <c r="D138" s="2" t="str">
        <f>'Paste #BBall'!E138</f>
        <v>ORL</v>
      </c>
      <c r="E138" s="2">
        <f>'Paste #BBall'!F138</f>
        <v>70</v>
      </c>
      <c r="F138" s="80">
        <f>'Paste #BBall'!G138</f>
        <v>30</v>
      </c>
      <c r="G138" s="81" t="str">
        <f>right(Left('Paste #BBall'!H138,Search("/",'Paste #BBall'!H138)-1),len(Left('Paste #BBall'!H138,Search("/",'Paste #BBall'!H138)-1))-search("(",Left('Paste #BBall'!H138,Search("/",'Paste #BBall'!H138)-1)))</f>
        <v>4.6</v>
      </c>
      <c r="H138" s="82">
        <f t="shared" si="1"/>
        <v>0.4299065421</v>
      </c>
      <c r="I138" s="82" t="str">
        <f>right(Left('Paste #BBall'!I138,Search("/",'Paste #BBall'!I138)-1),len(Left('Paste #BBall'!I138,Search("/",'Paste #BBall'!I138)-1))-search("(",Left('Paste #BBall'!I138,Search("/",'Paste #BBall'!I138)-1)))</f>
        <v>2.9</v>
      </c>
      <c r="J138" s="82">
        <f t="shared" si="2"/>
        <v>0.7631578947</v>
      </c>
      <c r="K138" s="82">
        <f>'Paste #BBall'!J138</f>
        <v>1</v>
      </c>
      <c r="L138" s="82">
        <f>'Paste #BBall'!K138</f>
        <v>13.1</v>
      </c>
      <c r="M138" s="82">
        <f>'Paste #BBall'!L138</f>
        <v>3.9</v>
      </c>
      <c r="N138" s="82">
        <f>'Paste #BBall'!M138</f>
        <v>5.1</v>
      </c>
      <c r="O138" s="82">
        <f>'Paste #BBall'!N138</f>
        <v>1.3</v>
      </c>
      <c r="P138" s="82">
        <f>'Paste #BBall'!O138</f>
        <v>0.5</v>
      </c>
      <c r="Q138" s="82">
        <f>'Paste #BBall'!P138</f>
        <v>3.4</v>
      </c>
      <c r="R138" s="81" t="str">
        <f>Left(Right('Paste #BBall'!H138,Len('Paste #BBall'!H138)-Search("/",'Paste #BBall'!H138)),Len(Right('Paste #BBall'!H138,Len('Paste #BBall'!H138)-Search("/",'Paste #BBall'!H138)))-1)</f>
        <v>10.7</v>
      </c>
      <c r="S138" s="81" t="str">
        <f>Left(Right('Paste #BBall'!I138,Len('Paste #BBall'!I138)-Search("/",'Paste #BBall'!I138)),Len(Right('Paste #BBall'!I138,Len('Paste #BBall'!I138)-Search("/",'Paste #BBall'!I138)))-1)</f>
        <v>3.8</v>
      </c>
      <c r="T138" s="37"/>
      <c r="U138" s="37"/>
      <c r="V138" s="37"/>
    </row>
    <row r="139">
      <c r="A139" s="2">
        <v>138.0</v>
      </c>
      <c r="B139" s="2" t="str">
        <f>'Paste #BBall'!C139</f>
        <v>Mo Bamba</v>
      </c>
      <c r="C139" s="2" t="str">
        <f>'Paste #BBall'!D139</f>
        <v>C</v>
      </c>
      <c r="D139" s="2" t="str">
        <f>'Paste #BBall'!E139</f>
        <v>ORL</v>
      </c>
      <c r="E139" s="2">
        <f>'Paste #BBall'!F139</f>
        <v>70</v>
      </c>
      <c r="F139" s="80">
        <f>'Paste #BBall'!G139</f>
        <v>20.4</v>
      </c>
      <c r="G139" s="81" t="str">
        <f>right(Left('Paste #BBall'!H139,Search("/",'Paste #BBall'!H139)-1),len(Left('Paste #BBall'!H139,Search("/",'Paste #BBall'!H139)-1))-search("(",Left('Paste #BBall'!H139,Search("/",'Paste #BBall'!H139)-1)))</f>
        <v>3.4</v>
      </c>
      <c r="H139" s="82">
        <f t="shared" si="1"/>
        <v>0.4857142857</v>
      </c>
      <c r="I139" s="82" t="str">
        <f>right(Left('Paste #BBall'!I139,Search("/",'Paste #BBall'!I139)-1),len(Left('Paste #BBall'!I139,Search("/",'Paste #BBall'!I139)-1))-search("(",Left('Paste #BBall'!I139,Search("/",'Paste #BBall'!I139)-1)))</f>
        <v>0.7</v>
      </c>
      <c r="J139" s="82">
        <f t="shared" si="2"/>
        <v>0.875</v>
      </c>
      <c r="K139" s="82">
        <f>'Paste #BBall'!J139</f>
        <v>1.2</v>
      </c>
      <c r="L139" s="82">
        <f>'Paste #BBall'!K139</f>
        <v>8.6</v>
      </c>
      <c r="M139" s="82">
        <f>'Paste #BBall'!L139</f>
        <v>6.5</v>
      </c>
      <c r="N139" s="82">
        <f>'Paste #BBall'!M139</f>
        <v>1</v>
      </c>
      <c r="O139" s="82">
        <f>'Paste #BBall'!N139</f>
        <v>0.4</v>
      </c>
      <c r="P139" s="82">
        <f>'Paste #BBall'!O139</f>
        <v>1.2</v>
      </c>
      <c r="Q139" s="82">
        <f>'Paste #BBall'!P139</f>
        <v>0.9</v>
      </c>
      <c r="R139" s="81" t="str">
        <f>Left(Right('Paste #BBall'!H139,Len('Paste #BBall'!H139)-Search("/",'Paste #BBall'!H139)),Len(Right('Paste #BBall'!H139,Len('Paste #BBall'!H139)-Search("/",'Paste #BBall'!H139)))-1)</f>
        <v>7.0</v>
      </c>
      <c r="S139" s="81" t="str">
        <f>Left(Right('Paste #BBall'!I139,Len('Paste #BBall'!I139)-Search("/",'Paste #BBall'!I139)),Len(Right('Paste #BBall'!I139,Len('Paste #BBall'!I139)-Search("/",'Paste #BBall'!I139)))-1)</f>
        <v>0.8</v>
      </c>
      <c r="T139" s="37"/>
      <c r="U139" s="37"/>
      <c r="V139" s="37"/>
    </row>
    <row r="140">
      <c r="A140" s="2">
        <v>139.0</v>
      </c>
      <c r="B140" s="2" t="str">
        <f>'Paste #BBall'!C140</f>
        <v>Dillon Brooks</v>
      </c>
      <c r="C140" s="2" t="str">
        <f>'Paste #BBall'!D140</f>
        <v>SG/SF</v>
      </c>
      <c r="D140" s="2" t="str">
        <f>'Paste #BBall'!E140</f>
        <v>MEM</v>
      </c>
      <c r="E140" s="2">
        <f>'Paste #BBall'!F140</f>
        <v>67</v>
      </c>
      <c r="F140" s="80">
        <f>'Paste #BBall'!G140</f>
        <v>29.8</v>
      </c>
      <c r="G140" s="81" t="str">
        <f>right(Left('Paste #BBall'!H140,Search("/",'Paste #BBall'!H140)-1),len(Left('Paste #BBall'!H140,Search("/",'Paste #BBall'!H140)-1))-search("(",Left('Paste #BBall'!H140,Search("/",'Paste #BBall'!H140)-1)))</f>
        <v>7.5</v>
      </c>
      <c r="H140" s="82">
        <f t="shared" si="1"/>
        <v>0.4213483146</v>
      </c>
      <c r="I140" s="82" t="str">
        <f>right(Left('Paste #BBall'!I140,Search("/",'Paste #BBall'!I140)-1),len(Left('Paste #BBall'!I140,Search("/",'Paste #BBall'!I140)-1))-search("(",Left('Paste #BBall'!I140,Search("/",'Paste #BBall'!I140)-1)))</f>
        <v>3.1</v>
      </c>
      <c r="J140" s="82">
        <f t="shared" si="2"/>
        <v>0.8611111111</v>
      </c>
      <c r="K140" s="82">
        <f>'Paste #BBall'!J140</f>
        <v>1.5</v>
      </c>
      <c r="L140" s="82">
        <f>'Paste #BBall'!K140</f>
        <v>19.6</v>
      </c>
      <c r="M140" s="82">
        <f>'Paste #BBall'!L140</f>
        <v>3.5</v>
      </c>
      <c r="N140" s="82">
        <f>'Paste #BBall'!M140</f>
        <v>2.4</v>
      </c>
      <c r="O140" s="82">
        <f>'Paste #BBall'!N140</f>
        <v>1</v>
      </c>
      <c r="P140" s="82">
        <f>'Paste #BBall'!O140</f>
        <v>0.3</v>
      </c>
      <c r="Q140" s="82">
        <f>'Paste #BBall'!P140</f>
        <v>1.8</v>
      </c>
      <c r="R140" s="81" t="str">
        <f>Left(Right('Paste #BBall'!H140,Len('Paste #BBall'!H140)-Search("/",'Paste #BBall'!H140)),Len(Right('Paste #BBall'!H140,Len('Paste #BBall'!H140)-Search("/",'Paste #BBall'!H140)))-1)</f>
        <v>17.8</v>
      </c>
      <c r="S140" s="81" t="str">
        <f>Left(Right('Paste #BBall'!I140,Len('Paste #BBall'!I140)-Search("/",'Paste #BBall'!I140)),Len(Right('Paste #BBall'!I140,Len('Paste #BBall'!I140)-Search("/",'Paste #BBall'!I140)))-1)</f>
        <v>3.6</v>
      </c>
      <c r="T140" s="37"/>
      <c r="U140" s="37"/>
      <c r="V140" s="37"/>
    </row>
    <row r="141">
      <c r="A141" s="2">
        <v>140.0</v>
      </c>
      <c r="B141" s="2" t="str">
        <f>'Paste #BBall'!C141</f>
        <v>Bruce Brown</v>
      </c>
      <c r="C141" s="2" t="str">
        <f>'Paste #BBall'!D141</f>
        <v>SG</v>
      </c>
      <c r="D141" s="2" t="str">
        <f>'Paste #BBall'!E141</f>
        <v>DEN</v>
      </c>
      <c r="E141" s="2">
        <f>'Paste #BBall'!F141</f>
        <v>72</v>
      </c>
      <c r="F141" s="80">
        <f>'Paste #BBall'!G141</f>
        <v>24.1</v>
      </c>
      <c r="G141" s="81" t="str">
        <f>right(Left('Paste #BBall'!H141,Search("/",'Paste #BBall'!H141)-1),len(Left('Paste #BBall'!H141,Search("/",'Paste #BBall'!H141)-1))-search("(",Left('Paste #BBall'!H141,Search("/",'Paste #BBall'!H141)-1)))</f>
        <v>3.6</v>
      </c>
      <c r="H141" s="82">
        <f t="shared" si="1"/>
        <v>0.5217391304</v>
      </c>
      <c r="I141" s="82" t="str">
        <f>right(Left('Paste #BBall'!I141,Search("/",'Paste #BBall'!I141)-1),len(Left('Paste #BBall'!I141,Search("/",'Paste #BBall'!I141)-1))-search("(",Left('Paste #BBall'!I141,Search("/",'Paste #BBall'!I141)-1)))</f>
        <v>1.4</v>
      </c>
      <c r="J141" s="82">
        <f t="shared" si="2"/>
        <v>0.7777777778</v>
      </c>
      <c r="K141" s="82">
        <f>'Paste #BBall'!J141</f>
        <v>0.5</v>
      </c>
      <c r="L141" s="82">
        <f>'Paste #BBall'!K141</f>
        <v>9</v>
      </c>
      <c r="M141" s="82">
        <f>'Paste #BBall'!L141</f>
        <v>4.8</v>
      </c>
      <c r="N141" s="82">
        <f>'Paste #BBall'!M141</f>
        <v>2.1</v>
      </c>
      <c r="O141" s="82">
        <f>'Paste #BBall'!N141</f>
        <v>1.1</v>
      </c>
      <c r="P141" s="82">
        <f>'Paste #BBall'!O141</f>
        <v>0.7</v>
      </c>
      <c r="Q141" s="82">
        <f>'Paste #BBall'!P141</f>
        <v>0.8</v>
      </c>
      <c r="R141" s="81" t="str">
        <f>Left(Right('Paste #BBall'!H141,Len('Paste #BBall'!H141)-Search("/",'Paste #BBall'!H141)),Len(Right('Paste #BBall'!H141,Len('Paste #BBall'!H141)-Search("/",'Paste #BBall'!H141)))-1)</f>
        <v>6.9</v>
      </c>
      <c r="S141" s="81" t="str">
        <f>Left(Right('Paste #BBall'!I141,Len('Paste #BBall'!I141)-Search("/",'Paste #BBall'!I141)),Len(Right('Paste #BBall'!I141,Len('Paste #BBall'!I141)-Search("/",'Paste #BBall'!I141)))-1)</f>
        <v>1.8</v>
      </c>
      <c r="T141" s="37"/>
      <c r="U141" s="37"/>
      <c r="V141" s="37"/>
    </row>
    <row r="142">
      <c r="A142" s="2">
        <v>141.0</v>
      </c>
      <c r="B142" s="2" t="str">
        <f>'Paste #BBall'!C142</f>
        <v>Patrick Beverley</v>
      </c>
      <c r="C142" s="2" t="str">
        <f>'Paste #BBall'!D142</f>
        <v>PG</v>
      </c>
      <c r="D142" s="2" t="str">
        <f>'Paste #BBall'!E142</f>
        <v>LAL</v>
      </c>
      <c r="E142" s="2">
        <f>'Paste #BBall'!F142</f>
        <v>58</v>
      </c>
      <c r="F142" s="80">
        <f>'Paste #BBall'!G142</f>
        <v>22.4</v>
      </c>
      <c r="G142" s="81" t="str">
        <f>right(Left('Paste #BBall'!H142,Search("/",'Paste #BBall'!H142)-1),len(Left('Paste #BBall'!H142,Search("/",'Paste #BBall'!H142)-1))-search("(",Left('Paste #BBall'!H142,Search("/",'Paste #BBall'!H142)-1)))</f>
        <v>2.8</v>
      </c>
      <c r="H142" s="82">
        <f t="shared" si="1"/>
        <v>0.4179104478</v>
      </c>
      <c r="I142" s="82" t="str">
        <f>right(Left('Paste #BBall'!I142,Search("/",'Paste #BBall'!I142)-1),len(Left('Paste #BBall'!I142,Search("/",'Paste #BBall'!I142)-1))-search("(",Left('Paste #BBall'!I142,Search("/",'Paste #BBall'!I142)-1)))</f>
        <v>1.5</v>
      </c>
      <c r="J142" s="82">
        <f t="shared" si="2"/>
        <v>0.7142857143</v>
      </c>
      <c r="K142" s="82">
        <f>'Paste #BBall'!J142</f>
        <v>1.3</v>
      </c>
      <c r="L142" s="82">
        <f>'Paste #BBall'!K142</f>
        <v>8.3</v>
      </c>
      <c r="M142" s="82">
        <f>'Paste #BBall'!L142</f>
        <v>3.8</v>
      </c>
      <c r="N142" s="82">
        <f>'Paste #BBall'!M142</f>
        <v>4.1</v>
      </c>
      <c r="O142" s="82">
        <f>'Paste #BBall'!N142</f>
        <v>1.1</v>
      </c>
      <c r="P142" s="82">
        <f>'Paste #BBall'!O142</f>
        <v>0.8</v>
      </c>
      <c r="Q142" s="82">
        <f>'Paste #BBall'!P142</f>
        <v>1.2</v>
      </c>
      <c r="R142" s="81" t="str">
        <f>Left(Right('Paste #BBall'!H142,Len('Paste #BBall'!H142)-Search("/",'Paste #BBall'!H142)),Len(Right('Paste #BBall'!H142,Len('Paste #BBall'!H142)-Search("/",'Paste #BBall'!H142)))-1)</f>
        <v>6.7</v>
      </c>
      <c r="S142" s="81" t="str">
        <f>Left(Right('Paste #BBall'!I142,Len('Paste #BBall'!I142)-Search("/",'Paste #BBall'!I142)),Len(Right('Paste #BBall'!I142,Len('Paste #BBall'!I142)-Search("/",'Paste #BBall'!I142)))-1)</f>
        <v>2.1</v>
      </c>
      <c r="T142" s="37"/>
      <c r="U142" s="37"/>
      <c r="V142" s="37"/>
    </row>
    <row r="143">
      <c r="A143" s="2">
        <v>142.0</v>
      </c>
      <c r="B143" s="2" t="str">
        <f>'Paste #BBall'!C143</f>
        <v>Nassir Little</v>
      </c>
      <c r="C143" s="2" t="str">
        <f>'Paste #BBall'!D143</f>
        <v>SF/PF</v>
      </c>
      <c r="D143" s="2" t="str">
        <f>'Paste #BBall'!E143</f>
        <v>POR</v>
      </c>
      <c r="E143" s="2">
        <f>'Paste #BBall'!F143</f>
        <v>60</v>
      </c>
      <c r="F143" s="80">
        <f>'Paste #BBall'!G143</f>
        <v>26.9</v>
      </c>
      <c r="G143" s="81" t="str">
        <f>right(Left('Paste #BBall'!H143,Search("/",'Paste #BBall'!H143)-1),len(Left('Paste #BBall'!H143,Search("/",'Paste #BBall'!H143)-1))-search("(",Left('Paste #BBall'!H143,Search("/",'Paste #BBall'!H143)-1)))</f>
        <v>3.7</v>
      </c>
      <c r="H143" s="82">
        <f t="shared" si="1"/>
        <v>0.4625</v>
      </c>
      <c r="I143" s="82" t="str">
        <f>right(Left('Paste #BBall'!I143,Search("/",'Paste #BBall'!I143)-1),len(Left('Paste #BBall'!I143,Search("/",'Paste #BBall'!I143)-1))-search("(",Left('Paste #BBall'!I143,Search("/",'Paste #BBall'!I143)-1)))</f>
        <v>1.7</v>
      </c>
      <c r="J143" s="82">
        <f t="shared" si="2"/>
        <v>0.7727272727</v>
      </c>
      <c r="K143" s="82">
        <f>'Paste #BBall'!J143</f>
        <v>1.3</v>
      </c>
      <c r="L143" s="82">
        <f>'Paste #BBall'!K143</f>
        <v>10.4</v>
      </c>
      <c r="M143" s="82">
        <f>'Paste #BBall'!L143</f>
        <v>5.9</v>
      </c>
      <c r="N143" s="82">
        <f>'Paste #BBall'!M143</f>
        <v>1.4</v>
      </c>
      <c r="O143" s="82">
        <f>'Paste #BBall'!N143</f>
        <v>0.6</v>
      </c>
      <c r="P143" s="82">
        <f>'Paste #BBall'!O143</f>
        <v>1</v>
      </c>
      <c r="Q143" s="82">
        <f>'Paste #BBall'!P143</f>
        <v>1.1</v>
      </c>
      <c r="R143" s="81" t="str">
        <f>Left(Right('Paste #BBall'!H143,Len('Paste #BBall'!H143)-Search("/",'Paste #BBall'!H143)),Len(Right('Paste #BBall'!H143,Len('Paste #BBall'!H143)-Search("/",'Paste #BBall'!H143)))-1)</f>
        <v>8.0</v>
      </c>
      <c r="S143" s="81" t="str">
        <f>Left(Right('Paste #BBall'!I143,Len('Paste #BBall'!I143)-Search("/",'Paste #BBall'!I143)),Len(Right('Paste #BBall'!I143,Len('Paste #BBall'!I143)-Search("/",'Paste #BBall'!I143)))-1)</f>
        <v>2.2</v>
      </c>
      <c r="T143" s="37"/>
      <c r="U143" s="37"/>
      <c r="V143" s="37"/>
    </row>
    <row r="144">
      <c r="A144" s="2">
        <v>143.0</v>
      </c>
      <c r="B144" s="2" t="str">
        <f>'Paste #BBall'!C144</f>
        <v>Jaden McDaniels</v>
      </c>
      <c r="C144" s="2" t="str">
        <f>'Paste #BBall'!D144</f>
        <v>SF</v>
      </c>
      <c r="D144" s="2" t="str">
        <f>'Paste #BBall'!E144</f>
        <v>MIN</v>
      </c>
      <c r="E144" s="2">
        <f>'Paste #BBall'!F144</f>
        <v>70</v>
      </c>
      <c r="F144" s="80">
        <f>'Paste #BBall'!G144</f>
        <v>29.9</v>
      </c>
      <c r="G144" s="81" t="str">
        <f>right(Left('Paste #BBall'!H144,Search("/",'Paste #BBall'!H144)-1),len(Left('Paste #BBall'!H144,Search("/",'Paste #BBall'!H144)-1))-search("(",Left('Paste #BBall'!H144,Search("/",'Paste #BBall'!H144)-1)))</f>
        <v>4.3</v>
      </c>
      <c r="H144" s="82">
        <f t="shared" si="1"/>
        <v>0.4623655914</v>
      </c>
      <c r="I144" s="82" t="str">
        <f>right(Left('Paste #BBall'!I144,Search("/",'Paste #BBall'!I144)-1),len(Left('Paste #BBall'!I144,Search("/",'Paste #BBall'!I144)-1))-search("(",Left('Paste #BBall'!I144,Search("/",'Paste #BBall'!I144)-1)))</f>
        <v>0.9</v>
      </c>
      <c r="J144" s="82">
        <f t="shared" si="2"/>
        <v>0.75</v>
      </c>
      <c r="K144" s="82">
        <f>'Paste #BBall'!J144</f>
        <v>1.3</v>
      </c>
      <c r="L144" s="82">
        <f>'Paste #BBall'!K144</f>
        <v>10.8</v>
      </c>
      <c r="M144" s="82">
        <f>'Paste #BBall'!L144</f>
        <v>4.6</v>
      </c>
      <c r="N144" s="82">
        <f>'Paste #BBall'!M144</f>
        <v>1.3</v>
      </c>
      <c r="O144" s="82">
        <f>'Paste #BBall'!N144</f>
        <v>0.8</v>
      </c>
      <c r="P144" s="82">
        <f>'Paste #BBall'!O144</f>
        <v>1</v>
      </c>
      <c r="Q144" s="82">
        <f>'Paste #BBall'!P144</f>
        <v>1.3</v>
      </c>
      <c r="R144" s="81" t="str">
        <f>Left(Right('Paste #BBall'!H144,Len('Paste #BBall'!H144)-Search("/",'Paste #BBall'!H144)),Len(Right('Paste #BBall'!H144,Len('Paste #BBall'!H144)-Search("/",'Paste #BBall'!H144)))-1)</f>
        <v>9.3</v>
      </c>
      <c r="S144" s="81" t="str">
        <f>Left(Right('Paste #BBall'!I144,Len('Paste #BBall'!I144)-Search("/",'Paste #BBall'!I144)),Len(Right('Paste #BBall'!I144,Len('Paste #BBall'!I144)-Search("/",'Paste #BBall'!I144)))-1)</f>
        <v>1.2</v>
      </c>
      <c r="T144" s="37"/>
      <c r="U144" s="37"/>
      <c r="V144" s="37"/>
    </row>
    <row r="145">
      <c r="A145" s="2">
        <v>144.0</v>
      </c>
      <c r="B145" s="2" t="str">
        <f>'Paste #BBall'!C145</f>
        <v>Derrick White</v>
      </c>
      <c r="C145" s="2" t="str">
        <f>'Paste #BBall'!D145</f>
        <v>PG/SG</v>
      </c>
      <c r="D145" s="2" t="str">
        <f>'Paste #BBall'!E145</f>
        <v>BOS</v>
      </c>
      <c r="E145" s="2">
        <f>'Paste #BBall'!F145</f>
        <v>70</v>
      </c>
      <c r="F145" s="80">
        <f>'Paste #BBall'!G145</f>
        <v>25.5</v>
      </c>
      <c r="G145" s="81" t="str">
        <f>right(Left('Paste #BBall'!H145,Search("/",'Paste #BBall'!H145)-1),len(Left('Paste #BBall'!H145,Search("/",'Paste #BBall'!H145)-1))-search("(",Left('Paste #BBall'!H145,Search("/",'Paste #BBall'!H145)-1)))</f>
        <v>4.0</v>
      </c>
      <c r="H145" s="82">
        <f t="shared" si="1"/>
        <v>0.4210526316</v>
      </c>
      <c r="I145" s="82" t="str">
        <f>right(Left('Paste #BBall'!I145,Search("/",'Paste #BBall'!I145)-1),len(Left('Paste #BBall'!I145,Search("/",'Paste #BBall'!I145)-1))-search("(",Left('Paste #BBall'!I145,Search("/",'Paste #BBall'!I145)-1)))</f>
        <v>2.3</v>
      </c>
      <c r="J145" s="82">
        <f t="shared" si="2"/>
        <v>0.8518518519</v>
      </c>
      <c r="K145" s="82">
        <f>'Paste #BBall'!J145</f>
        <v>1.3</v>
      </c>
      <c r="L145" s="82">
        <f>'Paste #BBall'!K145</f>
        <v>11.6</v>
      </c>
      <c r="M145" s="82">
        <f>'Paste #BBall'!L145</f>
        <v>3.1</v>
      </c>
      <c r="N145" s="82">
        <f>'Paste #BBall'!M145</f>
        <v>3.3</v>
      </c>
      <c r="O145" s="82">
        <f>'Paste #BBall'!N145</f>
        <v>0.8</v>
      </c>
      <c r="P145" s="82">
        <f>'Paste #BBall'!O145</f>
        <v>0.7</v>
      </c>
      <c r="Q145" s="82">
        <f>'Paste #BBall'!P145</f>
        <v>1.4</v>
      </c>
      <c r="R145" s="81" t="str">
        <f>Left(Right('Paste #BBall'!H145,Len('Paste #BBall'!H145)-Search("/",'Paste #BBall'!H145)),Len(Right('Paste #BBall'!H145,Len('Paste #BBall'!H145)-Search("/",'Paste #BBall'!H145)))-1)</f>
        <v>9.5</v>
      </c>
      <c r="S145" s="81" t="str">
        <f>Left(Right('Paste #BBall'!I145,Len('Paste #BBall'!I145)-Search("/",'Paste #BBall'!I145)),Len(Right('Paste #BBall'!I145,Len('Paste #BBall'!I145)-Search("/",'Paste #BBall'!I145)))-1)</f>
        <v>2.7</v>
      </c>
      <c r="T145" s="37"/>
      <c r="U145" s="37"/>
      <c r="V145" s="37"/>
    </row>
    <row r="146">
      <c r="A146" s="2">
        <v>145.0</v>
      </c>
      <c r="B146" s="2" t="str">
        <f>'Paste #BBall'!C146</f>
        <v>Alex Caruso</v>
      </c>
      <c r="C146" s="2" t="str">
        <f>'Paste #BBall'!D146</f>
        <v>PG/SG</v>
      </c>
      <c r="D146" s="2" t="str">
        <f>'Paste #BBall'!E146</f>
        <v>CHI</v>
      </c>
      <c r="E146" s="2">
        <f>'Paste #BBall'!F146</f>
        <v>69</v>
      </c>
      <c r="F146" s="80">
        <f>'Paste #BBall'!G146</f>
        <v>26.1</v>
      </c>
      <c r="G146" s="81" t="str">
        <f>right(Left('Paste #BBall'!H146,Search("/",'Paste #BBall'!H146)-1),len(Left('Paste #BBall'!H146,Search("/",'Paste #BBall'!H146)-1))-search("(",Left('Paste #BBall'!H146,Search("/",'Paste #BBall'!H146)-1)))</f>
        <v>2.5</v>
      </c>
      <c r="H146" s="82">
        <f t="shared" si="1"/>
        <v>0.4237288136</v>
      </c>
      <c r="I146" s="82" t="str">
        <f>right(Left('Paste #BBall'!I146,Search("/",'Paste #BBall'!I146)-1),len(Left('Paste #BBall'!I146,Search("/",'Paste #BBall'!I146)-1))-search("(",Left('Paste #BBall'!I146,Search("/",'Paste #BBall'!I146)-1)))</f>
        <v>1.3</v>
      </c>
      <c r="J146" s="82">
        <f t="shared" si="2"/>
        <v>0.7647058824</v>
      </c>
      <c r="K146" s="82">
        <f>'Paste #BBall'!J146</f>
        <v>1</v>
      </c>
      <c r="L146" s="82">
        <f>'Paste #BBall'!K146</f>
        <v>7.4</v>
      </c>
      <c r="M146" s="82">
        <f>'Paste #BBall'!L146</f>
        <v>3.4</v>
      </c>
      <c r="N146" s="82">
        <f>'Paste #BBall'!M146</f>
        <v>3.8</v>
      </c>
      <c r="O146" s="82">
        <f>'Paste #BBall'!N146</f>
        <v>1.5</v>
      </c>
      <c r="P146" s="82">
        <f>'Paste #BBall'!O146</f>
        <v>0.4</v>
      </c>
      <c r="Q146" s="82">
        <f>'Paste #BBall'!P146</f>
        <v>1.3</v>
      </c>
      <c r="R146" s="81" t="str">
        <f>Left(Right('Paste #BBall'!H146,Len('Paste #BBall'!H146)-Search("/",'Paste #BBall'!H146)),Len(Right('Paste #BBall'!H146,Len('Paste #BBall'!H146)-Search("/",'Paste #BBall'!H146)))-1)</f>
        <v>5.9</v>
      </c>
      <c r="S146" s="81" t="str">
        <f>Left(Right('Paste #BBall'!I146,Len('Paste #BBall'!I146)-Search("/",'Paste #BBall'!I146)),Len(Right('Paste #BBall'!I146,Len('Paste #BBall'!I146)-Search("/",'Paste #BBall'!I146)))-1)</f>
        <v>1.7</v>
      </c>
      <c r="T146" s="37"/>
      <c r="U146" s="37"/>
      <c r="V146" s="37"/>
    </row>
    <row r="147">
      <c r="A147" s="2">
        <v>146.0</v>
      </c>
      <c r="B147" s="2" t="str">
        <f>'Paste #BBall'!C147</f>
        <v>Caleb Martin</v>
      </c>
      <c r="C147" s="2" t="str">
        <f>'Paste #BBall'!D147</f>
        <v>SG/SF</v>
      </c>
      <c r="D147" s="2" t="str">
        <f>'Paste #BBall'!E147</f>
        <v>MIA</v>
      </c>
      <c r="E147" s="2">
        <f>'Paste #BBall'!F147</f>
        <v>68</v>
      </c>
      <c r="F147" s="80">
        <f>'Paste #BBall'!G147</f>
        <v>24</v>
      </c>
      <c r="G147" s="81" t="str">
        <f>right(Left('Paste #BBall'!H147,Search("/",'Paste #BBall'!H147)-1),len(Left('Paste #BBall'!H147,Search("/",'Paste #BBall'!H147)-1))-search("(",Left('Paste #BBall'!H147,Search("/",'Paste #BBall'!H147)-1)))</f>
        <v>3.7</v>
      </c>
      <c r="H147" s="82">
        <f t="shared" si="1"/>
        <v>0.5</v>
      </c>
      <c r="I147" s="82" t="str">
        <f>right(Left('Paste #BBall'!I147,Search("/",'Paste #BBall'!I147)-1),len(Left('Paste #BBall'!I147,Search("/",'Paste #BBall'!I147)-1))-search("(",Left('Paste #BBall'!I147,Search("/",'Paste #BBall'!I147)-1)))</f>
        <v>1.3</v>
      </c>
      <c r="J147" s="82">
        <f t="shared" si="2"/>
        <v>0.7647058824</v>
      </c>
      <c r="K147" s="82">
        <f>'Paste #BBall'!J147</f>
        <v>1.2</v>
      </c>
      <c r="L147" s="82">
        <f>'Paste #BBall'!K147</f>
        <v>10</v>
      </c>
      <c r="M147" s="82">
        <f>'Paste #BBall'!L147</f>
        <v>4.2</v>
      </c>
      <c r="N147" s="82">
        <f>'Paste #BBall'!M147</f>
        <v>1.2</v>
      </c>
      <c r="O147" s="82">
        <f>'Paste #BBall'!N147</f>
        <v>1.1</v>
      </c>
      <c r="P147" s="82">
        <f>'Paste #BBall'!O147</f>
        <v>0.5</v>
      </c>
      <c r="Q147" s="82">
        <f>'Paste #BBall'!P147</f>
        <v>1</v>
      </c>
      <c r="R147" s="81" t="str">
        <f>Left(Right('Paste #BBall'!H147,Len('Paste #BBall'!H147)-Search("/",'Paste #BBall'!H147)),Len(Right('Paste #BBall'!H147,Len('Paste #BBall'!H147)-Search("/",'Paste #BBall'!H147)))-1)</f>
        <v>7.4</v>
      </c>
      <c r="S147" s="81" t="str">
        <f>Left(Right('Paste #BBall'!I147,Len('Paste #BBall'!I147)-Search("/",'Paste #BBall'!I147)),Len(Right('Paste #BBall'!I147,Len('Paste #BBall'!I147)-Search("/",'Paste #BBall'!I147)))-1)</f>
        <v>1.7</v>
      </c>
      <c r="T147" s="37"/>
      <c r="U147" s="37"/>
      <c r="V147" s="37"/>
    </row>
    <row r="148">
      <c r="A148" s="2">
        <v>147.0</v>
      </c>
      <c r="B148" s="2" t="str">
        <f>'Paste #BBall'!C148</f>
        <v>Markelle Fultz</v>
      </c>
      <c r="C148" s="2" t="str">
        <f>'Paste #BBall'!D148</f>
        <v>PG</v>
      </c>
      <c r="D148" s="2" t="str">
        <f>'Paste #BBall'!E148</f>
        <v>ORL</v>
      </c>
      <c r="E148" s="2">
        <f>'Paste #BBall'!F148</f>
        <v>68</v>
      </c>
      <c r="F148" s="80">
        <f>'Paste #BBall'!G148</f>
        <v>27.7</v>
      </c>
      <c r="G148" s="81" t="str">
        <f>right(Left('Paste #BBall'!H148,Search("/",'Paste #BBall'!H148)-1),len(Left('Paste #BBall'!H148,Search("/",'Paste #BBall'!H148)-1))-search("(",Left('Paste #BBall'!H148,Search("/",'Paste #BBall'!H148)-1)))</f>
        <v>5.9</v>
      </c>
      <c r="H148" s="82">
        <f t="shared" si="1"/>
        <v>0.4609375</v>
      </c>
      <c r="I148" s="82" t="str">
        <f>right(Left('Paste #BBall'!I148,Search("/",'Paste #BBall'!I148)-1),len(Left('Paste #BBall'!I148,Search("/",'Paste #BBall'!I148)-1))-search("(",Left('Paste #BBall'!I148,Search("/",'Paste #BBall'!I148)-1)))</f>
        <v>1.8</v>
      </c>
      <c r="J148" s="82">
        <f t="shared" si="2"/>
        <v>0.8181818182</v>
      </c>
      <c r="K148" s="82">
        <f>'Paste #BBall'!J148</f>
        <v>0.3</v>
      </c>
      <c r="L148" s="82">
        <f>'Paste #BBall'!K148</f>
        <v>14</v>
      </c>
      <c r="M148" s="82">
        <f>'Paste #BBall'!L148</f>
        <v>3.5</v>
      </c>
      <c r="N148" s="82">
        <f>'Paste #BBall'!M148</f>
        <v>5</v>
      </c>
      <c r="O148" s="82">
        <f>'Paste #BBall'!N148</f>
        <v>1</v>
      </c>
      <c r="P148" s="82">
        <f>'Paste #BBall'!O148</f>
        <v>0.3</v>
      </c>
      <c r="Q148" s="82">
        <f>'Paste #BBall'!P148</f>
        <v>2.5</v>
      </c>
      <c r="R148" s="81" t="str">
        <f>Left(Right('Paste #BBall'!H148,Len('Paste #BBall'!H148)-Search("/",'Paste #BBall'!H148)),Len(Right('Paste #BBall'!H148,Len('Paste #BBall'!H148)-Search("/",'Paste #BBall'!H148)))-1)</f>
        <v>12.8</v>
      </c>
      <c r="S148" s="81" t="str">
        <f>Left(Right('Paste #BBall'!I148,Len('Paste #BBall'!I148)-Search("/",'Paste #BBall'!I148)),Len(Right('Paste #BBall'!I148,Len('Paste #BBall'!I148)-Search("/",'Paste #BBall'!I148)))-1)</f>
        <v>2.2</v>
      </c>
      <c r="T148" s="37"/>
      <c r="U148" s="37"/>
      <c r="V148" s="37"/>
    </row>
    <row r="149">
      <c r="A149" s="2">
        <v>148.0</v>
      </c>
      <c r="B149" s="2" t="str">
        <f>'Paste #BBall'!C149</f>
        <v>Bojan Bogdanovic</v>
      </c>
      <c r="C149" s="2" t="str">
        <f>'Paste #BBall'!D149</f>
        <v>PF</v>
      </c>
      <c r="D149" s="2" t="str">
        <f>'Paste #BBall'!E149</f>
        <v>DET</v>
      </c>
      <c r="E149" s="2">
        <f>'Paste #BBall'!F149</f>
        <v>69</v>
      </c>
      <c r="F149" s="80">
        <f>'Paste #BBall'!G149</f>
        <v>29</v>
      </c>
      <c r="G149" s="81" t="str">
        <f>right(Left('Paste #BBall'!H149,Search("/",'Paste #BBall'!H149)-1),len(Left('Paste #BBall'!H149,Search("/",'Paste #BBall'!H149)-1))-search("(",Left('Paste #BBall'!H149,Search("/",'Paste #BBall'!H149)-1)))</f>
        <v>5.8</v>
      </c>
      <c r="H149" s="82">
        <f t="shared" si="1"/>
        <v>0.4496124031</v>
      </c>
      <c r="I149" s="82" t="str">
        <f>right(Left('Paste #BBall'!I149,Search("/",'Paste #BBall'!I149)-1),len(Left('Paste #BBall'!I149,Search("/",'Paste #BBall'!I149)-1))-search("(",Left('Paste #BBall'!I149,Search("/",'Paste #BBall'!I149)-1)))</f>
        <v>3.1</v>
      </c>
      <c r="J149" s="82">
        <f t="shared" si="2"/>
        <v>0.8611111111</v>
      </c>
      <c r="K149" s="82">
        <f>'Paste #BBall'!J149</f>
        <v>2.5</v>
      </c>
      <c r="L149" s="82">
        <f>'Paste #BBall'!K149</f>
        <v>17.2</v>
      </c>
      <c r="M149" s="82">
        <f>'Paste #BBall'!L149</f>
        <v>4</v>
      </c>
      <c r="N149" s="82">
        <f>'Paste #BBall'!M149</f>
        <v>1.6</v>
      </c>
      <c r="O149" s="82">
        <f>'Paste #BBall'!N149</f>
        <v>0.5</v>
      </c>
      <c r="P149" s="82">
        <f>'Paste #BBall'!O149</f>
        <v>0</v>
      </c>
      <c r="Q149" s="82">
        <f>'Paste #BBall'!P149</f>
        <v>1.6</v>
      </c>
      <c r="R149" s="81" t="str">
        <f>Left(Right('Paste #BBall'!H149,Len('Paste #BBall'!H149)-Search("/",'Paste #BBall'!H149)),Len(Right('Paste #BBall'!H149,Len('Paste #BBall'!H149)-Search("/",'Paste #BBall'!H149)))-1)</f>
        <v>12.9</v>
      </c>
      <c r="S149" s="81" t="str">
        <f>Left(Right('Paste #BBall'!I149,Len('Paste #BBall'!I149)-Search("/",'Paste #BBall'!I149)),Len(Right('Paste #BBall'!I149,Len('Paste #BBall'!I149)-Search("/",'Paste #BBall'!I149)))-1)</f>
        <v>3.6</v>
      </c>
      <c r="T149" s="37"/>
      <c r="U149" s="37"/>
      <c r="V149" s="37"/>
    </row>
    <row r="150">
      <c r="A150" s="2">
        <v>149.0</v>
      </c>
      <c r="B150" s="2" t="str">
        <f>'Paste #BBall'!C150</f>
        <v>Jae'Sean Tate</v>
      </c>
      <c r="C150" s="2" t="str">
        <f>'Paste #BBall'!D150</f>
        <v>SF/PF</v>
      </c>
      <c r="D150" s="2" t="str">
        <f>'Paste #BBall'!E150</f>
        <v>HOU</v>
      </c>
      <c r="E150" s="2">
        <f>'Paste #BBall'!F150</f>
        <v>78</v>
      </c>
      <c r="F150" s="80">
        <f>'Paste #BBall'!G150</f>
        <v>26.4</v>
      </c>
      <c r="G150" s="81" t="str">
        <f>right(Left('Paste #BBall'!H150,Search("/",'Paste #BBall'!H150)-1),len(Left('Paste #BBall'!H150,Search("/",'Paste #BBall'!H150)-1))-search("(",Left('Paste #BBall'!H150,Search("/",'Paste #BBall'!H150)-1)))</f>
        <v>4.8</v>
      </c>
      <c r="H150" s="82">
        <f t="shared" si="1"/>
        <v>0.5</v>
      </c>
      <c r="I150" s="82" t="str">
        <f>right(Left('Paste #BBall'!I150,Search("/",'Paste #BBall'!I150)-1),len(Left('Paste #BBall'!I150,Search("/",'Paste #BBall'!I150)-1))-search("(",Left('Paste #BBall'!I150,Search("/",'Paste #BBall'!I150)-1)))</f>
        <v>1.7</v>
      </c>
      <c r="J150" s="82">
        <f t="shared" si="2"/>
        <v>0.68</v>
      </c>
      <c r="K150" s="82">
        <f>'Paste #BBall'!J150</f>
        <v>0.8</v>
      </c>
      <c r="L150" s="82">
        <f>'Paste #BBall'!K150</f>
        <v>12.1</v>
      </c>
      <c r="M150" s="82">
        <f>'Paste #BBall'!L150</f>
        <v>5.5</v>
      </c>
      <c r="N150" s="82">
        <f>'Paste #BBall'!M150</f>
        <v>2.9</v>
      </c>
      <c r="O150" s="82">
        <f>'Paste #BBall'!N150</f>
        <v>0.9</v>
      </c>
      <c r="P150" s="82">
        <f>'Paste #BBall'!O150</f>
        <v>0.5</v>
      </c>
      <c r="Q150" s="82">
        <f>'Paste #BBall'!P150</f>
        <v>1.8</v>
      </c>
      <c r="R150" s="81" t="str">
        <f>Left(Right('Paste #BBall'!H150,Len('Paste #BBall'!H150)-Search("/",'Paste #BBall'!H150)),Len(Right('Paste #BBall'!H150,Len('Paste #BBall'!H150)-Search("/",'Paste #BBall'!H150)))-1)</f>
        <v>9.6</v>
      </c>
      <c r="S150" s="81" t="str">
        <f>Left(Right('Paste #BBall'!I150,Len('Paste #BBall'!I150)-Search("/",'Paste #BBall'!I150)),Len(Right('Paste #BBall'!I150,Len('Paste #BBall'!I150)-Search("/",'Paste #BBall'!I150)))-1)</f>
        <v>2.5</v>
      </c>
      <c r="T150" s="37"/>
      <c r="U150" s="37"/>
      <c r="V150" s="37"/>
    </row>
    <row r="151">
      <c r="A151" s="2">
        <v>150.0</v>
      </c>
      <c r="B151" s="2" t="str">
        <f>'Paste #BBall'!C151</f>
        <v>Kelly Oubre Jr.</v>
      </c>
      <c r="C151" s="2" t="str">
        <f>'Paste #BBall'!D151</f>
        <v>SG/PF</v>
      </c>
      <c r="D151" s="2" t="str">
        <f>'Paste #BBall'!E151</f>
        <v>CHA</v>
      </c>
      <c r="E151" s="2">
        <f>'Paste #BBall'!F151</f>
        <v>77</v>
      </c>
      <c r="F151" s="80">
        <f>'Paste #BBall'!G151</f>
        <v>29.5</v>
      </c>
      <c r="G151" s="81" t="str">
        <f>right(Left('Paste #BBall'!H151,Search("/",'Paste #BBall'!H151)-1),len(Left('Paste #BBall'!H151,Search("/",'Paste #BBall'!H151)-1))-search("(",Left('Paste #BBall'!H151,Search("/",'Paste #BBall'!H151)-1)))</f>
        <v>5.8</v>
      </c>
      <c r="H151" s="82">
        <f t="shared" si="1"/>
        <v>0.4360902256</v>
      </c>
      <c r="I151" s="82" t="str">
        <f>right(Left('Paste #BBall'!I151,Search("/",'Paste #BBall'!I151)-1),len(Left('Paste #BBall'!I151,Search("/",'Paste #BBall'!I151)-1))-search("(",Left('Paste #BBall'!I151,Search("/",'Paste #BBall'!I151)-1)))</f>
        <v>1.8</v>
      </c>
      <c r="J151" s="82">
        <f t="shared" si="2"/>
        <v>0.6666666667</v>
      </c>
      <c r="K151" s="82">
        <f>'Paste #BBall'!J151</f>
        <v>2.7</v>
      </c>
      <c r="L151" s="82">
        <f>'Paste #BBall'!K151</f>
        <v>16.2</v>
      </c>
      <c r="M151" s="82">
        <f>'Paste #BBall'!L151</f>
        <v>4.2</v>
      </c>
      <c r="N151" s="82">
        <f>'Paste #BBall'!M151</f>
        <v>1.2</v>
      </c>
      <c r="O151" s="82">
        <f>'Paste #BBall'!N151</f>
        <v>1.1</v>
      </c>
      <c r="P151" s="82">
        <f>'Paste #BBall'!O151</f>
        <v>0.4</v>
      </c>
      <c r="Q151" s="82">
        <f>'Paste #BBall'!P151</f>
        <v>1</v>
      </c>
      <c r="R151" s="81" t="str">
        <f>Left(Right('Paste #BBall'!H151,Len('Paste #BBall'!H151)-Search("/",'Paste #BBall'!H151)),Len(Right('Paste #BBall'!H151,Len('Paste #BBall'!H151)-Search("/",'Paste #BBall'!H151)))-1)</f>
        <v>13.3</v>
      </c>
      <c r="S151" s="81" t="str">
        <f>Left(Right('Paste #BBall'!I151,Len('Paste #BBall'!I151)-Search("/",'Paste #BBall'!I151)),Len(Right('Paste #BBall'!I151,Len('Paste #BBall'!I151)-Search("/",'Paste #BBall'!I151)))-1)</f>
        <v>2.7</v>
      </c>
      <c r="T151" s="37"/>
      <c r="U151" s="37"/>
      <c r="V151" s="37"/>
    </row>
    <row r="152">
      <c r="A152" s="2">
        <v>151.0</v>
      </c>
      <c r="B152" s="2" t="str">
        <f>'Paste #BBall'!C152</f>
        <v>Reggie Jackson</v>
      </c>
      <c r="C152" s="2" t="str">
        <f>'Paste #BBall'!D152</f>
        <v>PG</v>
      </c>
      <c r="D152" s="2" t="str">
        <f>'Paste #BBall'!E152</f>
        <v>LAC</v>
      </c>
      <c r="E152" s="2">
        <f>'Paste #BBall'!F152</f>
        <v>76</v>
      </c>
      <c r="F152" s="80">
        <f>'Paste #BBall'!G152</f>
        <v>28</v>
      </c>
      <c r="G152" s="81" t="str">
        <f>right(Left('Paste #BBall'!H152,Search("/",'Paste #BBall'!H152)-1),len(Left('Paste #BBall'!H152,Search("/",'Paste #BBall'!H152)-1))-search("(",Left('Paste #BBall'!H152,Search("/",'Paste #BBall'!H152)-1)))</f>
        <v>5.9</v>
      </c>
      <c r="H152" s="82">
        <f t="shared" si="1"/>
        <v>0.446969697</v>
      </c>
      <c r="I152" s="82" t="str">
        <f>right(Left('Paste #BBall'!I152,Search("/",'Paste #BBall'!I152)-1),len(Left('Paste #BBall'!I152,Search("/",'Paste #BBall'!I152)-1))-search("(",Left('Paste #BBall'!I152,Search("/",'Paste #BBall'!I152)-1)))</f>
        <v>1.7</v>
      </c>
      <c r="J152" s="82">
        <f t="shared" si="2"/>
        <v>0.85</v>
      </c>
      <c r="K152" s="82">
        <f>'Paste #BBall'!J152</f>
        <v>2</v>
      </c>
      <c r="L152" s="82">
        <f>'Paste #BBall'!K152</f>
        <v>15.4</v>
      </c>
      <c r="M152" s="82">
        <f>'Paste #BBall'!L152</f>
        <v>3.3</v>
      </c>
      <c r="N152" s="82">
        <f>'Paste #BBall'!M152</f>
        <v>4.4</v>
      </c>
      <c r="O152" s="82">
        <f>'Paste #BBall'!N152</f>
        <v>0.6</v>
      </c>
      <c r="P152" s="82">
        <f>'Paste #BBall'!O152</f>
        <v>0.2</v>
      </c>
      <c r="Q152" s="82">
        <f>'Paste #BBall'!P152</f>
        <v>2.1</v>
      </c>
      <c r="R152" s="81" t="str">
        <f>Left(Right('Paste #BBall'!H152,Len('Paste #BBall'!H152)-Search("/",'Paste #BBall'!H152)),Len(Right('Paste #BBall'!H152,Len('Paste #BBall'!H152)-Search("/",'Paste #BBall'!H152)))-1)</f>
        <v>13.2</v>
      </c>
      <c r="S152" s="81" t="str">
        <f>Left(Right('Paste #BBall'!I152,Len('Paste #BBall'!I152)-Search("/",'Paste #BBall'!I152)),Len(Right('Paste #BBall'!I152,Len('Paste #BBall'!I152)-Search("/",'Paste #BBall'!I152)))-1)</f>
        <v>2.0</v>
      </c>
      <c r="T152" s="37"/>
      <c r="U152" s="37"/>
      <c r="V152" s="37"/>
    </row>
    <row r="153">
      <c r="A153" s="2">
        <v>152.0</v>
      </c>
      <c r="B153" s="2" t="str">
        <f>'Paste #BBall'!C153</f>
        <v>Pat Connaughton</v>
      </c>
      <c r="C153" s="2" t="str">
        <f>'Paste #BBall'!D153</f>
        <v>SG/SF</v>
      </c>
      <c r="D153" s="2" t="str">
        <f>'Paste #BBall'!E153</f>
        <v>MIL</v>
      </c>
      <c r="E153" s="2">
        <f>'Paste #BBall'!F153</f>
        <v>69</v>
      </c>
      <c r="F153" s="80">
        <f>'Paste #BBall'!G153</f>
        <v>26</v>
      </c>
      <c r="G153" s="81" t="str">
        <f>right(Left('Paste #BBall'!H153,Search("/",'Paste #BBall'!H153)-1),len(Left('Paste #BBall'!H153,Search("/",'Paste #BBall'!H153)-1))-search("(",Left('Paste #BBall'!H153,Search("/",'Paste #BBall'!H153)-1)))</f>
        <v>3.6</v>
      </c>
      <c r="H153" s="82">
        <f t="shared" si="1"/>
        <v>0.4615384615</v>
      </c>
      <c r="I153" s="82" t="str">
        <f>right(Left('Paste #BBall'!I153,Search("/",'Paste #BBall'!I153)-1),len(Left('Paste #BBall'!I153,Search("/",'Paste #BBall'!I153)-1))-search("(",Left('Paste #BBall'!I153,Search("/",'Paste #BBall'!I153)-1)))</f>
        <v>0.7</v>
      </c>
      <c r="J153" s="82">
        <f t="shared" si="2"/>
        <v>0.7777777778</v>
      </c>
      <c r="K153" s="82">
        <f>'Paste #BBall'!J153</f>
        <v>2.4</v>
      </c>
      <c r="L153" s="82">
        <f>'Paste #BBall'!K153</f>
        <v>10.2</v>
      </c>
      <c r="M153" s="82">
        <f>'Paste #BBall'!L153</f>
        <v>4.3</v>
      </c>
      <c r="N153" s="82">
        <f>'Paste #BBall'!M153</f>
        <v>1.3</v>
      </c>
      <c r="O153" s="82">
        <f>'Paste #BBall'!N153</f>
        <v>0.9</v>
      </c>
      <c r="P153" s="82">
        <f>'Paste #BBall'!O153</f>
        <v>0.2</v>
      </c>
      <c r="Q153" s="82">
        <f>'Paste #BBall'!P153</f>
        <v>0.5</v>
      </c>
      <c r="R153" s="81" t="str">
        <f>Left(Right('Paste #BBall'!H153,Len('Paste #BBall'!H153)-Search("/",'Paste #BBall'!H153)),Len(Right('Paste #BBall'!H153,Len('Paste #BBall'!H153)-Search("/",'Paste #BBall'!H153)))-1)</f>
        <v>7.8</v>
      </c>
      <c r="S153" s="81" t="str">
        <f>Left(Right('Paste #BBall'!I153,Len('Paste #BBall'!I153)-Search("/",'Paste #BBall'!I153)),Len(Right('Paste #BBall'!I153,Len('Paste #BBall'!I153)-Search("/",'Paste #BBall'!I153)))-1)</f>
        <v>0.9</v>
      </c>
      <c r="T153" s="37"/>
      <c r="U153" s="37"/>
      <c r="V153" s="37"/>
    </row>
    <row r="154">
      <c r="A154" s="2">
        <v>153.0</v>
      </c>
      <c r="B154" s="2" t="str">
        <f>'Paste #BBall'!C154</f>
        <v>Isaiah Stewart</v>
      </c>
      <c r="C154" s="2" t="str">
        <f>'Paste #BBall'!D154</f>
        <v>PF/C</v>
      </c>
      <c r="D154" s="2" t="str">
        <f>'Paste #BBall'!E154</f>
        <v>DET</v>
      </c>
      <c r="E154" s="2">
        <f>'Paste #BBall'!F154</f>
        <v>72</v>
      </c>
      <c r="F154" s="80">
        <f>'Paste #BBall'!G154</f>
        <v>25.6</v>
      </c>
      <c r="G154" s="81" t="str">
        <f>right(Left('Paste #BBall'!H154,Search("/",'Paste #BBall'!H154)-1),len(Left('Paste #BBall'!H154,Search("/",'Paste #BBall'!H154)-1))-search("(",Left('Paste #BBall'!H154,Search("/",'Paste #BBall'!H154)-1)))</f>
        <v>3.9</v>
      </c>
      <c r="H154" s="82">
        <f t="shared" si="1"/>
        <v>0.5</v>
      </c>
      <c r="I154" s="82" t="str">
        <f>right(Left('Paste #BBall'!I154,Search("/",'Paste #BBall'!I154)-1),len(Left('Paste #BBall'!I154,Search("/",'Paste #BBall'!I154)-1))-search("(",Left('Paste #BBall'!I154,Search("/",'Paste #BBall'!I154)-1)))</f>
        <v>1.2</v>
      </c>
      <c r="J154" s="82">
        <f t="shared" si="2"/>
        <v>0.7058823529</v>
      </c>
      <c r="K154" s="82">
        <f>'Paste #BBall'!J154</f>
        <v>0.7</v>
      </c>
      <c r="L154" s="82">
        <f>'Paste #BBall'!K154</f>
        <v>9.6</v>
      </c>
      <c r="M154" s="82">
        <f>'Paste #BBall'!L154</f>
        <v>8</v>
      </c>
      <c r="N154" s="82">
        <f>'Paste #BBall'!M154</f>
        <v>1.2</v>
      </c>
      <c r="O154" s="82">
        <f>'Paste #BBall'!N154</f>
        <v>0.3</v>
      </c>
      <c r="P154" s="82">
        <f>'Paste #BBall'!O154</f>
        <v>1.1</v>
      </c>
      <c r="Q154" s="82">
        <f>'Paste #BBall'!P154</f>
        <v>1.2</v>
      </c>
      <c r="R154" s="81" t="str">
        <f>Left(Right('Paste #BBall'!H154,Len('Paste #BBall'!H154)-Search("/",'Paste #BBall'!H154)),Len(Right('Paste #BBall'!H154,Len('Paste #BBall'!H154)-Search("/",'Paste #BBall'!H154)))-1)</f>
        <v>7.8</v>
      </c>
      <c r="S154" s="81" t="str">
        <f>Left(Right('Paste #BBall'!I154,Len('Paste #BBall'!I154)-Search("/",'Paste #BBall'!I154)),Len(Right('Paste #BBall'!I154,Len('Paste #BBall'!I154)-Search("/",'Paste #BBall'!I154)))-1)</f>
        <v>1.7</v>
      </c>
      <c r="T154" s="37"/>
      <c r="U154" s="37"/>
      <c r="V154" s="37"/>
    </row>
    <row r="155">
      <c r="A155" s="2">
        <v>154.0</v>
      </c>
      <c r="B155" s="2" t="str">
        <f>'Paste #BBall'!C155</f>
        <v>Luguentz Dort</v>
      </c>
      <c r="C155" s="2" t="str">
        <f>'Paste #BBall'!D155</f>
        <v>SG/SF</v>
      </c>
      <c r="D155" s="2" t="str">
        <f>'Paste #BBall'!E155</f>
        <v>OKL</v>
      </c>
      <c r="E155" s="2">
        <f>'Paste #BBall'!F155</f>
        <v>60</v>
      </c>
      <c r="F155" s="80">
        <f>'Paste #BBall'!G155</f>
        <v>31.7</v>
      </c>
      <c r="G155" s="81" t="str">
        <f>right(Left('Paste #BBall'!H155,Search("/",'Paste #BBall'!H155)-1),len(Left('Paste #BBall'!H155,Search("/",'Paste #BBall'!H155)-1))-search("(",Left('Paste #BBall'!H155,Search("/",'Paste #BBall'!H155)-1)))</f>
        <v>5.4</v>
      </c>
      <c r="H155" s="82">
        <f t="shared" si="1"/>
        <v>0.4060150376</v>
      </c>
      <c r="I155" s="82" t="str">
        <f>right(Left('Paste #BBall'!I155,Search("/",'Paste #BBall'!I155)-1),len(Left('Paste #BBall'!I155,Search("/",'Paste #BBall'!I155)-1))-search("(",Left('Paste #BBall'!I155,Search("/",'Paste #BBall'!I155)-1)))</f>
        <v>3.0</v>
      </c>
      <c r="J155" s="82">
        <f t="shared" si="2"/>
        <v>0.8333333333</v>
      </c>
      <c r="K155" s="82">
        <f>'Paste #BBall'!J155</f>
        <v>2.2</v>
      </c>
      <c r="L155" s="82">
        <f>'Paste #BBall'!K155</f>
        <v>16.1</v>
      </c>
      <c r="M155" s="82">
        <f>'Paste #BBall'!L155</f>
        <v>3.8</v>
      </c>
      <c r="N155" s="82">
        <f>'Paste #BBall'!M155</f>
        <v>1.6</v>
      </c>
      <c r="O155" s="82">
        <f>'Paste #BBall'!N155</f>
        <v>0.8</v>
      </c>
      <c r="P155" s="82">
        <f>'Paste #BBall'!O155</f>
        <v>0.4</v>
      </c>
      <c r="Q155" s="82">
        <f>'Paste #BBall'!P155</f>
        <v>1.6</v>
      </c>
      <c r="R155" s="81" t="str">
        <f>Left(Right('Paste #BBall'!H155,Len('Paste #BBall'!H155)-Search("/",'Paste #BBall'!H155)),Len(Right('Paste #BBall'!H155,Len('Paste #BBall'!H155)-Search("/",'Paste #BBall'!H155)))-1)</f>
        <v>13.3</v>
      </c>
      <c r="S155" s="81" t="str">
        <f>Left(Right('Paste #BBall'!I155,Len('Paste #BBall'!I155)-Search("/",'Paste #BBall'!I155)),Len(Right('Paste #BBall'!I155,Len('Paste #BBall'!I155)-Search("/",'Paste #BBall'!I155)))-1)</f>
        <v>3.6</v>
      </c>
      <c r="T155" s="37"/>
      <c r="U155" s="37"/>
      <c r="V155" s="37"/>
    </row>
    <row r="156">
      <c r="A156" s="2">
        <v>155.0</v>
      </c>
      <c r="B156" s="2" t="str">
        <f>'Paste #BBall'!C156</f>
        <v>Chuma Okeke</v>
      </c>
      <c r="C156" s="2" t="str">
        <f>'Paste #BBall'!D156</f>
        <v>PF</v>
      </c>
      <c r="D156" s="2" t="str">
        <f>'Paste #BBall'!E156</f>
        <v>ORL</v>
      </c>
      <c r="E156" s="2">
        <f>'Paste #BBall'!F156</f>
        <v>70</v>
      </c>
      <c r="F156" s="80">
        <f>'Paste #BBall'!G156</f>
        <v>22.3</v>
      </c>
      <c r="G156" s="81" t="str">
        <f>right(Left('Paste #BBall'!H156,Search("/",'Paste #BBall'!H156)-1),len(Left('Paste #BBall'!H156,Search("/",'Paste #BBall'!H156)-1))-search("(",Left('Paste #BBall'!H156,Search("/",'Paste #BBall'!H156)-1)))</f>
        <v>2.8</v>
      </c>
      <c r="H156" s="82">
        <f t="shared" si="1"/>
        <v>0.4</v>
      </c>
      <c r="I156" s="82" t="str">
        <f>right(Left('Paste #BBall'!I156,Search("/",'Paste #BBall'!I156)-1),len(Left('Paste #BBall'!I156,Search("/",'Paste #BBall'!I156)-1))-search("(",Left('Paste #BBall'!I156,Search("/",'Paste #BBall'!I156)-1)))</f>
        <v>0.7</v>
      </c>
      <c r="J156" s="82">
        <f t="shared" si="2"/>
        <v>0.7777777778</v>
      </c>
      <c r="K156" s="82">
        <f>'Paste #BBall'!J156</f>
        <v>1.6</v>
      </c>
      <c r="L156" s="82">
        <f>'Paste #BBall'!K156</f>
        <v>7.9</v>
      </c>
      <c r="M156" s="82">
        <f>'Paste #BBall'!L156</f>
        <v>4.6</v>
      </c>
      <c r="N156" s="82">
        <f>'Paste #BBall'!M156</f>
        <v>1.6</v>
      </c>
      <c r="O156" s="82">
        <f>'Paste #BBall'!N156</f>
        <v>1.3</v>
      </c>
      <c r="P156" s="82">
        <f>'Paste #BBall'!O156</f>
        <v>0.6</v>
      </c>
      <c r="Q156" s="82">
        <f>'Paste #BBall'!P156</f>
        <v>0.7</v>
      </c>
      <c r="R156" s="81" t="str">
        <f>Left(Right('Paste #BBall'!H156,Len('Paste #BBall'!H156)-Search("/",'Paste #BBall'!H156)),Len(Right('Paste #BBall'!H156,Len('Paste #BBall'!H156)-Search("/",'Paste #BBall'!H156)))-1)</f>
        <v>7.0</v>
      </c>
      <c r="S156" s="81" t="str">
        <f>Left(Right('Paste #BBall'!I156,Len('Paste #BBall'!I156)-Search("/",'Paste #BBall'!I156)),Len(Right('Paste #BBall'!I156,Len('Paste #BBall'!I156)-Search("/",'Paste #BBall'!I156)))-1)</f>
        <v>0.9</v>
      </c>
      <c r="T156" s="37"/>
      <c r="U156" s="37"/>
      <c r="V156" s="37"/>
    </row>
    <row r="157">
      <c r="A157" s="2">
        <v>156.0</v>
      </c>
      <c r="B157" s="2" t="str">
        <f>'Paste #BBall'!C157</f>
        <v>Seth Curry</v>
      </c>
      <c r="C157" s="2" t="str">
        <f>'Paste #BBall'!D157</f>
        <v>PG/SF</v>
      </c>
      <c r="D157" s="2" t="str">
        <f>'Paste #BBall'!E157</f>
        <v>BRO</v>
      </c>
      <c r="E157" s="2">
        <f>'Paste #BBall'!F157</f>
        <v>64</v>
      </c>
      <c r="F157" s="80">
        <f>'Paste #BBall'!G157</f>
        <v>27.2</v>
      </c>
      <c r="G157" s="81" t="str">
        <f>right(Left('Paste #BBall'!H157,Search("/",'Paste #BBall'!H157)-1),len(Left('Paste #BBall'!H157,Search("/",'Paste #BBall'!H157)-1))-search("(",Left('Paste #BBall'!H157,Search("/",'Paste #BBall'!H157)-1)))</f>
        <v>4.7</v>
      </c>
      <c r="H157" s="82">
        <f t="shared" si="1"/>
        <v>0.4895833333</v>
      </c>
      <c r="I157" s="82" t="str">
        <f>right(Left('Paste #BBall'!I157,Search("/",'Paste #BBall'!I157)-1),len(Left('Paste #BBall'!I157,Search("/",'Paste #BBall'!I157)-1))-search("(",Left('Paste #BBall'!I157,Search("/",'Paste #BBall'!I157)-1)))</f>
        <v>1.1</v>
      </c>
      <c r="J157" s="82">
        <f t="shared" si="2"/>
        <v>0.8461538462</v>
      </c>
      <c r="K157" s="82">
        <f>'Paste #BBall'!J157</f>
        <v>2.1</v>
      </c>
      <c r="L157" s="82">
        <f>'Paste #BBall'!K157</f>
        <v>12.5</v>
      </c>
      <c r="M157" s="82">
        <f>'Paste #BBall'!L157</f>
        <v>2.6</v>
      </c>
      <c r="N157" s="82">
        <f>'Paste #BBall'!M157</f>
        <v>3</v>
      </c>
      <c r="O157" s="82">
        <f>'Paste #BBall'!N157</f>
        <v>0.7</v>
      </c>
      <c r="P157" s="82">
        <f>'Paste #BBall'!O157</f>
        <v>0.2</v>
      </c>
      <c r="Q157" s="82">
        <f>'Paste #BBall'!P157</f>
        <v>1.4</v>
      </c>
      <c r="R157" s="81" t="str">
        <f>Left(Right('Paste #BBall'!H157,Len('Paste #BBall'!H157)-Search("/",'Paste #BBall'!H157)),Len(Right('Paste #BBall'!H157,Len('Paste #BBall'!H157)-Search("/",'Paste #BBall'!H157)))-1)</f>
        <v>9.6</v>
      </c>
      <c r="S157" s="81" t="str">
        <f>Left(Right('Paste #BBall'!I157,Len('Paste #BBall'!I157)-Search("/",'Paste #BBall'!I157)),Len(Right('Paste #BBall'!I157,Len('Paste #BBall'!I157)-Search("/",'Paste #BBall'!I157)))-1)</f>
        <v>1.3</v>
      </c>
      <c r="T157" s="37"/>
      <c r="U157" s="37"/>
      <c r="V157" s="37"/>
    </row>
    <row r="158">
      <c r="A158" s="2">
        <v>157.0</v>
      </c>
      <c r="B158" s="2" t="str">
        <f>'Paste #BBall'!C158</f>
        <v>Kevin Huerter</v>
      </c>
      <c r="C158" s="2" t="str">
        <f>'Paste #BBall'!D158</f>
        <v>SG</v>
      </c>
      <c r="D158" s="2" t="str">
        <f>'Paste #BBall'!E158</f>
        <v>SAC</v>
      </c>
      <c r="E158" s="2">
        <f>'Paste #BBall'!F158</f>
        <v>72</v>
      </c>
      <c r="F158" s="80">
        <f>'Paste #BBall'!G158</f>
        <v>28.6</v>
      </c>
      <c r="G158" s="81" t="str">
        <f>right(Left('Paste #BBall'!H158,Search("/",'Paste #BBall'!H158)-1),len(Left('Paste #BBall'!H158,Search("/",'Paste #BBall'!H158)-1))-search("(",Left('Paste #BBall'!H158,Search("/",'Paste #BBall'!H158)-1)))</f>
        <v>4.6</v>
      </c>
      <c r="H158" s="82">
        <f t="shared" si="1"/>
        <v>0.4509803922</v>
      </c>
      <c r="I158" s="82" t="str">
        <f>right(Left('Paste #BBall'!I158,Search("/",'Paste #BBall'!I158)-1),len(Left('Paste #BBall'!I158,Search("/",'Paste #BBall'!I158)-1))-search("(",Left('Paste #BBall'!I158,Search("/",'Paste #BBall'!I158)-1)))</f>
        <v>0.6</v>
      </c>
      <c r="J158" s="82">
        <f t="shared" si="2"/>
        <v>0.8571428571</v>
      </c>
      <c r="K158" s="82">
        <f>'Paste #BBall'!J158</f>
        <v>2.2</v>
      </c>
      <c r="L158" s="82">
        <f>'Paste #BBall'!K158</f>
        <v>12</v>
      </c>
      <c r="M158" s="82">
        <f>'Paste #BBall'!L158</f>
        <v>3.4</v>
      </c>
      <c r="N158" s="82">
        <f>'Paste #BBall'!M158</f>
        <v>2.7</v>
      </c>
      <c r="O158" s="82">
        <f>'Paste #BBall'!N158</f>
        <v>0.7</v>
      </c>
      <c r="P158" s="82">
        <f>'Paste #BBall'!O158</f>
        <v>0.4</v>
      </c>
      <c r="Q158" s="82">
        <f>'Paste #BBall'!P158</f>
        <v>1.2</v>
      </c>
      <c r="R158" s="81" t="str">
        <f>Left(Right('Paste #BBall'!H158,Len('Paste #BBall'!H158)-Search("/",'Paste #BBall'!H158)),Len(Right('Paste #BBall'!H158,Len('Paste #BBall'!H158)-Search("/",'Paste #BBall'!H158)))-1)</f>
        <v>10.2</v>
      </c>
      <c r="S158" s="81" t="str">
        <f>Left(Right('Paste #BBall'!I158,Len('Paste #BBall'!I158)-Search("/",'Paste #BBall'!I158)),Len(Right('Paste #BBall'!I158,Len('Paste #BBall'!I158)-Search("/",'Paste #BBall'!I158)))-1)</f>
        <v>0.7</v>
      </c>
      <c r="T158" s="37"/>
      <c r="U158" s="37"/>
      <c r="V158" s="37"/>
    </row>
    <row r="159">
      <c r="A159" s="2">
        <v>158.0</v>
      </c>
      <c r="B159" s="2" t="str">
        <f>'Paste #BBall'!C159</f>
        <v>Mason Plumlee</v>
      </c>
      <c r="C159" s="2" t="str">
        <f>'Paste #BBall'!D159</f>
        <v>C</v>
      </c>
      <c r="D159" s="2" t="str">
        <f>'Paste #BBall'!E159</f>
        <v>CHA</v>
      </c>
      <c r="E159" s="2">
        <f>'Paste #BBall'!F159</f>
        <v>72</v>
      </c>
      <c r="F159" s="80">
        <f>'Paste #BBall'!G159</f>
        <v>24.8</v>
      </c>
      <c r="G159" s="81" t="str">
        <f>right(Left('Paste #BBall'!H159,Search("/",'Paste #BBall'!H159)-1),len(Left('Paste #BBall'!H159,Search("/",'Paste #BBall'!H159)-1))-search("(",Left('Paste #BBall'!H159,Search("/",'Paste #BBall'!H159)-1)))</f>
        <v>2.9</v>
      </c>
      <c r="H159" s="82">
        <f t="shared" si="1"/>
        <v>0.6444444444</v>
      </c>
      <c r="I159" s="82" t="str">
        <f>right(Left('Paste #BBall'!I159,Search("/",'Paste #BBall'!I159)-1),len(Left('Paste #BBall'!I159,Search("/",'Paste #BBall'!I159)-1))-search("(",Left('Paste #BBall'!I159,Search("/",'Paste #BBall'!I159)-1)))</f>
        <v>0.9</v>
      </c>
      <c r="J159" s="82">
        <f t="shared" si="2"/>
        <v>0.5625</v>
      </c>
      <c r="K159" s="82">
        <f>'Paste #BBall'!J159</f>
        <v>0</v>
      </c>
      <c r="L159" s="82">
        <f>'Paste #BBall'!K159</f>
        <v>6.7</v>
      </c>
      <c r="M159" s="82">
        <f>'Paste #BBall'!L159</f>
        <v>7.5</v>
      </c>
      <c r="N159" s="82">
        <f>'Paste #BBall'!M159</f>
        <v>3.2</v>
      </c>
      <c r="O159" s="82">
        <f>'Paste #BBall'!N159</f>
        <v>0.8</v>
      </c>
      <c r="P159" s="82">
        <f>'Paste #BBall'!O159</f>
        <v>0.7</v>
      </c>
      <c r="Q159" s="82">
        <f>'Paste #BBall'!P159</f>
        <v>1.4</v>
      </c>
      <c r="R159" s="81" t="str">
        <f>Left(Right('Paste #BBall'!H159,Len('Paste #BBall'!H159)-Search("/",'Paste #BBall'!H159)),Len(Right('Paste #BBall'!H159,Len('Paste #BBall'!H159)-Search("/",'Paste #BBall'!H159)))-1)</f>
        <v>4.5</v>
      </c>
      <c r="S159" s="81" t="str">
        <f>Left(Right('Paste #BBall'!I159,Len('Paste #BBall'!I159)-Search("/",'Paste #BBall'!I159)),Len(Right('Paste #BBall'!I159,Len('Paste #BBall'!I159)-Search("/",'Paste #BBall'!I159)))-1)</f>
        <v>1.6</v>
      </c>
      <c r="T159" s="37"/>
      <c r="U159" s="37"/>
      <c r="V159" s="37"/>
    </row>
    <row r="160">
      <c r="A160" s="2">
        <v>159.0</v>
      </c>
      <c r="B160" s="2" t="str">
        <f>'Paste #BBall'!C160</f>
        <v>Chris Duarte</v>
      </c>
      <c r="C160" s="2" t="str">
        <f>'Paste #BBall'!D160</f>
        <v>SG</v>
      </c>
      <c r="D160" s="2" t="str">
        <f>'Paste #BBall'!E160</f>
        <v>IND</v>
      </c>
      <c r="E160" s="2">
        <f>'Paste #BBall'!F160</f>
        <v>72</v>
      </c>
      <c r="F160" s="80">
        <f>'Paste #BBall'!G160</f>
        <v>29.1</v>
      </c>
      <c r="G160" s="81" t="str">
        <f>right(Left('Paste #BBall'!H160,Search("/",'Paste #BBall'!H160)-1),len(Left('Paste #BBall'!H160,Search("/",'Paste #BBall'!H160)-1))-search("(",Left('Paste #BBall'!H160,Search("/",'Paste #BBall'!H160)-1)))</f>
        <v>5.2</v>
      </c>
      <c r="H160" s="82">
        <f t="shared" si="1"/>
        <v>0.4369747899</v>
      </c>
      <c r="I160" s="82" t="str">
        <f>right(Left('Paste #BBall'!I160,Search("/",'Paste #BBall'!I160)-1),len(Left('Paste #BBall'!I160,Search("/",'Paste #BBall'!I160)-1))-search("(",Left('Paste #BBall'!I160,Search("/",'Paste #BBall'!I160)-1)))</f>
        <v>1.7</v>
      </c>
      <c r="J160" s="82">
        <f t="shared" si="2"/>
        <v>0.8095238095</v>
      </c>
      <c r="K160" s="82">
        <f>'Paste #BBall'!J160</f>
        <v>1.8</v>
      </c>
      <c r="L160" s="82">
        <f>'Paste #BBall'!K160</f>
        <v>13.9</v>
      </c>
      <c r="M160" s="82">
        <f>'Paste #BBall'!L160</f>
        <v>4.3</v>
      </c>
      <c r="N160" s="82">
        <f>'Paste #BBall'!M160</f>
        <v>2.2</v>
      </c>
      <c r="O160" s="82">
        <f>'Paste #BBall'!N160</f>
        <v>1.1</v>
      </c>
      <c r="P160" s="82">
        <f>'Paste #BBall'!O160</f>
        <v>0.2</v>
      </c>
      <c r="Q160" s="82">
        <f>'Paste #BBall'!P160</f>
        <v>1.7</v>
      </c>
      <c r="R160" s="81" t="str">
        <f>Left(Right('Paste #BBall'!H160,Len('Paste #BBall'!H160)-Search("/",'Paste #BBall'!H160)),Len(Right('Paste #BBall'!H160,Len('Paste #BBall'!H160)-Search("/",'Paste #BBall'!H160)))-1)</f>
        <v>11.9</v>
      </c>
      <c r="S160" s="81" t="str">
        <f>Left(Right('Paste #BBall'!I160,Len('Paste #BBall'!I160)-Search("/",'Paste #BBall'!I160)),Len(Right('Paste #BBall'!I160,Len('Paste #BBall'!I160)-Search("/",'Paste #BBall'!I160)))-1)</f>
        <v>2.1</v>
      </c>
      <c r="T160" s="37"/>
      <c r="U160" s="37"/>
      <c r="V160" s="37"/>
    </row>
    <row r="161">
      <c r="A161" s="2">
        <v>160.0</v>
      </c>
      <c r="B161" s="2" t="str">
        <f>'Paste #BBall'!C161</f>
        <v>Darius Bazley</v>
      </c>
      <c r="C161" s="2" t="str">
        <f>'Paste #BBall'!D161</f>
        <v>SF/PF</v>
      </c>
      <c r="D161" s="2" t="str">
        <f>'Paste #BBall'!E161</f>
        <v>OKL</v>
      </c>
      <c r="E161" s="2">
        <f>'Paste #BBall'!F161</f>
        <v>69</v>
      </c>
      <c r="F161" s="80">
        <f>'Paste #BBall'!G161</f>
        <v>28</v>
      </c>
      <c r="G161" s="81" t="str">
        <f>right(Left('Paste #BBall'!H161,Search("/",'Paste #BBall'!H161)-1),len(Left('Paste #BBall'!H161,Search("/",'Paste #BBall'!H161)-1))-search("(",Left('Paste #BBall'!H161,Search("/",'Paste #BBall'!H161)-1)))</f>
        <v>4.1</v>
      </c>
      <c r="H161" s="82">
        <f t="shared" si="1"/>
        <v>0.4270833333</v>
      </c>
      <c r="I161" s="82" t="str">
        <f>right(Left('Paste #BBall'!I161,Search("/",'Paste #BBall'!I161)-1),len(Left('Paste #BBall'!I161,Search("/",'Paste #BBall'!I161)-1))-search("(",Left('Paste #BBall'!I161,Search("/",'Paste #BBall'!I161)-1)))</f>
        <v>1.7</v>
      </c>
      <c r="J161" s="82">
        <f t="shared" si="2"/>
        <v>0.7083333333</v>
      </c>
      <c r="K161" s="82">
        <f>'Paste #BBall'!J161</f>
        <v>1.2</v>
      </c>
      <c r="L161" s="82">
        <f>'Paste #BBall'!K161</f>
        <v>11.2</v>
      </c>
      <c r="M161" s="82">
        <f>'Paste #BBall'!L161</f>
        <v>6.5</v>
      </c>
      <c r="N161" s="82">
        <f>'Paste #BBall'!M161</f>
        <v>1.4</v>
      </c>
      <c r="O161" s="82">
        <f>'Paste #BBall'!N161</f>
        <v>0.8</v>
      </c>
      <c r="P161" s="82">
        <f>'Paste #BBall'!O161</f>
        <v>1</v>
      </c>
      <c r="Q161" s="82">
        <f>'Paste #BBall'!P161</f>
        <v>1.3</v>
      </c>
      <c r="R161" s="81" t="str">
        <f>Left(Right('Paste #BBall'!H161,Len('Paste #BBall'!H161)-Search("/",'Paste #BBall'!H161)),Len(Right('Paste #BBall'!H161,Len('Paste #BBall'!H161)-Search("/",'Paste #BBall'!H161)))-1)</f>
        <v>9.6</v>
      </c>
      <c r="S161" s="81" t="str">
        <f>Left(Right('Paste #BBall'!I161,Len('Paste #BBall'!I161)-Search("/",'Paste #BBall'!I161)),Len(Right('Paste #BBall'!I161,Len('Paste #BBall'!I161)-Search("/",'Paste #BBall'!I161)))-1)</f>
        <v>2.4</v>
      </c>
      <c r="T161" s="37"/>
      <c r="U161" s="37"/>
      <c r="V161" s="37"/>
    </row>
    <row r="162">
      <c r="A162" s="2">
        <v>161.0</v>
      </c>
      <c r="B162" s="2" t="str">
        <f>'Paste #BBall'!C162</f>
        <v>Cole Anthony</v>
      </c>
      <c r="C162" s="2" t="str">
        <f>'Paste #BBall'!D162</f>
        <v>PG</v>
      </c>
      <c r="D162" s="2" t="str">
        <f>'Paste #BBall'!E162</f>
        <v>ORL</v>
      </c>
      <c r="E162" s="2">
        <f>'Paste #BBall'!F162</f>
        <v>68</v>
      </c>
      <c r="F162" s="80">
        <f>'Paste #BBall'!G162</f>
        <v>28.2</v>
      </c>
      <c r="G162" s="81" t="str">
        <f>right(Left('Paste #BBall'!H162,Search("/",'Paste #BBall'!H162)-1),len(Left('Paste #BBall'!H162,Search("/",'Paste #BBall'!H162)-1))-search("(",Left('Paste #BBall'!H162,Search("/",'Paste #BBall'!H162)-1)))</f>
        <v>5.0</v>
      </c>
      <c r="H162" s="82">
        <f t="shared" si="1"/>
        <v>0.4</v>
      </c>
      <c r="I162" s="82" t="str">
        <f>right(Left('Paste #BBall'!I162,Search("/",'Paste #BBall'!I162)-1),len(Left('Paste #BBall'!I162,Search("/",'Paste #BBall'!I162)-1))-search("(",Left('Paste #BBall'!I162,Search("/",'Paste #BBall'!I162)-1)))</f>
        <v>3.0</v>
      </c>
      <c r="J162" s="82">
        <f t="shared" si="2"/>
        <v>0.8571428571</v>
      </c>
      <c r="K162" s="82">
        <f>'Paste #BBall'!J162</f>
        <v>1.8</v>
      </c>
      <c r="L162" s="82">
        <f>'Paste #BBall'!K162</f>
        <v>14.8</v>
      </c>
      <c r="M162" s="82">
        <f>'Paste #BBall'!L162</f>
        <v>4.5</v>
      </c>
      <c r="N162" s="82">
        <f>'Paste #BBall'!M162</f>
        <v>4</v>
      </c>
      <c r="O162" s="82">
        <f>'Paste #BBall'!N162</f>
        <v>0.6</v>
      </c>
      <c r="P162" s="82">
        <f>'Paste #BBall'!O162</f>
        <v>0.3</v>
      </c>
      <c r="Q162" s="82">
        <f>'Paste #BBall'!P162</f>
        <v>2.4</v>
      </c>
      <c r="R162" s="81" t="str">
        <f>Left(Right('Paste #BBall'!H162,Len('Paste #BBall'!H162)-Search("/",'Paste #BBall'!H162)),Len(Right('Paste #BBall'!H162,Len('Paste #BBall'!H162)-Search("/",'Paste #BBall'!H162)))-1)</f>
        <v>12.5</v>
      </c>
      <c r="S162" s="81" t="str">
        <f>Left(Right('Paste #BBall'!I162,Len('Paste #BBall'!I162)-Search("/",'Paste #BBall'!I162)),Len(Right('Paste #BBall'!I162,Len('Paste #BBall'!I162)-Search("/",'Paste #BBall'!I162)))-1)</f>
        <v>3.5</v>
      </c>
      <c r="T162" s="37"/>
      <c r="U162" s="37"/>
      <c r="V162" s="37"/>
    </row>
    <row r="163">
      <c r="A163" s="2">
        <v>162.0</v>
      </c>
      <c r="B163" s="2" t="str">
        <f>'Paste #BBall'!C163</f>
        <v>Jonathan Isaac</v>
      </c>
      <c r="C163" s="2" t="str">
        <f>'Paste #BBall'!D163</f>
        <v>SF/PF</v>
      </c>
      <c r="D163" s="2" t="str">
        <f>'Paste #BBall'!E163</f>
        <v>ORL</v>
      </c>
      <c r="E163" s="2">
        <f>'Paste #BBall'!F163</f>
        <v>38</v>
      </c>
      <c r="F163" s="80">
        <f>'Paste #BBall'!G163</f>
        <v>20.1</v>
      </c>
      <c r="G163" s="81" t="str">
        <f>right(Left('Paste #BBall'!H163,Search("/",'Paste #BBall'!H163)-1),len(Left('Paste #BBall'!H163,Search("/",'Paste #BBall'!H163)-1))-search("(",Left('Paste #BBall'!H163,Search("/",'Paste #BBall'!H163)-1)))</f>
        <v>3.2</v>
      </c>
      <c r="H163" s="82">
        <f t="shared" si="1"/>
        <v>0.4571428571</v>
      </c>
      <c r="I163" s="82" t="str">
        <f>right(Left('Paste #BBall'!I163,Search("/",'Paste #BBall'!I163)-1),len(Left('Paste #BBall'!I163,Search("/",'Paste #BBall'!I163)-1))-search("(",Left('Paste #BBall'!I163,Search("/",'Paste #BBall'!I163)-1)))</f>
        <v>1.3</v>
      </c>
      <c r="J163" s="82">
        <f t="shared" si="2"/>
        <v>0.7647058824</v>
      </c>
      <c r="K163" s="82">
        <f>'Paste #BBall'!J163</f>
        <v>0.6</v>
      </c>
      <c r="L163" s="82">
        <f>'Paste #BBall'!K163</f>
        <v>8.3</v>
      </c>
      <c r="M163" s="82">
        <f>'Paste #BBall'!L163</f>
        <v>4.7</v>
      </c>
      <c r="N163" s="82">
        <f>'Paste #BBall'!M163</f>
        <v>1</v>
      </c>
      <c r="O163" s="82">
        <f>'Paste #BBall'!N163</f>
        <v>0.9</v>
      </c>
      <c r="P163" s="82">
        <f>'Paste #BBall'!O163</f>
        <v>1.2</v>
      </c>
      <c r="Q163" s="82">
        <f>'Paste #BBall'!P163</f>
        <v>1</v>
      </c>
      <c r="R163" s="81" t="str">
        <f>Left(Right('Paste #BBall'!H163,Len('Paste #BBall'!H163)-Search("/",'Paste #BBall'!H163)),Len(Right('Paste #BBall'!H163,Len('Paste #BBall'!H163)-Search("/",'Paste #BBall'!H163)))-1)</f>
        <v>7.0</v>
      </c>
      <c r="S163" s="81" t="str">
        <f>Left(Right('Paste #BBall'!I163,Len('Paste #BBall'!I163)-Search("/",'Paste #BBall'!I163)),Len(Right('Paste #BBall'!I163,Len('Paste #BBall'!I163)-Search("/",'Paste #BBall'!I163)))-1)</f>
        <v>1.7</v>
      </c>
      <c r="T163" s="37"/>
      <c r="U163" s="37"/>
      <c r="V163" s="37"/>
    </row>
    <row r="164">
      <c r="A164" s="2">
        <v>163.0</v>
      </c>
      <c r="B164" s="2" t="str">
        <f>'Paste #BBall'!C164</f>
        <v>Jae Crowder</v>
      </c>
      <c r="C164" s="2" t="str">
        <f>'Paste #BBall'!D164</f>
        <v>SF/PF</v>
      </c>
      <c r="D164" s="2" t="str">
        <f>'Paste #BBall'!E164</f>
        <v>PHX</v>
      </c>
      <c r="E164" s="2">
        <f>'Paste #BBall'!F164</f>
        <v>67</v>
      </c>
      <c r="F164" s="80">
        <f>'Paste #BBall'!G164</f>
        <v>25.8</v>
      </c>
      <c r="G164" s="81" t="str">
        <f>right(Left('Paste #BBall'!H164,Search("/",'Paste #BBall'!H164)-1),len(Left('Paste #BBall'!H164,Search("/",'Paste #BBall'!H164)-1))-search("(",Left('Paste #BBall'!H164,Search("/",'Paste #BBall'!H164)-1)))</f>
        <v>3.0</v>
      </c>
      <c r="H164" s="82">
        <f t="shared" si="1"/>
        <v>0.4</v>
      </c>
      <c r="I164" s="82" t="str">
        <f>right(Left('Paste #BBall'!I164,Search("/",'Paste #BBall'!I164)-1),len(Left('Paste #BBall'!I164,Search("/",'Paste #BBall'!I164)-1))-search("(",Left('Paste #BBall'!I164,Search("/",'Paste #BBall'!I164)-1)))</f>
        <v>1.0</v>
      </c>
      <c r="J164" s="82">
        <f t="shared" si="2"/>
        <v>0.7692307692</v>
      </c>
      <c r="K164" s="82">
        <f>'Paste #BBall'!J164</f>
        <v>1.8</v>
      </c>
      <c r="L164" s="82">
        <f>'Paste #BBall'!K164</f>
        <v>8.8</v>
      </c>
      <c r="M164" s="82">
        <f>'Paste #BBall'!L164</f>
        <v>4.8</v>
      </c>
      <c r="N164" s="82">
        <f>'Paste #BBall'!M164</f>
        <v>1.8</v>
      </c>
      <c r="O164" s="82">
        <f>'Paste #BBall'!N164</f>
        <v>1.3</v>
      </c>
      <c r="P164" s="82">
        <f>'Paste #BBall'!O164</f>
        <v>0.4</v>
      </c>
      <c r="Q164" s="82">
        <f>'Paste #BBall'!P164</f>
        <v>0.7</v>
      </c>
      <c r="R164" s="81" t="str">
        <f>Left(Right('Paste #BBall'!H164,Len('Paste #BBall'!H164)-Search("/",'Paste #BBall'!H164)),Len(Right('Paste #BBall'!H164,Len('Paste #BBall'!H164)-Search("/",'Paste #BBall'!H164)))-1)</f>
        <v>7.5</v>
      </c>
      <c r="S164" s="81" t="str">
        <f>Left(Right('Paste #BBall'!I164,Len('Paste #BBall'!I164)-Search("/",'Paste #BBall'!I164)),Len(Right('Paste #BBall'!I164,Len('Paste #BBall'!I164)-Search("/",'Paste #BBall'!I164)))-1)</f>
        <v>1.3</v>
      </c>
      <c r="T164" s="37"/>
      <c r="U164" s="37"/>
      <c r="V164" s="37"/>
    </row>
    <row r="165">
      <c r="A165" s="2">
        <v>164.0</v>
      </c>
      <c r="B165" s="2" t="str">
        <f>'Paste #BBall'!C165</f>
        <v>Grayson Allen</v>
      </c>
      <c r="C165" s="2" t="str">
        <f>'Paste #BBall'!D165</f>
        <v>SG</v>
      </c>
      <c r="D165" s="2" t="str">
        <f>'Paste #BBall'!E165</f>
        <v>MIL</v>
      </c>
      <c r="E165" s="2">
        <f>'Paste #BBall'!F165</f>
        <v>66</v>
      </c>
      <c r="F165" s="80">
        <f>'Paste #BBall'!G165</f>
        <v>27.4</v>
      </c>
      <c r="G165" s="81" t="str">
        <f>right(Left('Paste #BBall'!H165,Search("/",'Paste #BBall'!H165)-1),len(Left('Paste #BBall'!H165,Search("/",'Paste #BBall'!H165)-1))-search("(",Left('Paste #BBall'!H165,Search("/",'Paste #BBall'!H165)-1)))</f>
        <v>4.0</v>
      </c>
      <c r="H165" s="82">
        <f t="shared" si="1"/>
        <v>0.4444444444</v>
      </c>
      <c r="I165" s="82" t="str">
        <f>right(Left('Paste #BBall'!I165,Search("/",'Paste #BBall'!I165)-1),len(Left('Paste #BBall'!I165,Search("/",'Paste #BBall'!I165)-1))-search("(",Left('Paste #BBall'!I165,Search("/",'Paste #BBall'!I165)-1)))</f>
        <v>1.1</v>
      </c>
      <c r="J165" s="82">
        <f t="shared" si="2"/>
        <v>0.9166666667</v>
      </c>
      <c r="K165" s="82">
        <f>'Paste #BBall'!J165</f>
        <v>2.5</v>
      </c>
      <c r="L165" s="82">
        <f>'Paste #BBall'!K165</f>
        <v>11.5</v>
      </c>
      <c r="M165" s="82">
        <f>'Paste #BBall'!L165</f>
        <v>3.5</v>
      </c>
      <c r="N165" s="82">
        <f>'Paste #BBall'!M165</f>
        <v>1.5</v>
      </c>
      <c r="O165" s="82">
        <f>'Paste #BBall'!N165</f>
        <v>0.7</v>
      </c>
      <c r="P165" s="82">
        <f>'Paste #BBall'!O165</f>
        <v>0.3</v>
      </c>
      <c r="Q165" s="82">
        <f>'Paste #BBall'!P165</f>
        <v>0.7</v>
      </c>
      <c r="R165" s="81" t="str">
        <f>Left(Right('Paste #BBall'!H165,Len('Paste #BBall'!H165)-Search("/",'Paste #BBall'!H165)),Len(Right('Paste #BBall'!H165,Len('Paste #BBall'!H165)-Search("/",'Paste #BBall'!H165)))-1)</f>
        <v>9.0</v>
      </c>
      <c r="S165" s="81" t="str">
        <f>Left(Right('Paste #BBall'!I165,Len('Paste #BBall'!I165)-Search("/",'Paste #BBall'!I165)),Len(Right('Paste #BBall'!I165,Len('Paste #BBall'!I165)-Search("/",'Paste #BBall'!I165)))-1)</f>
        <v>1.2</v>
      </c>
      <c r="T165" s="37"/>
      <c r="U165" s="37"/>
      <c r="V165" s="37"/>
    </row>
    <row r="166">
      <c r="A166" s="2">
        <v>165.0</v>
      </c>
      <c r="B166" s="2" t="str">
        <f>'Paste #BBall'!C166</f>
        <v>Damian Jones</v>
      </c>
      <c r="C166" s="2" t="str">
        <f>'Paste #BBall'!D166</f>
        <v>C</v>
      </c>
      <c r="D166" s="2" t="str">
        <f>'Paste #BBall'!E166</f>
        <v>LAL</v>
      </c>
      <c r="E166" s="2">
        <f>'Paste #BBall'!F166</f>
        <v>60</v>
      </c>
      <c r="F166" s="80">
        <f>'Paste #BBall'!G166</f>
        <v>20.1</v>
      </c>
      <c r="G166" s="81" t="str">
        <f>right(Left('Paste #BBall'!H166,Search("/",'Paste #BBall'!H166)-1),len(Left('Paste #BBall'!H166,Search("/",'Paste #BBall'!H166)-1))-search("(",Left('Paste #BBall'!H166,Search("/",'Paste #BBall'!H166)-1)))</f>
        <v>3.5</v>
      </c>
      <c r="H166" s="82">
        <f t="shared" si="1"/>
        <v>0.6481481481</v>
      </c>
      <c r="I166" s="82" t="str">
        <f>right(Left('Paste #BBall'!I166,Search("/",'Paste #BBall'!I166)-1),len(Left('Paste #BBall'!I166,Search("/",'Paste #BBall'!I166)-1))-search("(",Left('Paste #BBall'!I166,Search("/",'Paste #BBall'!I166)-1)))</f>
        <v>1.9</v>
      </c>
      <c r="J166" s="82">
        <f t="shared" si="2"/>
        <v>0.7307692308</v>
      </c>
      <c r="K166" s="82">
        <f>'Paste #BBall'!J166</f>
        <v>0.2</v>
      </c>
      <c r="L166" s="82">
        <f>'Paste #BBall'!K166</f>
        <v>9.1</v>
      </c>
      <c r="M166" s="82">
        <f>'Paste #BBall'!L166</f>
        <v>4.9</v>
      </c>
      <c r="N166" s="82">
        <f>'Paste #BBall'!M166</f>
        <v>1.3</v>
      </c>
      <c r="O166" s="82">
        <f>'Paste #BBall'!N166</f>
        <v>0.6</v>
      </c>
      <c r="P166" s="82">
        <f>'Paste #BBall'!O166</f>
        <v>0.9</v>
      </c>
      <c r="Q166" s="82">
        <f>'Paste #BBall'!P166</f>
        <v>1.2</v>
      </c>
      <c r="R166" s="81" t="str">
        <f>Left(Right('Paste #BBall'!H166,Len('Paste #BBall'!H166)-Search("/",'Paste #BBall'!H166)),Len(Right('Paste #BBall'!H166,Len('Paste #BBall'!H166)-Search("/",'Paste #BBall'!H166)))-1)</f>
        <v>5.4</v>
      </c>
      <c r="S166" s="81" t="str">
        <f>Left(Right('Paste #BBall'!I166,Len('Paste #BBall'!I166)-Search("/",'Paste #BBall'!I166)),Len(Right('Paste #BBall'!I166,Len('Paste #BBall'!I166)-Search("/",'Paste #BBall'!I166)))-1)</f>
        <v>2.6</v>
      </c>
      <c r="T166" s="37"/>
      <c r="U166" s="37"/>
      <c r="V166" s="37"/>
    </row>
    <row r="167">
      <c r="A167" s="2">
        <v>166.0</v>
      </c>
      <c r="B167" s="2" t="str">
        <f>'Paste #BBall'!C167</f>
        <v>Andre Drummond</v>
      </c>
      <c r="C167" s="2" t="str">
        <f>'Paste #BBall'!D167</f>
        <v>C</v>
      </c>
      <c r="D167" s="2" t="str">
        <f>'Paste #BBall'!E167</f>
        <v>CHI</v>
      </c>
      <c r="E167" s="2">
        <f>'Paste #BBall'!F167</f>
        <v>77</v>
      </c>
      <c r="F167" s="80">
        <f>'Paste #BBall'!G167</f>
        <v>18.1</v>
      </c>
      <c r="G167" s="81" t="str">
        <f>right(Left('Paste #BBall'!H167,Search("/",'Paste #BBall'!H167)-1),len(Left('Paste #BBall'!H167,Search("/",'Paste #BBall'!H167)-1))-search("(",Left('Paste #BBall'!H167,Search("/",'Paste #BBall'!H167)-1)))</f>
        <v>3.2</v>
      </c>
      <c r="H167" s="82">
        <f t="shared" si="1"/>
        <v>0.5818181818</v>
      </c>
      <c r="I167" s="82" t="str">
        <f>right(Left('Paste #BBall'!I167,Search("/",'Paste #BBall'!I167)-1),len(Left('Paste #BBall'!I167,Search("/",'Paste #BBall'!I167)-1))-search("(",Left('Paste #BBall'!I167,Search("/",'Paste #BBall'!I167)-1)))</f>
        <v>1.1</v>
      </c>
      <c r="J167" s="82">
        <f t="shared" si="2"/>
        <v>0.55</v>
      </c>
      <c r="K167" s="82">
        <f>'Paste #BBall'!J167</f>
        <v>0</v>
      </c>
      <c r="L167" s="82">
        <f>'Paste #BBall'!K167</f>
        <v>7.5</v>
      </c>
      <c r="M167" s="82">
        <f>'Paste #BBall'!L167</f>
        <v>8.7</v>
      </c>
      <c r="N167" s="82">
        <f>'Paste #BBall'!M167</f>
        <v>1.7</v>
      </c>
      <c r="O167" s="82">
        <f>'Paste #BBall'!N167</f>
        <v>1</v>
      </c>
      <c r="P167" s="82">
        <f>'Paste #BBall'!O167</f>
        <v>0.8</v>
      </c>
      <c r="Q167" s="82">
        <f>'Paste #BBall'!P167</f>
        <v>1.5</v>
      </c>
      <c r="R167" s="81" t="str">
        <f>Left(Right('Paste #BBall'!H167,Len('Paste #BBall'!H167)-Search("/",'Paste #BBall'!H167)),Len(Right('Paste #BBall'!H167,Len('Paste #BBall'!H167)-Search("/",'Paste #BBall'!H167)))-1)</f>
        <v>5.5</v>
      </c>
      <c r="S167" s="81" t="str">
        <f>Left(Right('Paste #BBall'!I167,Len('Paste #BBall'!I167)-Search("/",'Paste #BBall'!I167)),Len(Right('Paste #BBall'!I167,Len('Paste #BBall'!I167)-Search("/",'Paste #BBall'!I167)))-1)</f>
        <v>2.0</v>
      </c>
      <c r="T167" s="37"/>
      <c r="U167" s="37"/>
      <c r="V167" s="37"/>
    </row>
    <row r="168">
      <c r="A168" s="2">
        <v>167.0</v>
      </c>
      <c r="B168" s="2" t="str">
        <f>'Paste #BBall'!C168</f>
        <v>Paul Reed</v>
      </c>
      <c r="C168" s="2" t="str">
        <f>'Paste #BBall'!D168</f>
        <v>PF</v>
      </c>
      <c r="D168" s="2" t="str">
        <f>'Paste #BBall'!E168</f>
        <v>PHI</v>
      </c>
      <c r="E168" s="2">
        <f>'Paste #BBall'!F168</f>
        <v>68</v>
      </c>
      <c r="F168" s="80">
        <f>'Paste #BBall'!G168</f>
        <v>14.1</v>
      </c>
      <c r="G168" s="81" t="str">
        <f>right(Left('Paste #BBall'!H168,Search("/",'Paste #BBall'!H168)-1),len(Left('Paste #BBall'!H168,Search("/",'Paste #BBall'!H168)-1))-search("(",Left('Paste #BBall'!H168,Search("/",'Paste #BBall'!H168)-1)))</f>
        <v>2.5</v>
      </c>
      <c r="H168" s="82">
        <f t="shared" si="1"/>
        <v>0.5555555556</v>
      </c>
      <c r="I168" s="82" t="str">
        <f>right(Left('Paste #BBall'!I168,Search("/",'Paste #BBall'!I168)-1),len(Left('Paste #BBall'!I168,Search("/",'Paste #BBall'!I168)-1))-search("(",Left('Paste #BBall'!I168,Search("/",'Paste #BBall'!I168)-1)))</f>
        <v>0.4</v>
      </c>
      <c r="J168" s="82">
        <f t="shared" si="2"/>
        <v>0.5714285714</v>
      </c>
      <c r="K168" s="82">
        <f>'Paste #BBall'!J168</f>
        <v>0.2</v>
      </c>
      <c r="L168" s="82">
        <f>'Paste #BBall'!K168</f>
        <v>5.6</v>
      </c>
      <c r="M168" s="82">
        <f>'Paste #BBall'!L168</f>
        <v>4.5</v>
      </c>
      <c r="N168" s="82">
        <f>'Paste #BBall'!M168</f>
        <v>0.7</v>
      </c>
      <c r="O168" s="82">
        <f>'Paste #BBall'!N168</f>
        <v>1.6</v>
      </c>
      <c r="P168" s="82">
        <f>'Paste #BBall'!O168</f>
        <v>0.7</v>
      </c>
      <c r="Q168" s="82">
        <f>'Paste #BBall'!P168</f>
        <v>0.5</v>
      </c>
      <c r="R168" s="81" t="str">
        <f>Left(Right('Paste #BBall'!H168,Len('Paste #BBall'!H168)-Search("/",'Paste #BBall'!H168)),Len(Right('Paste #BBall'!H168,Len('Paste #BBall'!H168)-Search("/",'Paste #BBall'!H168)))-1)</f>
        <v>4.5</v>
      </c>
      <c r="S168" s="81" t="str">
        <f>Left(Right('Paste #BBall'!I168,Len('Paste #BBall'!I168)-Search("/",'Paste #BBall'!I168)),Len(Right('Paste #BBall'!I168,Len('Paste #BBall'!I168)-Search("/",'Paste #BBall'!I168)))-1)</f>
        <v>0.7</v>
      </c>
      <c r="T168" s="37"/>
      <c r="U168" s="37"/>
      <c r="V168" s="37"/>
    </row>
    <row r="169">
      <c r="A169" s="2">
        <v>168.0</v>
      </c>
      <c r="B169" s="2" t="str">
        <f>'Paste #BBall'!C169</f>
        <v>Will Barton</v>
      </c>
      <c r="C169" s="2" t="str">
        <f>'Paste #BBall'!D169</f>
        <v>PG/SG</v>
      </c>
      <c r="D169" s="2" t="str">
        <f>'Paste #BBall'!E169</f>
        <v>WAS</v>
      </c>
      <c r="E169" s="2">
        <f>'Paste #BBall'!F169</f>
        <v>68</v>
      </c>
      <c r="F169" s="80">
        <f>'Paste #BBall'!G169</f>
        <v>27.1</v>
      </c>
      <c r="G169" s="81" t="str">
        <f>right(Left('Paste #BBall'!H169,Search("/",'Paste #BBall'!H169)-1),len(Left('Paste #BBall'!H169,Search("/",'Paste #BBall'!H169)-1))-search("(",Left('Paste #BBall'!H169,Search("/",'Paste #BBall'!H169)-1)))</f>
        <v>4.7</v>
      </c>
      <c r="H169" s="82">
        <f t="shared" si="1"/>
        <v>0.4351851852</v>
      </c>
      <c r="I169" s="82" t="str">
        <f>right(Left('Paste #BBall'!I169,Search("/",'Paste #BBall'!I169)-1),len(Left('Paste #BBall'!I169,Search("/",'Paste #BBall'!I169)-1))-search("(",Left('Paste #BBall'!I169,Search("/",'Paste #BBall'!I169)-1)))</f>
        <v>1.2</v>
      </c>
      <c r="J169" s="82">
        <f t="shared" si="2"/>
        <v>0.8</v>
      </c>
      <c r="K169" s="82">
        <f>'Paste #BBall'!J169</f>
        <v>1.9</v>
      </c>
      <c r="L169" s="82">
        <f>'Paste #BBall'!K169</f>
        <v>12.5</v>
      </c>
      <c r="M169" s="82">
        <f>'Paste #BBall'!L169</f>
        <v>4.1</v>
      </c>
      <c r="N169" s="82">
        <f>'Paste #BBall'!M169</f>
        <v>3.4</v>
      </c>
      <c r="O169" s="82">
        <f>'Paste #BBall'!N169</f>
        <v>0.7</v>
      </c>
      <c r="P169" s="82">
        <f>'Paste #BBall'!O169</f>
        <v>0.3</v>
      </c>
      <c r="Q169" s="82">
        <f>'Paste #BBall'!P169</f>
        <v>1.6</v>
      </c>
      <c r="R169" s="81" t="str">
        <f>Left(Right('Paste #BBall'!H169,Len('Paste #BBall'!H169)-Search("/",'Paste #BBall'!H169)),Len(Right('Paste #BBall'!H169,Len('Paste #BBall'!H169)-Search("/",'Paste #BBall'!H169)))-1)</f>
        <v>10.8</v>
      </c>
      <c r="S169" s="81" t="str">
        <f>Left(Right('Paste #BBall'!I169,Len('Paste #BBall'!I169)-Search("/",'Paste #BBall'!I169)),Len(Right('Paste #BBall'!I169,Len('Paste #BBall'!I169)-Search("/",'Paste #BBall'!I169)))-1)</f>
        <v>1.5</v>
      </c>
      <c r="T169" s="37"/>
      <c r="U169" s="37"/>
      <c r="V169" s="37"/>
    </row>
    <row r="170">
      <c r="A170" s="2">
        <v>169.0</v>
      </c>
      <c r="B170" s="2" t="str">
        <f>'Paste #BBall'!C170</f>
        <v>Thomas Bryant</v>
      </c>
      <c r="C170" s="2" t="str">
        <f>'Paste #BBall'!D170</f>
        <v>C</v>
      </c>
      <c r="D170" s="2" t="str">
        <f>'Paste #BBall'!E170</f>
        <v>LAL</v>
      </c>
      <c r="E170" s="2">
        <f>'Paste #BBall'!F170</f>
        <v>68</v>
      </c>
      <c r="F170" s="80">
        <f>'Paste #BBall'!G170</f>
        <v>22.4</v>
      </c>
      <c r="G170" s="81" t="str">
        <f>right(Left('Paste #BBall'!H170,Search("/",'Paste #BBall'!H170)-1),len(Left('Paste #BBall'!H170,Search("/",'Paste #BBall'!H170)-1))-search("(",Left('Paste #BBall'!H170,Search("/",'Paste #BBall'!H170)-1)))</f>
        <v>4.2</v>
      </c>
      <c r="H170" s="82">
        <f t="shared" si="1"/>
        <v>0.5316455696</v>
      </c>
      <c r="I170" s="82" t="str">
        <f>right(Left('Paste #BBall'!I170,Search("/",'Paste #BBall'!I170)-1),len(Left('Paste #BBall'!I170,Search("/",'Paste #BBall'!I170)-1))-search("(",Left('Paste #BBall'!I170,Search("/",'Paste #BBall'!I170)-1)))</f>
        <v>1.6</v>
      </c>
      <c r="J170" s="82">
        <f t="shared" si="2"/>
        <v>0.7272727273</v>
      </c>
      <c r="K170" s="82">
        <f>'Paste #BBall'!J170</f>
        <v>0.4</v>
      </c>
      <c r="L170" s="82">
        <f>'Paste #BBall'!K170</f>
        <v>10.4</v>
      </c>
      <c r="M170" s="82">
        <f>'Paste #BBall'!L170</f>
        <v>5.8</v>
      </c>
      <c r="N170" s="82">
        <f>'Paste #BBall'!M170</f>
        <v>1.3</v>
      </c>
      <c r="O170" s="82">
        <f>'Paste #BBall'!N170</f>
        <v>0.3</v>
      </c>
      <c r="P170" s="82">
        <f>'Paste #BBall'!O170</f>
        <v>1.1</v>
      </c>
      <c r="Q170" s="82">
        <f>'Paste #BBall'!P170</f>
        <v>1</v>
      </c>
      <c r="R170" s="81" t="str">
        <f>Left(Right('Paste #BBall'!H170,Len('Paste #BBall'!H170)-Search("/",'Paste #BBall'!H170)),Len(Right('Paste #BBall'!H170,Len('Paste #BBall'!H170)-Search("/",'Paste #BBall'!H170)))-1)</f>
        <v>7.9</v>
      </c>
      <c r="S170" s="81" t="str">
        <f>Left(Right('Paste #BBall'!I170,Len('Paste #BBall'!I170)-Search("/",'Paste #BBall'!I170)),Len(Right('Paste #BBall'!I170,Len('Paste #BBall'!I170)-Search("/",'Paste #BBall'!I170)))-1)</f>
        <v>2.2</v>
      </c>
      <c r="T170" s="37"/>
      <c r="U170" s="37"/>
      <c r="V170" s="37"/>
    </row>
    <row r="171">
      <c r="A171" s="2">
        <v>170.0</v>
      </c>
      <c r="B171" s="2" t="str">
        <f>'Paste #BBall'!C171</f>
        <v>Immanuel Quickley</v>
      </c>
      <c r="C171" s="2" t="str">
        <f>'Paste #BBall'!D171</f>
        <v>PG</v>
      </c>
      <c r="D171" s="2" t="str">
        <f>'Paste #BBall'!E171</f>
        <v>NYK</v>
      </c>
      <c r="E171" s="2">
        <f>'Paste #BBall'!F171</f>
        <v>77</v>
      </c>
      <c r="F171" s="80">
        <f>'Paste #BBall'!G171</f>
        <v>23.4</v>
      </c>
      <c r="G171" s="81" t="str">
        <f>right(Left('Paste #BBall'!H171,Search("/",'Paste #BBall'!H171)-1),len(Left('Paste #BBall'!H171,Search("/",'Paste #BBall'!H171)-1))-search("(",Left('Paste #BBall'!H171,Search("/",'Paste #BBall'!H171)-1)))</f>
        <v>4.0</v>
      </c>
      <c r="H171" s="82">
        <f t="shared" si="1"/>
        <v>0.4166666667</v>
      </c>
      <c r="I171" s="82" t="str">
        <f>right(Left('Paste #BBall'!I171,Search("/",'Paste #BBall'!I171)-1),len(Left('Paste #BBall'!I171,Search("/",'Paste #BBall'!I171)-1))-search("(",Left('Paste #BBall'!I171,Search("/",'Paste #BBall'!I171)-1)))</f>
        <v>2.4</v>
      </c>
      <c r="J171" s="82">
        <f t="shared" si="2"/>
        <v>0.8888888889</v>
      </c>
      <c r="K171" s="82">
        <f>'Paste #BBall'!J171</f>
        <v>1.9</v>
      </c>
      <c r="L171" s="82">
        <f>'Paste #BBall'!K171</f>
        <v>12.3</v>
      </c>
      <c r="M171" s="82">
        <f>'Paste #BBall'!L171</f>
        <v>3.3</v>
      </c>
      <c r="N171" s="82">
        <f>'Paste #BBall'!M171</f>
        <v>3.6</v>
      </c>
      <c r="O171" s="82">
        <f>'Paste #BBall'!N171</f>
        <v>0.7</v>
      </c>
      <c r="P171" s="82">
        <f>'Paste #BBall'!O171</f>
        <v>0</v>
      </c>
      <c r="Q171" s="82">
        <f>'Paste #BBall'!P171</f>
        <v>1.3</v>
      </c>
      <c r="R171" s="81" t="str">
        <f>Left(Right('Paste #BBall'!H171,Len('Paste #BBall'!H171)-Search("/",'Paste #BBall'!H171)),Len(Right('Paste #BBall'!H171,Len('Paste #BBall'!H171)-Search("/",'Paste #BBall'!H171)))-1)</f>
        <v>9.6</v>
      </c>
      <c r="S171" s="81" t="str">
        <f>Left(Right('Paste #BBall'!I171,Len('Paste #BBall'!I171)-Search("/",'Paste #BBall'!I171)),Len(Right('Paste #BBall'!I171,Len('Paste #BBall'!I171)-Search("/",'Paste #BBall'!I171)))-1)</f>
        <v>2.7</v>
      </c>
      <c r="T171" s="37"/>
      <c r="U171" s="37"/>
      <c r="V171" s="37"/>
    </row>
    <row r="172">
      <c r="A172" s="2">
        <v>171.0</v>
      </c>
      <c r="B172" s="2" t="str">
        <f>'Paste #BBall'!C172</f>
        <v>Victor Oladipo</v>
      </c>
      <c r="C172" s="2" t="str">
        <f>'Paste #BBall'!D172</f>
        <v>SG</v>
      </c>
      <c r="D172" s="2" t="str">
        <f>'Paste #BBall'!E172</f>
        <v>MIA</v>
      </c>
      <c r="E172" s="2">
        <f>'Paste #BBall'!F172</f>
        <v>64</v>
      </c>
      <c r="F172" s="80">
        <f>'Paste #BBall'!G172</f>
        <v>25.5</v>
      </c>
      <c r="G172" s="81" t="str">
        <f>right(Left('Paste #BBall'!H172,Search("/",'Paste #BBall'!H172)-1),len(Left('Paste #BBall'!H172,Search("/",'Paste #BBall'!H172)-1))-search("(",Left('Paste #BBall'!H172,Search("/",'Paste #BBall'!H172)-1)))</f>
        <v>5.3</v>
      </c>
      <c r="H172" s="82">
        <f t="shared" si="1"/>
        <v>0.4453781513</v>
      </c>
      <c r="I172" s="82" t="str">
        <f>right(Left('Paste #BBall'!I172,Search("/",'Paste #BBall'!I172)-1),len(Left('Paste #BBall'!I172,Search("/",'Paste #BBall'!I172)-1))-search("(",Left('Paste #BBall'!I172,Search("/",'Paste #BBall'!I172)-1)))</f>
        <v>2.2</v>
      </c>
      <c r="J172" s="82">
        <f t="shared" si="2"/>
        <v>0.7586206897</v>
      </c>
      <c r="K172" s="82">
        <f>'Paste #BBall'!J172</f>
        <v>2.3</v>
      </c>
      <c r="L172" s="82">
        <f>'Paste #BBall'!K172</f>
        <v>15.1</v>
      </c>
      <c r="M172" s="82">
        <f>'Paste #BBall'!L172</f>
        <v>3.5</v>
      </c>
      <c r="N172" s="82">
        <f>'Paste #BBall'!M172</f>
        <v>4</v>
      </c>
      <c r="O172" s="82">
        <f>'Paste #BBall'!N172</f>
        <v>0.7</v>
      </c>
      <c r="P172" s="82">
        <f>'Paste #BBall'!O172</f>
        <v>0.1</v>
      </c>
      <c r="Q172" s="82">
        <f>'Paste #BBall'!P172</f>
        <v>2.4</v>
      </c>
      <c r="R172" s="81" t="str">
        <f>Left(Right('Paste #BBall'!H172,Len('Paste #BBall'!H172)-Search("/",'Paste #BBall'!H172)),Len(Right('Paste #BBall'!H172,Len('Paste #BBall'!H172)-Search("/",'Paste #BBall'!H172)))-1)</f>
        <v>11.9</v>
      </c>
      <c r="S172" s="81" t="str">
        <f>Left(Right('Paste #BBall'!I172,Len('Paste #BBall'!I172)-Search("/",'Paste #BBall'!I172)),Len(Right('Paste #BBall'!I172,Len('Paste #BBall'!I172)-Search("/",'Paste #BBall'!I172)))-1)</f>
        <v>2.9</v>
      </c>
      <c r="T172" s="37"/>
      <c r="U172" s="37"/>
      <c r="V172" s="37"/>
    </row>
    <row r="173">
      <c r="A173" s="2">
        <v>172.0</v>
      </c>
      <c r="B173" s="2" t="str">
        <f>'Paste #BBall'!C173</f>
        <v>Isaiah Jackson</v>
      </c>
      <c r="C173" s="2" t="str">
        <f>'Paste #BBall'!D173</f>
        <v>PF/C</v>
      </c>
      <c r="D173" s="2" t="str">
        <f>'Paste #BBall'!E173</f>
        <v>IND</v>
      </c>
      <c r="E173" s="2">
        <f>'Paste #BBall'!F173</f>
        <v>70</v>
      </c>
      <c r="F173" s="80">
        <f>'Paste #BBall'!G173</f>
        <v>24.2</v>
      </c>
      <c r="G173" s="81" t="str">
        <f>right(Left('Paste #BBall'!H173,Search("/",'Paste #BBall'!H173)-1),len(Left('Paste #BBall'!H173,Search("/",'Paste #BBall'!H173)-1))-search("(",Left('Paste #BBall'!H173,Search("/",'Paste #BBall'!H173)-1)))</f>
        <v>4.2</v>
      </c>
      <c r="H173" s="82">
        <f t="shared" si="1"/>
        <v>0.5753424658</v>
      </c>
      <c r="I173" s="82" t="str">
        <f>right(Left('Paste #BBall'!I173,Search("/",'Paste #BBall'!I173)-1),len(Left('Paste #BBall'!I173,Search("/",'Paste #BBall'!I173)-1))-search("(",Left('Paste #BBall'!I173,Search("/",'Paste #BBall'!I173)-1)))</f>
        <v>1.8</v>
      </c>
      <c r="J173" s="82">
        <f t="shared" si="2"/>
        <v>0.6206896552</v>
      </c>
      <c r="K173" s="82">
        <f>'Paste #BBall'!J173</f>
        <v>0.2</v>
      </c>
      <c r="L173" s="82">
        <f>'Paste #BBall'!K173</f>
        <v>10.4</v>
      </c>
      <c r="M173" s="82">
        <f>'Paste #BBall'!L173</f>
        <v>6.6</v>
      </c>
      <c r="N173" s="82">
        <f>'Paste #BBall'!M173</f>
        <v>0.5</v>
      </c>
      <c r="O173" s="82">
        <f>'Paste #BBall'!N173</f>
        <v>0.7</v>
      </c>
      <c r="P173" s="82">
        <f>'Paste #BBall'!O173</f>
        <v>1.4</v>
      </c>
      <c r="Q173" s="82">
        <f>'Paste #BBall'!P173</f>
        <v>1.8</v>
      </c>
      <c r="R173" s="81" t="str">
        <f>Left(Right('Paste #BBall'!H173,Len('Paste #BBall'!H173)-Search("/",'Paste #BBall'!H173)),Len(Right('Paste #BBall'!H173,Len('Paste #BBall'!H173)-Search("/",'Paste #BBall'!H173)))-1)</f>
        <v>7.3</v>
      </c>
      <c r="S173" s="81" t="str">
        <f>Left(Right('Paste #BBall'!I173,Len('Paste #BBall'!I173)-Search("/",'Paste #BBall'!I173)),Len(Right('Paste #BBall'!I173,Len('Paste #BBall'!I173)-Search("/",'Paste #BBall'!I173)))-1)</f>
        <v>2.9</v>
      </c>
      <c r="T173" s="37"/>
      <c r="U173" s="37"/>
      <c r="V173" s="37"/>
    </row>
    <row r="174">
      <c r="A174" s="2">
        <v>173.0</v>
      </c>
      <c r="B174" s="2" t="str">
        <f>'Paste #BBall'!C174</f>
        <v>Grant Williams</v>
      </c>
      <c r="C174" s="2" t="str">
        <f>'Paste #BBall'!D174</f>
        <v>PF</v>
      </c>
      <c r="D174" s="2" t="str">
        <f>'Paste #BBall'!E174</f>
        <v>BOS</v>
      </c>
      <c r="E174" s="2">
        <f>'Paste #BBall'!F174</f>
        <v>76</v>
      </c>
      <c r="F174" s="80">
        <f>'Paste #BBall'!G174</f>
        <v>26.3</v>
      </c>
      <c r="G174" s="81" t="str">
        <f>right(Left('Paste #BBall'!H174,Search("/",'Paste #BBall'!H174)-1),len(Left('Paste #BBall'!H174,Search("/",'Paste #BBall'!H174)-1))-search("(",Left('Paste #BBall'!H174,Search("/",'Paste #BBall'!H174)-1)))</f>
        <v>2.9</v>
      </c>
      <c r="H174" s="82">
        <f t="shared" si="1"/>
        <v>0.4754098361</v>
      </c>
      <c r="I174" s="82" t="str">
        <f>right(Left('Paste #BBall'!I174,Search("/",'Paste #BBall'!I174)-1),len(Left('Paste #BBall'!I174,Search("/",'Paste #BBall'!I174)-1))-search("(",Left('Paste #BBall'!I174,Search("/",'Paste #BBall'!I174)-1)))</f>
        <v>1.2</v>
      </c>
      <c r="J174" s="82">
        <f t="shared" si="2"/>
        <v>0.9230769231</v>
      </c>
      <c r="K174" s="82">
        <f>'Paste #BBall'!J174</f>
        <v>1.5</v>
      </c>
      <c r="L174" s="82">
        <f>'Paste #BBall'!K174</f>
        <v>8.5</v>
      </c>
      <c r="M174" s="82">
        <f>'Paste #BBall'!L174</f>
        <v>3.8</v>
      </c>
      <c r="N174" s="82">
        <f>'Paste #BBall'!M174</f>
        <v>1.1</v>
      </c>
      <c r="O174" s="82">
        <f>'Paste #BBall'!N174</f>
        <v>0.5</v>
      </c>
      <c r="P174" s="82">
        <f>'Paste #BBall'!O174</f>
        <v>0.8</v>
      </c>
      <c r="Q174" s="82">
        <f>'Paste #BBall'!P174</f>
        <v>0.9</v>
      </c>
      <c r="R174" s="81" t="str">
        <f>Left(Right('Paste #BBall'!H174,Len('Paste #BBall'!H174)-Search("/",'Paste #BBall'!H174)),Len(Right('Paste #BBall'!H174,Len('Paste #BBall'!H174)-Search("/",'Paste #BBall'!H174)))-1)</f>
        <v>6.1</v>
      </c>
      <c r="S174" s="81" t="str">
        <f>Left(Right('Paste #BBall'!I174,Len('Paste #BBall'!I174)-Search("/",'Paste #BBall'!I174)),Len(Right('Paste #BBall'!I174,Len('Paste #BBall'!I174)-Search("/",'Paste #BBall'!I174)))-1)</f>
        <v>1.3</v>
      </c>
      <c r="T174" s="37"/>
      <c r="U174" s="37"/>
      <c r="V174" s="37"/>
    </row>
    <row r="175">
      <c r="A175" s="2">
        <v>174.0</v>
      </c>
      <c r="B175" s="2" t="str">
        <f>'Paste #BBall'!C175</f>
        <v>Steven Adams</v>
      </c>
      <c r="C175" s="2" t="str">
        <f>'Paste #BBall'!D175</f>
        <v>C</v>
      </c>
      <c r="D175" s="2" t="str">
        <f>'Paste #BBall'!E175</f>
        <v>MEM</v>
      </c>
      <c r="E175" s="2">
        <f>'Paste #BBall'!F175</f>
        <v>76</v>
      </c>
      <c r="F175" s="80">
        <f>'Paste #BBall'!G175</f>
        <v>26.3</v>
      </c>
      <c r="G175" s="81" t="str">
        <f>right(Left('Paste #BBall'!H175,Search("/",'Paste #BBall'!H175)-1),len(Left('Paste #BBall'!H175,Search("/",'Paste #BBall'!H175)-1))-search("(",Left('Paste #BBall'!H175,Search("/",'Paste #BBall'!H175)-1)))</f>
        <v>2.9</v>
      </c>
      <c r="H175" s="82">
        <f t="shared" si="1"/>
        <v>0.5576923077</v>
      </c>
      <c r="I175" s="82" t="str">
        <f>right(Left('Paste #BBall'!I175,Search("/",'Paste #BBall'!I175)-1),len(Left('Paste #BBall'!I175,Search("/",'Paste #BBall'!I175)-1))-search("(",Left('Paste #BBall'!I175,Search("/",'Paste #BBall'!I175)-1)))</f>
        <v>1.4</v>
      </c>
      <c r="J175" s="82">
        <f t="shared" si="2"/>
        <v>0.5185185185</v>
      </c>
      <c r="K175" s="82">
        <f>'Paste #BBall'!J175</f>
        <v>0</v>
      </c>
      <c r="L175" s="82">
        <f>'Paste #BBall'!K175</f>
        <v>7.2</v>
      </c>
      <c r="M175" s="82">
        <f>'Paste #BBall'!L175</f>
        <v>9.9</v>
      </c>
      <c r="N175" s="82">
        <f>'Paste #BBall'!M175</f>
        <v>3.2</v>
      </c>
      <c r="O175" s="82">
        <f>'Paste #BBall'!N175</f>
        <v>0.9</v>
      </c>
      <c r="P175" s="82">
        <f>'Paste #BBall'!O175</f>
        <v>0.8</v>
      </c>
      <c r="Q175" s="82">
        <f>'Paste #BBall'!P175</f>
        <v>1.5</v>
      </c>
      <c r="R175" s="81" t="str">
        <f>Left(Right('Paste #BBall'!H175,Len('Paste #BBall'!H175)-Search("/",'Paste #BBall'!H175)),Len(Right('Paste #BBall'!H175,Len('Paste #BBall'!H175)-Search("/",'Paste #BBall'!H175)))-1)</f>
        <v>5.2</v>
      </c>
      <c r="S175" s="81" t="str">
        <f>Left(Right('Paste #BBall'!I175,Len('Paste #BBall'!I175)-Search("/",'Paste #BBall'!I175)),Len(Right('Paste #BBall'!I175,Len('Paste #BBall'!I175)-Search("/",'Paste #BBall'!I175)))-1)</f>
        <v>2.7</v>
      </c>
    </row>
    <row r="176">
      <c r="A176" s="2">
        <v>175.0</v>
      </c>
      <c r="B176" s="2" t="str">
        <f>'Paste #BBall'!C176</f>
        <v>Aleksej Pokusevski</v>
      </c>
      <c r="C176" s="2" t="str">
        <f>'Paste #BBall'!D176</f>
        <v>PF</v>
      </c>
      <c r="D176" s="2" t="str">
        <f>'Paste #BBall'!E176</f>
        <v>OKL</v>
      </c>
      <c r="E176" s="2">
        <f>'Paste #BBall'!F176</f>
        <v>64</v>
      </c>
      <c r="F176" s="80">
        <f>'Paste #BBall'!G176</f>
        <v>25</v>
      </c>
      <c r="G176" s="81" t="str">
        <f>right(Left('Paste #BBall'!H176,Search("/",'Paste #BBall'!H176)-1),len(Left('Paste #BBall'!H176,Search("/",'Paste #BBall'!H176)-1))-search("(",Left('Paste #BBall'!H176,Search("/",'Paste #BBall'!H176)-1)))</f>
        <v>3.9</v>
      </c>
      <c r="H176" s="82">
        <f t="shared" si="1"/>
        <v>0.414893617</v>
      </c>
      <c r="I176" s="82" t="str">
        <f>right(Left('Paste #BBall'!I176,Search("/",'Paste #BBall'!I176)-1),len(Left('Paste #BBall'!I176,Search("/",'Paste #BBall'!I176)-1))-search("(",Left('Paste #BBall'!I176,Search("/",'Paste #BBall'!I176)-1)))</f>
        <v>0.8</v>
      </c>
      <c r="J176" s="82">
        <f t="shared" si="2"/>
        <v>0.8</v>
      </c>
      <c r="K176" s="82">
        <f>'Paste #BBall'!J176</f>
        <v>1.1</v>
      </c>
      <c r="L176" s="82">
        <f>'Paste #BBall'!K176</f>
        <v>9.7</v>
      </c>
      <c r="M176" s="82">
        <f>'Paste #BBall'!L176</f>
        <v>6.5</v>
      </c>
      <c r="N176" s="82">
        <f>'Paste #BBall'!M176</f>
        <v>2.6</v>
      </c>
      <c r="O176" s="82">
        <f>'Paste #BBall'!N176</f>
        <v>0.8</v>
      </c>
      <c r="P176" s="82">
        <f>'Paste #BBall'!O176</f>
        <v>0.8</v>
      </c>
      <c r="Q176" s="82">
        <f>'Paste #BBall'!P176</f>
        <v>1.9</v>
      </c>
      <c r="R176" s="81" t="str">
        <f>Left(Right('Paste #BBall'!H176,Len('Paste #BBall'!H176)-Search("/",'Paste #BBall'!H176)),Len(Right('Paste #BBall'!H176,Len('Paste #BBall'!H176)-Search("/",'Paste #BBall'!H176)))-1)</f>
        <v>9.4</v>
      </c>
      <c r="S176" s="81" t="str">
        <f>Left(Right('Paste #BBall'!I176,Len('Paste #BBall'!I176)-Search("/",'Paste #BBall'!I176)),Len(Right('Paste #BBall'!I176,Len('Paste #BBall'!I176)-Search("/",'Paste #BBall'!I176)))-1)</f>
        <v>1.0</v>
      </c>
    </row>
    <row r="177">
      <c r="A177" s="2">
        <v>176.0</v>
      </c>
      <c r="B177" s="2" t="str">
        <f>'Paste #BBall'!C177</f>
        <v>Kevin Love</v>
      </c>
      <c r="C177" s="2" t="str">
        <f>'Paste #BBall'!D177</f>
        <v>PF</v>
      </c>
      <c r="D177" s="2" t="str">
        <f>'Paste #BBall'!E177</f>
        <v>CLE</v>
      </c>
      <c r="E177" s="2">
        <f>'Paste #BBall'!F177</f>
        <v>68</v>
      </c>
      <c r="F177" s="80">
        <f>'Paste #BBall'!G177</f>
        <v>22.5</v>
      </c>
      <c r="G177" s="81" t="str">
        <f>right(Left('Paste #BBall'!H177,Search("/",'Paste #BBall'!H177)-1),len(Left('Paste #BBall'!H177,Search("/",'Paste #BBall'!H177)-1))-search("(",Left('Paste #BBall'!H177,Search("/",'Paste #BBall'!H177)-1)))</f>
        <v>4.0</v>
      </c>
      <c r="H177" s="82">
        <f t="shared" si="1"/>
        <v>0.4301075269</v>
      </c>
      <c r="I177" s="82" t="str">
        <f>right(Left('Paste #BBall'!I177,Search("/",'Paste #BBall'!I177)-1),len(Left('Paste #BBall'!I177,Search("/",'Paste #BBall'!I177)-1))-search("(",Left('Paste #BBall'!I177,Search("/",'Paste #BBall'!I177)-1)))</f>
        <v>2.0</v>
      </c>
      <c r="J177" s="82">
        <f t="shared" si="2"/>
        <v>0.8333333333</v>
      </c>
      <c r="K177" s="82">
        <f>'Paste #BBall'!J177</f>
        <v>2.3</v>
      </c>
      <c r="L177" s="82">
        <f>'Paste #BBall'!K177</f>
        <v>12.2</v>
      </c>
      <c r="M177" s="82">
        <f>'Paste #BBall'!L177</f>
        <v>6.6</v>
      </c>
      <c r="N177" s="82">
        <f>'Paste #BBall'!M177</f>
        <v>2</v>
      </c>
      <c r="O177" s="82">
        <f>'Paste #BBall'!N177</f>
        <v>0.4</v>
      </c>
      <c r="P177" s="82">
        <f>'Paste #BBall'!O177</f>
        <v>0.2</v>
      </c>
      <c r="Q177" s="82">
        <f>'Paste #BBall'!P177</f>
        <v>1.2</v>
      </c>
      <c r="R177" s="81" t="str">
        <f>Left(Right('Paste #BBall'!H177,Len('Paste #BBall'!H177)-Search("/",'Paste #BBall'!H177)),Len(Right('Paste #BBall'!H177,Len('Paste #BBall'!H177)-Search("/",'Paste #BBall'!H177)))-1)</f>
        <v>9.3</v>
      </c>
      <c r="S177" s="81" t="str">
        <f>Left(Right('Paste #BBall'!I177,Len('Paste #BBall'!I177)-Search("/",'Paste #BBall'!I177)),Len(Right('Paste #BBall'!I177,Len('Paste #BBall'!I177)-Search("/",'Paste #BBall'!I177)))-1)</f>
        <v>2.4</v>
      </c>
    </row>
    <row r="178">
      <c r="A178" s="2">
        <v>177.0</v>
      </c>
      <c r="B178" s="2" t="str">
        <f>'Paste #BBall'!C178</f>
        <v>Tim Hardaway Jr.</v>
      </c>
      <c r="C178" s="2" t="str">
        <f>'Paste #BBall'!D178</f>
        <v>SG/SF</v>
      </c>
      <c r="D178" s="2" t="str">
        <f>'Paste #BBall'!E178</f>
        <v>DAL</v>
      </c>
      <c r="E178" s="2">
        <f>'Paste #BBall'!F178</f>
        <v>70</v>
      </c>
      <c r="F178" s="80">
        <f>'Paste #BBall'!G178</f>
        <v>28.1</v>
      </c>
      <c r="G178" s="81" t="str">
        <f>right(Left('Paste #BBall'!H178,Search("/",'Paste #BBall'!H178)-1),len(Left('Paste #BBall'!H178,Search("/",'Paste #BBall'!H178)-1))-search("(",Left('Paste #BBall'!H178,Search("/",'Paste #BBall'!H178)-1)))</f>
        <v>5.4</v>
      </c>
      <c r="H178" s="82">
        <f t="shared" si="1"/>
        <v>0.421875</v>
      </c>
      <c r="I178" s="82" t="str">
        <f>right(Left('Paste #BBall'!I178,Search("/",'Paste #BBall'!I178)-1),len(Left('Paste #BBall'!I178,Search("/",'Paste #BBall'!I178)-1))-search("(",Left('Paste #BBall'!I178,Search("/",'Paste #BBall'!I178)-1)))</f>
        <v>1.9</v>
      </c>
      <c r="J178" s="82">
        <f t="shared" si="2"/>
        <v>0.76</v>
      </c>
      <c r="K178" s="82">
        <f>'Paste #BBall'!J178</f>
        <v>2.4</v>
      </c>
      <c r="L178" s="82">
        <f>'Paste #BBall'!K178</f>
        <v>15.1</v>
      </c>
      <c r="M178" s="82">
        <f>'Paste #BBall'!L178</f>
        <v>3.7</v>
      </c>
      <c r="N178" s="82">
        <f>'Paste #BBall'!M178</f>
        <v>2.2</v>
      </c>
      <c r="O178" s="82">
        <f>'Paste #BBall'!N178</f>
        <v>0.9</v>
      </c>
      <c r="P178" s="82">
        <f>'Paste #BBall'!O178</f>
        <v>0.1</v>
      </c>
      <c r="Q178" s="82">
        <f>'Paste #BBall'!P178</f>
        <v>0.8</v>
      </c>
      <c r="R178" s="81" t="str">
        <f>Left(Right('Paste #BBall'!H178,Len('Paste #BBall'!H178)-Search("/",'Paste #BBall'!H178)),Len(Right('Paste #BBall'!H178,Len('Paste #BBall'!H178)-Search("/",'Paste #BBall'!H178)))-1)</f>
        <v>12.8</v>
      </c>
      <c r="S178" s="81" t="str">
        <f>Left(Right('Paste #BBall'!I178,Len('Paste #BBall'!I178)-Search("/",'Paste #BBall'!I178)),Len(Right('Paste #BBall'!I178,Len('Paste #BBall'!I178)-Search("/",'Paste #BBall'!I178)))-1)</f>
        <v>2.5</v>
      </c>
    </row>
    <row r="179">
      <c r="A179" s="2">
        <v>178.0</v>
      </c>
      <c r="B179" s="2" t="str">
        <f>'Paste #BBall'!C179</f>
        <v>RJ Barrett</v>
      </c>
      <c r="C179" s="2" t="str">
        <f>'Paste #BBall'!D179</f>
        <v>SF</v>
      </c>
      <c r="D179" s="2" t="str">
        <f>'Paste #BBall'!E179</f>
        <v>NYK</v>
      </c>
      <c r="E179" s="2">
        <f>'Paste #BBall'!F179</f>
        <v>72</v>
      </c>
      <c r="F179" s="80">
        <f>'Paste #BBall'!G179</f>
        <v>34.6</v>
      </c>
      <c r="G179" s="81" t="str">
        <f>right(Left('Paste #BBall'!H179,Search("/",'Paste #BBall'!H179)-1),len(Left('Paste #BBall'!H179,Search("/",'Paste #BBall'!H179)-1))-search("(",Left('Paste #BBall'!H179,Search("/",'Paste #BBall'!H179)-1)))</f>
        <v>7.0</v>
      </c>
      <c r="H179" s="82">
        <f t="shared" si="1"/>
        <v>0.4347826087</v>
      </c>
      <c r="I179" s="82" t="str">
        <f>right(Left('Paste #BBall'!I179,Search("/",'Paste #BBall'!I179)-1),len(Left('Paste #BBall'!I179,Search("/",'Paste #BBall'!I179)-1))-search("(",Left('Paste #BBall'!I179,Search("/",'Paste #BBall'!I179)-1)))</f>
        <v>4.0</v>
      </c>
      <c r="J179" s="82">
        <f t="shared" si="2"/>
        <v>0.7142857143</v>
      </c>
      <c r="K179" s="82">
        <f>'Paste #BBall'!J179</f>
        <v>2.1</v>
      </c>
      <c r="L179" s="82">
        <f>'Paste #BBall'!K179</f>
        <v>20</v>
      </c>
      <c r="M179" s="82">
        <f>'Paste #BBall'!L179</f>
        <v>5.9</v>
      </c>
      <c r="N179" s="82">
        <f>'Paste #BBall'!M179</f>
        <v>3.1</v>
      </c>
      <c r="O179" s="82">
        <f>'Paste #BBall'!N179</f>
        <v>0.7</v>
      </c>
      <c r="P179" s="82">
        <f>'Paste #BBall'!O179</f>
        <v>0.3</v>
      </c>
      <c r="Q179" s="82">
        <f>'Paste #BBall'!P179</f>
        <v>2.2</v>
      </c>
      <c r="R179" s="81" t="str">
        <f>Left(Right('Paste #BBall'!H179,Len('Paste #BBall'!H179)-Search("/",'Paste #BBall'!H179)),Len(Right('Paste #BBall'!H179,Len('Paste #BBall'!H179)-Search("/",'Paste #BBall'!H179)))-1)</f>
        <v>16.1</v>
      </c>
      <c r="S179" s="81" t="str">
        <f>Left(Right('Paste #BBall'!I179,Len('Paste #BBall'!I179)-Search("/",'Paste #BBall'!I179)),Len(Right('Paste #BBall'!I179,Len('Paste #BBall'!I179)-Search("/",'Paste #BBall'!I179)))-1)</f>
        <v>5.6</v>
      </c>
    </row>
    <row r="180">
      <c r="A180" s="2">
        <v>179.0</v>
      </c>
      <c r="B180" s="2" t="str">
        <f>'Paste #BBall'!C180</f>
        <v>Killian Hayes</v>
      </c>
      <c r="C180" s="2" t="str">
        <f>'Paste #BBall'!D180</f>
        <v>PG</v>
      </c>
      <c r="D180" s="2" t="str">
        <f>'Paste #BBall'!E180</f>
        <v>DET</v>
      </c>
      <c r="E180" s="2">
        <f>'Paste #BBall'!F180</f>
        <v>69</v>
      </c>
      <c r="F180" s="80">
        <f>'Paste #BBall'!G180</f>
        <v>24.9</v>
      </c>
      <c r="G180" s="81" t="str">
        <f>right(Left('Paste #BBall'!H180,Search("/",'Paste #BBall'!H180)-1),len(Left('Paste #BBall'!H180,Search("/",'Paste #BBall'!H180)-1))-search("(",Left('Paste #BBall'!H180,Search("/",'Paste #BBall'!H180)-1)))</f>
        <v>3.1</v>
      </c>
      <c r="H180" s="82">
        <f t="shared" si="1"/>
        <v>0.4078947368</v>
      </c>
      <c r="I180" s="82" t="str">
        <f>right(Left('Paste #BBall'!I180,Search("/",'Paste #BBall'!I180)-1),len(Left('Paste #BBall'!I180,Search("/",'Paste #BBall'!I180)-1))-search("(",Left('Paste #BBall'!I180,Search("/",'Paste #BBall'!I180)-1)))</f>
        <v>0.9</v>
      </c>
      <c r="J180" s="82">
        <f t="shared" si="2"/>
        <v>0.8181818182</v>
      </c>
      <c r="K180" s="82">
        <f>'Paste #BBall'!J180</f>
        <v>0.7</v>
      </c>
      <c r="L180" s="82">
        <f>'Paste #BBall'!K180</f>
        <v>7.8</v>
      </c>
      <c r="M180" s="82">
        <f>'Paste #BBall'!L180</f>
        <v>3.2</v>
      </c>
      <c r="N180" s="82">
        <f>'Paste #BBall'!M180</f>
        <v>4.3</v>
      </c>
      <c r="O180" s="82">
        <f>'Paste #BBall'!N180</f>
        <v>1.2</v>
      </c>
      <c r="P180" s="82">
        <f>'Paste #BBall'!O180</f>
        <v>0.5</v>
      </c>
      <c r="Q180" s="82">
        <f>'Paste #BBall'!P180</f>
        <v>1.7</v>
      </c>
      <c r="R180" s="81" t="str">
        <f>Left(Right('Paste #BBall'!H180,Len('Paste #BBall'!H180)-Search("/",'Paste #BBall'!H180)),Len(Right('Paste #BBall'!H180,Len('Paste #BBall'!H180)-Search("/",'Paste #BBall'!H180)))-1)</f>
        <v>7.6</v>
      </c>
      <c r="S180" s="81" t="str">
        <f>Left(Right('Paste #BBall'!I180,Len('Paste #BBall'!I180)-Search("/",'Paste #BBall'!I180)),Len(Right('Paste #BBall'!I180,Len('Paste #BBall'!I180)-Search("/",'Paste #BBall'!I180)))-1)</f>
        <v>1.1</v>
      </c>
    </row>
    <row r="181">
      <c r="A181" s="2">
        <v>180.0</v>
      </c>
      <c r="B181" s="2" t="str">
        <f>'Paste #BBall'!C181</f>
        <v>Derrick Rose</v>
      </c>
      <c r="C181" s="2" t="str">
        <f>'Paste #BBall'!D181</f>
        <v>PG</v>
      </c>
      <c r="D181" s="2" t="str">
        <f>'Paste #BBall'!E181</f>
        <v>NYK</v>
      </c>
      <c r="E181" s="2">
        <f>'Paste #BBall'!F181</f>
        <v>40</v>
      </c>
      <c r="F181" s="80">
        <f>'Paste #BBall'!G181</f>
        <v>21.4</v>
      </c>
      <c r="G181" s="81" t="str">
        <f>right(Left('Paste #BBall'!H181,Search("/",'Paste #BBall'!H181)-1),len(Left('Paste #BBall'!H181,Search("/",'Paste #BBall'!H181)-1))-search("(",Left('Paste #BBall'!H181,Search("/",'Paste #BBall'!H181)-1)))</f>
        <v>4.2</v>
      </c>
      <c r="H181" s="82">
        <f t="shared" si="1"/>
        <v>0.4468085106</v>
      </c>
      <c r="I181" s="82" t="str">
        <f>right(Left('Paste #BBall'!I181,Search("/",'Paste #BBall'!I181)-1),len(Left('Paste #BBall'!I181,Search("/",'Paste #BBall'!I181)-1))-search("(",Left('Paste #BBall'!I181,Search("/",'Paste #BBall'!I181)-1)))</f>
        <v>1.1</v>
      </c>
      <c r="J181" s="82">
        <f t="shared" si="2"/>
        <v>0.9166666667</v>
      </c>
      <c r="K181" s="82">
        <f>'Paste #BBall'!J181</f>
        <v>1.3</v>
      </c>
      <c r="L181" s="82">
        <f>'Paste #BBall'!K181</f>
        <v>10.7</v>
      </c>
      <c r="M181" s="82">
        <f>'Paste #BBall'!L181</f>
        <v>2.7</v>
      </c>
      <c r="N181" s="82">
        <f>'Paste #BBall'!M181</f>
        <v>3.6</v>
      </c>
      <c r="O181" s="82">
        <f>'Paste #BBall'!N181</f>
        <v>0.7</v>
      </c>
      <c r="P181" s="82">
        <f>'Paste #BBall'!O181</f>
        <v>0.5</v>
      </c>
      <c r="Q181" s="82">
        <f>'Paste #BBall'!P181</f>
        <v>1.3</v>
      </c>
      <c r="R181" s="81" t="str">
        <f>Left(Right('Paste #BBall'!H181,Len('Paste #BBall'!H181)-Search("/",'Paste #BBall'!H181)),Len(Right('Paste #BBall'!H181,Len('Paste #BBall'!H181)-Search("/",'Paste #BBall'!H181)))-1)</f>
        <v>9.4</v>
      </c>
      <c r="S181" s="81" t="str">
        <f>Left(Right('Paste #BBall'!I181,Len('Paste #BBall'!I181)-Search("/",'Paste #BBall'!I181)),Len(Right('Paste #BBall'!I181,Len('Paste #BBall'!I181)-Search("/",'Paste #BBall'!I181)))-1)</f>
        <v>1.2</v>
      </c>
    </row>
    <row r="182">
      <c r="A182" s="2">
        <v>181.0</v>
      </c>
      <c r="B182" s="2" t="str">
        <f>'Paste #BBall'!C182</f>
        <v>Quentin Grimes</v>
      </c>
      <c r="C182" s="2" t="str">
        <f>'Paste #BBall'!D182</f>
        <v>SG</v>
      </c>
      <c r="D182" s="2" t="str">
        <f>'Paste #BBall'!E182</f>
        <v>NYK</v>
      </c>
      <c r="E182" s="2">
        <f>'Paste #BBall'!F182</f>
        <v>68</v>
      </c>
      <c r="F182" s="80">
        <f>'Paste #BBall'!G182</f>
        <v>25.4</v>
      </c>
      <c r="G182" s="81" t="str">
        <f>right(Left('Paste #BBall'!H182,Search("/",'Paste #BBall'!H182)-1),len(Left('Paste #BBall'!H182,Search("/",'Paste #BBall'!H182)-1))-search("(",Left('Paste #BBall'!H182,Search("/",'Paste #BBall'!H182)-1)))</f>
        <v>4.0</v>
      </c>
      <c r="H182" s="82">
        <f t="shared" si="1"/>
        <v>0.4210526316</v>
      </c>
      <c r="I182" s="82" t="str">
        <f>right(Left('Paste #BBall'!I182,Search("/",'Paste #BBall'!I182)-1),len(Left('Paste #BBall'!I182,Search("/",'Paste #BBall'!I182)-1))-search("(",Left('Paste #BBall'!I182,Search("/",'Paste #BBall'!I182)-1)))</f>
        <v>1.4</v>
      </c>
      <c r="J182" s="82">
        <f t="shared" si="2"/>
        <v>0.7368421053</v>
      </c>
      <c r="K182" s="82">
        <f>'Paste #BBall'!J182</f>
        <v>2.4</v>
      </c>
      <c r="L182" s="82">
        <f>'Paste #BBall'!K182</f>
        <v>11.9</v>
      </c>
      <c r="M182" s="82">
        <f>'Paste #BBall'!L182</f>
        <v>3.1</v>
      </c>
      <c r="N182" s="82">
        <f>'Paste #BBall'!M182</f>
        <v>1.5</v>
      </c>
      <c r="O182" s="82">
        <f>'Paste #BBall'!N182</f>
        <v>1</v>
      </c>
      <c r="P182" s="82">
        <f>'Paste #BBall'!O182</f>
        <v>0.3</v>
      </c>
      <c r="Q182" s="82">
        <f>'Paste #BBall'!P182</f>
        <v>0.9</v>
      </c>
      <c r="R182" s="81" t="str">
        <f>Left(Right('Paste #BBall'!H182,Len('Paste #BBall'!H182)-Search("/",'Paste #BBall'!H182)),Len(Right('Paste #BBall'!H182,Len('Paste #BBall'!H182)-Search("/",'Paste #BBall'!H182)))-1)</f>
        <v>9.5</v>
      </c>
      <c r="S182" s="81" t="str">
        <f>Left(Right('Paste #BBall'!I182,Len('Paste #BBall'!I182)-Search("/",'Paste #BBall'!I182)),Len(Right('Paste #BBall'!I182,Len('Paste #BBall'!I182)-Search("/",'Paste #BBall'!I182)))-1)</f>
        <v>1.9</v>
      </c>
    </row>
    <row r="183">
      <c r="A183" s="2">
        <v>182.0</v>
      </c>
      <c r="B183" s="2" t="str">
        <f>'Paste #BBall'!C183</f>
        <v>Kyle Anderson</v>
      </c>
      <c r="C183" s="2" t="str">
        <f>'Paste #BBall'!D183</f>
        <v>SF/PF</v>
      </c>
      <c r="D183" s="2" t="str">
        <f>'Paste #BBall'!E183</f>
        <v>MIN</v>
      </c>
      <c r="E183" s="2">
        <f>'Paste #BBall'!F183</f>
        <v>69</v>
      </c>
      <c r="F183" s="80">
        <f>'Paste #BBall'!G183</f>
        <v>21.1</v>
      </c>
      <c r="G183" s="81" t="str">
        <f>right(Left('Paste #BBall'!H183,Search("/",'Paste #BBall'!H183)-1),len(Left('Paste #BBall'!H183,Search("/",'Paste #BBall'!H183)-1))-search("(",Left('Paste #BBall'!H183,Search("/",'Paste #BBall'!H183)-1)))</f>
        <v>3.0</v>
      </c>
      <c r="H183" s="82">
        <f t="shared" si="1"/>
        <v>0.4411764706</v>
      </c>
      <c r="I183" s="82" t="str">
        <f>right(Left('Paste #BBall'!I183,Search("/",'Paste #BBall'!I183)-1),len(Left('Paste #BBall'!I183,Search("/",'Paste #BBall'!I183)-1))-search("(",Left('Paste #BBall'!I183,Search("/",'Paste #BBall'!I183)-1)))</f>
        <v>1.0</v>
      </c>
      <c r="J183" s="82">
        <f t="shared" si="2"/>
        <v>0.6666666667</v>
      </c>
      <c r="K183" s="82">
        <f>'Paste #BBall'!J183</f>
        <v>0.5</v>
      </c>
      <c r="L183" s="82">
        <f>'Paste #BBall'!K183</f>
        <v>7.5</v>
      </c>
      <c r="M183" s="82">
        <f>'Paste #BBall'!L183</f>
        <v>5.3</v>
      </c>
      <c r="N183" s="82">
        <f>'Paste #BBall'!M183</f>
        <v>2.7</v>
      </c>
      <c r="O183" s="82">
        <f>'Paste #BBall'!N183</f>
        <v>1.1</v>
      </c>
      <c r="P183" s="82">
        <f>'Paste #BBall'!O183</f>
        <v>0.7</v>
      </c>
      <c r="Q183" s="82">
        <f>'Paste #BBall'!P183</f>
        <v>1</v>
      </c>
      <c r="R183" s="81" t="str">
        <f>Left(Right('Paste #BBall'!H183,Len('Paste #BBall'!H183)-Search("/",'Paste #BBall'!H183)),Len(Right('Paste #BBall'!H183,Len('Paste #BBall'!H183)-Search("/",'Paste #BBall'!H183)))-1)</f>
        <v>6.8</v>
      </c>
      <c r="S183" s="81" t="str">
        <f>Left(Right('Paste #BBall'!I183,Len('Paste #BBall'!I183)-Search("/",'Paste #BBall'!I183)),Len(Right('Paste #BBall'!I183,Len('Paste #BBall'!I183)-Search("/",'Paste #BBall'!I183)))-1)</f>
        <v>1.5</v>
      </c>
    </row>
    <row r="184">
      <c r="A184" s="2">
        <v>183.0</v>
      </c>
      <c r="B184" s="2" t="str">
        <f>'Paste #BBall'!C184</f>
        <v>Delon Wright</v>
      </c>
      <c r="C184" s="2" t="str">
        <f>'Paste #BBall'!D184</f>
        <v>SG/PF</v>
      </c>
      <c r="D184" s="2" t="str">
        <f>'Paste #BBall'!E184</f>
        <v>WAS</v>
      </c>
      <c r="E184" s="2">
        <f>'Paste #BBall'!F184</f>
        <v>74</v>
      </c>
      <c r="F184" s="80">
        <f>'Paste #BBall'!G184</f>
        <v>21.1</v>
      </c>
      <c r="G184" s="81" t="str">
        <f>right(Left('Paste #BBall'!H184,Search("/",'Paste #BBall'!H184)-1),len(Left('Paste #BBall'!H184,Search("/",'Paste #BBall'!H184)-1))-search("(",Left('Paste #BBall'!H184,Search("/",'Paste #BBall'!H184)-1)))</f>
        <v>2.4</v>
      </c>
      <c r="H184" s="82">
        <f t="shared" si="1"/>
        <v>0.4528301887</v>
      </c>
      <c r="I184" s="82" t="str">
        <f>right(Left('Paste #BBall'!I184,Search("/",'Paste #BBall'!I184)-1),len(Left('Paste #BBall'!I184,Search("/",'Paste #BBall'!I184)-1))-search("(",Left('Paste #BBall'!I184,Search("/",'Paste #BBall'!I184)-1)))</f>
        <v>0.8</v>
      </c>
      <c r="J184" s="82">
        <f t="shared" si="2"/>
        <v>0.8888888889</v>
      </c>
      <c r="K184" s="82">
        <f>'Paste #BBall'!J184</f>
        <v>0.7</v>
      </c>
      <c r="L184" s="82">
        <f>'Paste #BBall'!K184</f>
        <v>6.4</v>
      </c>
      <c r="M184" s="82">
        <f>'Paste #BBall'!L184</f>
        <v>3.2</v>
      </c>
      <c r="N184" s="82">
        <f>'Paste #BBall'!M184</f>
        <v>2.7</v>
      </c>
      <c r="O184" s="82">
        <f>'Paste #BBall'!N184</f>
        <v>1.3</v>
      </c>
      <c r="P184" s="82">
        <f>'Paste #BBall'!O184</f>
        <v>0.2</v>
      </c>
      <c r="Q184" s="82">
        <f>'Paste #BBall'!P184</f>
        <v>0.7</v>
      </c>
      <c r="R184" s="81" t="str">
        <f>Left(Right('Paste #BBall'!H184,Len('Paste #BBall'!H184)-Search("/",'Paste #BBall'!H184)),Len(Right('Paste #BBall'!H184,Len('Paste #BBall'!H184)-Search("/",'Paste #BBall'!H184)))-1)</f>
        <v>5.3</v>
      </c>
      <c r="S184" s="81" t="str">
        <f>Left(Right('Paste #BBall'!I184,Len('Paste #BBall'!I184)-Search("/",'Paste #BBall'!I184)),Len(Right('Paste #BBall'!I184,Len('Paste #BBall'!I184)-Search("/",'Paste #BBall'!I184)))-1)</f>
        <v>0.9</v>
      </c>
    </row>
    <row r="185">
      <c r="A185" s="2">
        <v>184.0</v>
      </c>
      <c r="B185" s="2" t="str">
        <f>'Paste #BBall'!C185</f>
        <v>Royce O'Neale</v>
      </c>
      <c r="C185" s="2" t="str">
        <f>'Paste #BBall'!D185</f>
        <v>SF/PF</v>
      </c>
      <c r="D185" s="2" t="str">
        <f>'Paste #BBall'!E185</f>
        <v>BRO</v>
      </c>
      <c r="E185" s="2">
        <f>'Paste #BBall'!F185</f>
        <v>76</v>
      </c>
      <c r="F185" s="80">
        <f>'Paste #BBall'!G185</f>
        <v>27.4</v>
      </c>
      <c r="G185" s="81" t="str">
        <f>right(Left('Paste #BBall'!H185,Search("/",'Paste #BBall'!H185)-1),len(Left('Paste #BBall'!H185,Search("/",'Paste #BBall'!H185)-1))-search("(",Left('Paste #BBall'!H185,Search("/",'Paste #BBall'!H185)-1)))</f>
        <v>2.3</v>
      </c>
      <c r="H185" s="82">
        <f t="shared" si="1"/>
        <v>0.4423076923</v>
      </c>
      <c r="I185" s="82" t="str">
        <f>right(Left('Paste #BBall'!I185,Search("/",'Paste #BBall'!I185)-1),len(Left('Paste #BBall'!I185,Search("/",'Paste #BBall'!I185)-1))-search("(",Left('Paste #BBall'!I185,Search("/",'Paste #BBall'!I185)-1)))</f>
        <v>0.5</v>
      </c>
      <c r="J185" s="82">
        <f t="shared" si="2"/>
        <v>0.7142857143</v>
      </c>
      <c r="K185" s="82">
        <f>'Paste #BBall'!J185</f>
        <v>1.4</v>
      </c>
      <c r="L185" s="82">
        <f>'Paste #BBall'!K185</f>
        <v>6.6</v>
      </c>
      <c r="M185" s="82">
        <f>'Paste #BBall'!L185</f>
        <v>4.2</v>
      </c>
      <c r="N185" s="82">
        <f>'Paste #BBall'!M185</f>
        <v>2.2</v>
      </c>
      <c r="O185" s="82">
        <f>'Paste #BBall'!N185</f>
        <v>1</v>
      </c>
      <c r="P185" s="82">
        <f>'Paste #BBall'!O185</f>
        <v>0.4</v>
      </c>
      <c r="Q185" s="82">
        <f>'Paste #BBall'!P185</f>
        <v>0.9</v>
      </c>
      <c r="R185" s="81" t="str">
        <f>Left(Right('Paste #BBall'!H185,Len('Paste #BBall'!H185)-Search("/",'Paste #BBall'!H185)),Len(Right('Paste #BBall'!H185,Len('Paste #BBall'!H185)-Search("/",'Paste #BBall'!H185)))-1)</f>
        <v>5.2</v>
      </c>
      <c r="S185" s="81" t="str">
        <f>Left(Right('Paste #BBall'!I185,Len('Paste #BBall'!I185)-Search("/",'Paste #BBall'!I185)),Len(Right('Paste #BBall'!I185,Len('Paste #BBall'!I185)-Search("/",'Paste #BBall'!I185)))-1)</f>
        <v>0.7</v>
      </c>
    </row>
    <row r="186">
      <c r="A186" s="2">
        <v>185.0</v>
      </c>
      <c r="B186" s="2" t="str">
        <f>'Paste #BBall'!C186</f>
        <v>Deni Avdija</v>
      </c>
      <c r="C186" s="2" t="str">
        <f>'Paste #BBall'!D186</f>
        <v>SF/PF</v>
      </c>
      <c r="D186" s="2" t="str">
        <f>'Paste #BBall'!E186</f>
        <v>WAS</v>
      </c>
      <c r="E186" s="2">
        <f>'Paste #BBall'!F186</f>
        <v>80</v>
      </c>
      <c r="F186" s="80">
        <f>'Paste #BBall'!G186</f>
        <v>25.2</v>
      </c>
      <c r="G186" s="81" t="str">
        <f>right(Left('Paste #BBall'!H186,Search("/",'Paste #BBall'!H186)-1),len(Left('Paste #BBall'!H186,Search("/",'Paste #BBall'!H186)-1))-search("(",Left('Paste #BBall'!H186,Search("/",'Paste #BBall'!H186)-1)))</f>
        <v>3.7</v>
      </c>
      <c r="H186" s="82">
        <f t="shared" si="1"/>
        <v>0.4352941176</v>
      </c>
      <c r="I186" s="82" t="str">
        <f>right(Left('Paste #BBall'!I186,Search("/",'Paste #BBall'!I186)-1),len(Left('Paste #BBall'!I186,Search("/",'Paste #BBall'!I186)-1))-search("(",Left('Paste #BBall'!I186,Search("/",'Paste #BBall'!I186)-1)))</f>
        <v>1.4</v>
      </c>
      <c r="J186" s="82">
        <f t="shared" si="2"/>
        <v>0.7777777778</v>
      </c>
      <c r="K186" s="82">
        <f>'Paste #BBall'!J186</f>
        <v>1.2</v>
      </c>
      <c r="L186" s="82">
        <f>'Paste #BBall'!K186</f>
        <v>10.1</v>
      </c>
      <c r="M186" s="82">
        <f>'Paste #BBall'!L186</f>
        <v>5.4</v>
      </c>
      <c r="N186" s="82">
        <f>'Paste #BBall'!M186</f>
        <v>2.1</v>
      </c>
      <c r="O186" s="82">
        <f>'Paste #BBall'!N186</f>
        <v>0.7</v>
      </c>
      <c r="P186" s="82">
        <f>'Paste #BBall'!O186</f>
        <v>0.5</v>
      </c>
      <c r="Q186" s="82">
        <f>'Paste #BBall'!P186</f>
        <v>1.2</v>
      </c>
      <c r="R186" s="81" t="str">
        <f>Left(Right('Paste #BBall'!H186,Len('Paste #BBall'!H186)-Search("/",'Paste #BBall'!H186)),Len(Right('Paste #BBall'!H186,Len('Paste #BBall'!H186)-Search("/",'Paste #BBall'!H186)))-1)</f>
        <v>8.5</v>
      </c>
      <c r="S186" s="81" t="str">
        <f>Left(Right('Paste #BBall'!I186,Len('Paste #BBall'!I186)-Search("/",'Paste #BBall'!I186)),Len(Right('Paste #BBall'!I186,Len('Paste #BBall'!I186)-Search("/",'Paste #BBall'!I186)))-1)</f>
        <v>1.8</v>
      </c>
    </row>
    <row r="187">
      <c r="A187" s="2">
        <v>186.0</v>
      </c>
      <c r="B187" s="2" t="str">
        <f>'Paste #BBall'!C187</f>
        <v>Cameron Payne</v>
      </c>
      <c r="C187" s="2" t="str">
        <f>'Paste #BBall'!D187</f>
        <v>PG</v>
      </c>
      <c r="D187" s="2" t="str">
        <f>'Paste #BBall'!E187</f>
        <v>PHX</v>
      </c>
      <c r="E187" s="2">
        <f>'Paste #BBall'!F187</f>
        <v>60</v>
      </c>
      <c r="F187" s="80">
        <f>'Paste #BBall'!G187</f>
        <v>22.1</v>
      </c>
      <c r="G187" s="81" t="str">
        <f>right(Left('Paste #BBall'!H187,Search("/",'Paste #BBall'!H187)-1),len(Left('Paste #BBall'!H187,Search("/",'Paste #BBall'!H187)-1))-search("(",Left('Paste #BBall'!H187,Search("/",'Paste #BBall'!H187)-1)))</f>
        <v>4.2</v>
      </c>
      <c r="H187" s="82">
        <f t="shared" si="1"/>
        <v>0.4285714286</v>
      </c>
      <c r="I187" s="82" t="str">
        <f>right(Left('Paste #BBall'!I187,Search("/",'Paste #BBall'!I187)-1),len(Left('Paste #BBall'!I187,Search("/",'Paste #BBall'!I187)-1))-search("(",Left('Paste #BBall'!I187,Search("/",'Paste #BBall'!I187)-1)))</f>
        <v>1.3</v>
      </c>
      <c r="J187" s="82">
        <f t="shared" si="2"/>
        <v>0.8666666667</v>
      </c>
      <c r="K187" s="82">
        <f>'Paste #BBall'!J187</f>
        <v>1.2</v>
      </c>
      <c r="L187" s="82">
        <f>'Paste #BBall'!K187</f>
        <v>10.9</v>
      </c>
      <c r="M187" s="82">
        <f>'Paste #BBall'!L187</f>
        <v>3.1</v>
      </c>
      <c r="N187" s="82">
        <f>'Paste #BBall'!M187</f>
        <v>4.6</v>
      </c>
      <c r="O187" s="82">
        <f>'Paste #BBall'!N187</f>
        <v>0.7</v>
      </c>
      <c r="P187" s="82">
        <f>'Paste #BBall'!O187</f>
        <v>0.3</v>
      </c>
      <c r="Q187" s="82">
        <f>'Paste #BBall'!P187</f>
        <v>1.8</v>
      </c>
      <c r="R187" s="81" t="str">
        <f>Left(Right('Paste #BBall'!H187,Len('Paste #BBall'!H187)-Search("/",'Paste #BBall'!H187)),Len(Right('Paste #BBall'!H187,Len('Paste #BBall'!H187)-Search("/",'Paste #BBall'!H187)))-1)</f>
        <v>9.8</v>
      </c>
      <c r="S187" s="81" t="str">
        <f>Left(Right('Paste #BBall'!I187,Len('Paste #BBall'!I187)-Search("/",'Paste #BBall'!I187)),Len(Right('Paste #BBall'!I187,Len('Paste #BBall'!I187)-Search("/",'Paste #BBall'!I187)))-1)</f>
        <v>1.5</v>
      </c>
    </row>
    <row r="188">
      <c r="A188" s="2">
        <v>187.0</v>
      </c>
      <c r="B188" s="2" t="str">
        <f>'Paste #BBall'!C188</f>
        <v>Bennedict Mathurin</v>
      </c>
      <c r="C188" s="2" t="str">
        <f>'Paste #BBall'!D188</f>
        <v>SF</v>
      </c>
      <c r="D188" s="2" t="str">
        <f>'Paste #BBall'!E188</f>
        <v>IND</v>
      </c>
      <c r="E188" s="2">
        <f>'Paste #BBall'!F188</f>
        <v>72</v>
      </c>
      <c r="F188" s="80">
        <f>'Paste #BBall'!G188</f>
        <v>30.1</v>
      </c>
      <c r="G188" s="81" t="str">
        <f>right(Left('Paste #BBall'!H188,Search("/",'Paste #BBall'!H188)-1),len(Left('Paste #BBall'!H188,Search("/",'Paste #BBall'!H188)-1))-search("(",Left('Paste #BBall'!H188,Search("/",'Paste #BBall'!H188)-1)))</f>
        <v>5.6</v>
      </c>
      <c r="H188" s="82">
        <f t="shared" si="1"/>
        <v>0.448</v>
      </c>
      <c r="I188" s="82" t="str">
        <f>right(Left('Paste #BBall'!I188,Search("/",'Paste #BBall'!I188)-1),len(Left('Paste #BBall'!I188,Search("/",'Paste #BBall'!I188)-1))-search("(",Left('Paste #BBall'!I188,Search("/",'Paste #BBall'!I188)-1)))</f>
        <v>2.2</v>
      </c>
      <c r="J188" s="82">
        <f t="shared" si="2"/>
        <v>0.7857142857</v>
      </c>
      <c r="K188" s="82">
        <f>'Paste #BBall'!J188</f>
        <v>1.9</v>
      </c>
      <c r="L188" s="82">
        <f>'Paste #BBall'!K188</f>
        <v>15.2</v>
      </c>
      <c r="M188" s="82">
        <f>'Paste #BBall'!L188</f>
        <v>3.6</v>
      </c>
      <c r="N188" s="82">
        <f>'Paste #BBall'!M188</f>
        <v>1.8</v>
      </c>
      <c r="O188" s="82">
        <f>'Paste #BBall'!N188</f>
        <v>0.8</v>
      </c>
      <c r="P188" s="82">
        <f>'Paste #BBall'!O188</f>
        <v>0.3</v>
      </c>
      <c r="Q188" s="82">
        <f>'Paste #BBall'!P188</f>
        <v>1.6</v>
      </c>
      <c r="R188" s="81" t="str">
        <f>Left(Right('Paste #BBall'!H188,Len('Paste #BBall'!H188)-Search("/",'Paste #BBall'!H188)),Len(Right('Paste #BBall'!H188,Len('Paste #BBall'!H188)-Search("/",'Paste #BBall'!H188)))-1)</f>
        <v>12.5</v>
      </c>
      <c r="S188" s="81" t="str">
        <f>Left(Right('Paste #BBall'!I188,Len('Paste #BBall'!I188)-Search("/",'Paste #BBall'!I188)),Len(Right('Paste #BBall'!I188,Len('Paste #BBall'!I188)-Search("/",'Paste #BBall'!I188)))-1)</f>
        <v>2.8</v>
      </c>
    </row>
    <row r="189">
      <c r="A189" s="2">
        <v>188.0</v>
      </c>
      <c r="B189" s="2" t="str">
        <f>'Paste #BBall'!C189</f>
        <v>Jaxson Hayes</v>
      </c>
      <c r="C189" s="2" t="str">
        <f>'Paste #BBall'!D189</f>
        <v>PF/C</v>
      </c>
      <c r="D189" s="2" t="str">
        <f>'Paste #BBall'!E189</f>
        <v>NOP</v>
      </c>
      <c r="E189" s="2">
        <f>'Paste #BBall'!F189</f>
        <v>70</v>
      </c>
      <c r="F189" s="80">
        <f>'Paste #BBall'!G189</f>
        <v>19.1</v>
      </c>
      <c r="G189" s="81" t="str">
        <f>right(Left('Paste #BBall'!H189,Search("/",'Paste #BBall'!H189)-1),len(Left('Paste #BBall'!H189,Search("/",'Paste #BBall'!H189)-1))-search("(",Left('Paste #BBall'!H189,Search("/",'Paste #BBall'!H189)-1)))</f>
        <v>3.4</v>
      </c>
      <c r="H189" s="82">
        <f t="shared" si="1"/>
        <v>0.6071428571</v>
      </c>
      <c r="I189" s="82" t="str">
        <f>right(Left('Paste #BBall'!I189,Search("/",'Paste #BBall'!I189)-1),len(Left('Paste #BBall'!I189,Search("/",'Paste #BBall'!I189)-1))-search("(",Left('Paste #BBall'!I189,Search("/",'Paste #BBall'!I189)-1)))</f>
        <v>1.8</v>
      </c>
      <c r="J189" s="82">
        <f t="shared" si="2"/>
        <v>0.7826086957</v>
      </c>
      <c r="K189" s="82">
        <f>'Paste #BBall'!J189</f>
        <v>0.3</v>
      </c>
      <c r="L189" s="82">
        <f>'Paste #BBall'!K189</f>
        <v>8.9</v>
      </c>
      <c r="M189" s="82">
        <f>'Paste #BBall'!L189</f>
        <v>4.4</v>
      </c>
      <c r="N189" s="82">
        <f>'Paste #BBall'!M189</f>
        <v>0.6</v>
      </c>
      <c r="O189" s="82">
        <f>'Paste #BBall'!N189</f>
        <v>0.5</v>
      </c>
      <c r="P189" s="82">
        <f>'Paste #BBall'!O189</f>
        <v>0.8</v>
      </c>
      <c r="Q189" s="82">
        <f>'Paste #BBall'!P189</f>
        <v>0.8</v>
      </c>
      <c r="R189" s="81" t="str">
        <f>Left(Right('Paste #BBall'!H189,Len('Paste #BBall'!H189)-Search("/",'Paste #BBall'!H189)),Len(Right('Paste #BBall'!H189,Len('Paste #BBall'!H189)-Search("/",'Paste #BBall'!H189)))-1)</f>
        <v>5.6</v>
      </c>
      <c r="S189" s="81" t="str">
        <f>Left(Right('Paste #BBall'!I189,Len('Paste #BBall'!I189)-Search("/",'Paste #BBall'!I189)),Len(Right('Paste #BBall'!I189,Len('Paste #BBall'!I189)-Search("/",'Paste #BBall'!I189)))-1)</f>
        <v>2.3</v>
      </c>
    </row>
    <row r="190">
      <c r="A190" s="2">
        <v>189.0</v>
      </c>
      <c r="B190" s="2" t="str">
        <f>'Paste #BBall'!C190</f>
        <v>Jordan Clarkson</v>
      </c>
      <c r="C190" s="2" t="str">
        <f>'Paste #BBall'!D190</f>
        <v>SG</v>
      </c>
      <c r="D190" s="2" t="str">
        <f>'Paste #BBall'!E190</f>
        <v>UTA</v>
      </c>
      <c r="E190" s="2">
        <f>'Paste #BBall'!F190</f>
        <v>72</v>
      </c>
      <c r="F190" s="80">
        <f>'Paste #BBall'!G190</f>
        <v>25</v>
      </c>
      <c r="G190" s="81" t="str">
        <f>right(Left('Paste #BBall'!H190,Search("/",'Paste #BBall'!H190)-1),len(Left('Paste #BBall'!H190,Search("/",'Paste #BBall'!H190)-1))-search("(",Left('Paste #BBall'!H190,Search("/",'Paste #BBall'!H190)-1)))</f>
        <v>5.5</v>
      </c>
      <c r="H190" s="82">
        <f t="shared" si="1"/>
        <v>0.4166666667</v>
      </c>
      <c r="I190" s="82" t="str">
        <f>right(Left('Paste #BBall'!I190,Search("/",'Paste #BBall'!I190)-1),len(Left('Paste #BBall'!I190,Search("/",'Paste #BBall'!I190)-1))-search("(",Left('Paste #BBall'!I190,Search("/",'Paste #BBall'!I190)-1)))</f>
        <v>1.7</v>
      </c>
      <c r="J190" s="82">
        <f t="shared" si="2"/>
        <v>0.8095238095</v>
      </c>
      <c r="K190" s="82">
        <f>'Paste #BBall'!J190</f>
        <v>2.3</v>
      </c>
      <c r="L190" s="82">
        <f>'Paste #BBall'!K190</f>
        <v>15</v>
      </c>
      <c r="M190" s="82">
        <f>'Paste #BBall'!L190</f>
        <v>3.2</v>
      </c>
      <c r="N190" s="82">
        <f>'Paste #BBall'!M190</f>
        <v>2.3</v>
      </c>
      <c r="O190" s="82">
        <f>'Paste #BBall'!N190</f>
        <v>0.8</v>
      </c>
      <c r="P190" s="82">
        <f>'Paste #BBall'!O190</f>
        <v>0.2</v>
      </c>
      <c r="Q190" s="82">
        <f>'Paste #BBall'!P190</f>
        <v>1.5</v>
      </c>
      <c r="R190" s="81" t="str">
        <f>Left(Right('Paste #BBall'!H190,Len('Paste #BBall'!H190)-Search("/",'Paste #BBall'!H190)),Len(Right('Paste #BBall'!H190,Len('Paste #BBall'!H190)-Search("/",'Paste #BBall'!H190)))-1)</f>
        <v>13.2</v>
      </c>
      <c r="S190" s="81" t="str">
        <f>Left(Right('Paste #BBall'!I190,Len('Paste #BBall'!I190)-Search("/",'Paste #BBall'!I190)),Len(Right('Paste #BBall'!I190,Len('Paste #BBall'!I190)-Search("/",'Paste #BBall'!I190)))-1)</f>
        <v>2.1</v>
      </c>
    </row>
    <row r="191">
      <c r="A191" s="2">
        <v>190.0</v>
      </c>
      <c r="B191" s="2" t="str">
        <f>'Paste #BBall'!C191</f>
        <v>Talen Horton-Tucker</v>
      </c>
      <c r="C191" s="2" t="str">
        <f>'Paste #BBall'!D191</f>
        <v>SG/SF</v>
      </c>
      <c r="D191" s="2" t="str">
        <f>'Paste #BBall'!E191</f>
        <v>UTA</v>
      </c>
      <c r="E191" s="2">
        <f>'Paste #BBall'!F191</f>
        <v>65</v>
      </c>
      <c r="F191" s="80">
        <f>'Paste #BBall'!G191</f>
        <v>25.2</v>
      </c>
      <c r="G191" s="81" t="str">
        <f>right(Left('Paste #BBall'!H191,Search("/",'Paste #BBall'!H191)-1),len(Left('Paste #BBall'!H191,Search("/",'Paste #BBall'!H191)-1))-search("(",Left('Paste #BBall'!H191,Search("/",'Paste #BBall'!H191)-1)))</f>
        <v>3.8</v>
      </c>
      <c r="H191" s="82">
        <f t="shared" si="1"/>
        <v>0.4318181818</v>
      </c>
      <c r="I191" s="82" t="str">
        <f>right(Left('Paste #BBall'!I191,Search("/",'Paste #BBall'!I191)-1),len(Left('Paste #BBall'!I191,Search("/",'Paste #BBall'!I191)-1))-search("(",Left('Paste #BBall'!I191,Search("/",'Paste #BBall'!I191)-1)))</f>
        <v>1.7</v>
      </c>
      <c r="J191" s="82">
        <f t="shared" si="2"/>
        <v>0.8095238095</v>
      </c>
      <c r="K191" s="82">
        <f>'Paste #BBall'!J191</f>
        <v>0.8</v>
      </c>
      <c r="L191" s="82">
        <f>'Paste #BBall'!K191</f>
        <v>10.1</v>
      </c>
      <c r="M191" s="82">
        <f>'Paste #BBall'!L191</f>
        <v>3.3</v>
      </c>
      <c r="N191" s="82">
        <f>'Paste #BBall'!M191</f>
        <v>2.8</v>
      </c>
      <c r="O191" s="82">
        <f>'Paste #BBall'!N191</f>
        <v>1</v>
      </c>
      <c r="P191" s="82">
        <f>'Paste #BBall'!O191</f>
        <v>0.5</v>
      </c>
      <c r="Q191" s="82">
        <f>'Paste #BBall'!P191</f>
        <v>1.4</v>
      </c>
      <c r="R191" s="81" t="str">
        <f>Left(Right('Paste #BBall'!H191,Len('Paste #BBall'!H191)-Search("/",'Paste #BBall'!H191)),Len(Right('Paste #BBall'!H191,Len('Paste #BBall'!H191)-Search("/",'Paste #BBall'!H191)))-1)</f>
        <v>8.8</v>
      </c>
      <c r="S191" s="81" t="str">
        <f>Left(Right('Paste #BBall'!I191,Len('Paste #BBall'!I191)-Search("/",'Paste #BBall'!I191)),Len(Right('Paste #BBall'!I191,Len('Paste #BBall'!I191)-Search("/",'Paste #BBall'!I191)))-1)</f>
        <v>2.1</v>
      </c>
    </row>
    <row r="192">
      <c r="A192" s="2">
        <v>191.0</v>
      </c>
      <c r="B192" s="2" t="str">
        <f>'Paste #BBall'!C192</f>
        <v>Josh Richardson</v>
      </c>
      <c r="C192" s="2" t="str">
        <f>'Paste #BBall'!D192</f>
        <v>SG/SF</v>
      </c>
      <c r="D192" s="2" t="str">
        <f>'Paste #BBall'!E192</f>
        <v>SAS</v>
      </c>
      <c r="E192" s="2">
        <f>'Paste #BBall'!F192</f>
        <v>65</v>
      </c>
      <c r="F192" s="80">
        <f>'Paste #BBall'!G192</f>
        <v>22.7</v>
      </c>
      <c r="G192" s="81" t="str">
        <f>right(Left('Paste #BBall'!H192,Search("/",'Paste #BBall'!H192)-1),len(Left('Paste #BBall'!H192,Search("/",'Paste #BBall'!H192)-1))-search("(",Left('Paste #BBall'!H192,Search("/",'Paste #BBall'!H192)-1)))</f>
        <v>3.4</v>
      </c>
      <c r="H192" s="82">
        <f t="shared" si="1"/>
        <v>0.4415584416</v>
      </c>
      <c r="I192" s="82" t="str">
        <f>right(Left('Paste #BBall'!I192,Search("/",'Paste #BBall'!I192)-1),len(Left('Paste #BBall'!I192,Search("/",'Paste #BBall'!I192)-1))-search("(",Left('Paste #BBall'!I192,Search("/",'Paste #BBall'!I192)-1)))</f>
        <v>1.4</v>
      </c>
      <c r="J192" s="82">
        <f t="shared" si="2"/>
        <v>0.875</v>
      </c>
      <c r="K192" s="82">
        <f>'Paste #BBall'!J192</f>
        <v>1.5</v>
      </c>
      <c r="L192" s="82">
        <f>'Paste #BBall'!K192</f>
        <v>9.7</v>
      </c>
      <c r="M192" s="82">
        <f>'Paste #BBall'!L192</f>
        <v>2.6</v>
      </c>
      <c r="N192" s="82">
        <f>'Paste #BBall'!M192</f>
        <v>1.7</v>
      </c>
      <c r="O192" s="82">
        <f>'Paste #BBall'!N192</f>
        <v>0.8</v>
      </c>
      <c r="P192" s="82">
        <f>'Paste #BBall'!O192</f>
        <v>0.4</v>
      </c>
      <c r="Q192" s="82">
        <f>'Paste #BBall'!P192</f>
        <v>0.9</v>
      </c>
      <c r="R192" s="81" t="str">
        <f>Left(Right('Paste #BBall'!H192,Len('Paste #BBall'!H192)-Search("/",'Paste #BBall'!H192)),Len(Right('Paste #BBall'!H192,Len('Paste #BBall'!H192)-Search("/",'Paste #BBall'!H192)))-1)</f>
        <v>7.7</v>
      </c>
      <c r="S192" s="81" t="str">
        <f>Left(Right('Paste #BBall'!I192,Len('Paste #BBall'!I192)-Search("/",'Paste #BBall'!I192)),Len(Right('Paste #BBall'!I192,Len('Paste #BBall'!I192)-Search("/",'Paste #BBall'!I192)))-1)</f>
        <v>1.6</v>
      </c>
    </row>
    <row r="193">
      <c r="A193" s="2">
        <v>192.0</v>
      </c>
      <c r="B193" s="2" t="str">
        <f>'Paste #BBall'!C193</f>
        <v>Tyus Jones</v>
      </c>
      <c r="C193" s="2" t="str">
        <f>'Paste #BBall'!D193</f>
        <v>PG</v>
      </c>
      <c r="D193" s="2" t="str">
        <f>'Paste #BBall'!E193</f>
        <v>MEM</v>
      </c>
      <c r="E193" s="2">
        <f>'Paste #BBall'!F193</f>
        <v>73</v>
      </c>
      <c r="F193" s="80">
        <f>'Paste #BBall'!G193</f>
        <v>21.2</v>
      </c>
      <c r="G193" s="81" t="str">
        <f>right(Left('Paste #BBall'!H193,Search("/",'Paste #BBall'!H193)-1),len(Left('Paste #BBall'!H193,Search("/",'Paste #BBall'!H193)-1))-search("(",Left('Paste #BBall'!H193,Search("/",'Paste #BBall'!H193)-1)))</f>
        <v>3.5</v>
      </c>
      <c r="H193" s="82">
        <f t="shared" si="1"/>
        <v>0.4545454545</v>
      </c>
      <c r="I193" s="82" t="str">
        <f>right(Left('Paste #BBall'!I193,Search("/",'Paste #BBall'!I193)-1),len(Left('Paste #BBall'!I193,Search("/",'Paste #BBall'!I193)-1))-search("(",Left('Paste #BBall'!I193,Search("/",'Paste #BBall'!I193)-1)))</f>
        <v>0.8</v>
      </c>
      <c r="J193" s="82">
        <f t="shared" si="2"/>
        <v>0.8888888889</v>
      </c>
      <c r="K193" s="82">
        <f>'Paste #BBall'!J193</f>
        <v>1.1</v>
      </c>
      <c r="L193" s="82">
        <f>'Paste #BBall'!K193</f>
        <v>8.8</v>
      </c>
      <c r="M193" s="82">
        <f>'Paste #BBall'!L193</f>
        <v>2.4</v>
      </c>
      <c r="N193" s="82">
        <f>'Paste #BBall'!M193</f>
        <v>4.5</v>
      </c>
      <c r="O193" s="82">
        <f>'Paste #BBall'!N193</f>
        <v>0.9</v>
      </c>
      <c r="P193" s="82">
        <f>'Paste #BBall'!O193</f>
        <v>0</v>
      </c>
      <c r="Q193" s="82">
        <f>'Paste #BBall'!P193</f>
        <v>0.6</v>
      </c>
      <c r="R193" s="81" t="str">
        <f>Left(Right('Paste #BBall'!H193,Len('Paste #BBall'!H193)-Search("/",'Paste #BBall'!H193)),Len(Right('Paste #BBall'!H193,Len('Paste #BBall'!H193)-Search("/",'Paste #BBall'!H193)))-1)</f>
        <v>7.7</v>
      </c>
      <c r="S193" s="81" t="str">
        <f>Left(Right('Paste #BBall'!I193,Len('Paste #BBall'!I193)-Search("/",'Paste #BBall'!I193)),Len(Right('Paste #BBall'!I193,Len('Paste #BBall'!I193)-Search("/",'Paste #BBall'!I193)))-1)</f>
        <v>0.9</v>
      </c>
    </row>
    <row r="194">
      <c r="A194" s="2">
        <v>193.0</v>
      </c>
      <c r="B194" s="2" t="str">
        <f>'Paste #BBall'!C194</f>
        <v>Josh Hart</v>
      </c>
      <c r="C194" s="2" t="str">
        <f>'Paste #BBall'!D194</f>
        <v>SG/SF</v>
      </c>
      <c r="D194" s="2" t="str">
        <f>'Paste #BBall'!E194</f>
        <v>POR</v>
      </c>
      <c r="E194" s="2">
        <f>'Paste #BBall'!F194</f>
        <v>67</v>
      </c>
      <c r="F194" s="80">
        <f>'Paste #BBall'!G194</f>
        <v>27.8</v>
      </c>
      <c r="G194" s="81" t="str">
        <f>right(Left('Paste #BBall'!H194,Search("/",'Paste #BBall'!H194)-1),len(Left('Paste #BBall'!H194,Search("/",'Paste #BBall'!H194)-1))-search("(",Left('Paste #BBall'!H194,Search("/",'Paste #BBall'!H194)-1)))</f>
        <v>4.0</v>
      </c>
      <c r="H194" s="82">
        <f t="shared" si="1"/>
        <v>0.4444444444</v>
      </c>
      <c r="I194" s="82" t="str">
        <f>right(Left('Paste #BBall'!I194,Search("/",'Paste #BBall'!I194)-1),len(Left('Paste #BBall'!I194,Search("/",'Paste #BBall'!I194)-1))-search("(",Left('Paste #BBall'!I194,Search("/",'Paste #BBall'!I194)-1)))</f>
        <v>2.6</v>
      </c>
      <c r="J194" s="82">
        <f t="shared" si="2"/>
        <v>0.7878787879</v>
      </c>
      <c r="K194" s="82">
        <f>'Paste #BBall'!J194</f>
        <v>1.2</v>
      </c>
      <c r="L194" s="82">
        <f>'Paste #BBall'!K194</f>
        <v>11.8</v>
      </c>
      <c r="M194" s="82">
        <f>'Paste #BBall'!L194</f>
        <v>5</v>
      </c>
      <c r="N194" s="82">
        <f>'Paste #BBall'!M194</f>
        <v>2.2</v>
      </c>
      <c r="O194" s="82">
        <f>'Paste #BBall'!N194</f>
        <v>0.9</v>
      </c>
      <c r="P194" s="82">
        <f>'Paste #BBall'!O194</f>
        <v>0.2</v>
      </c>
      <c r="Q194" s="82">
        <f>'Paste #BBall'!P194</f>
        <v>1.8</v>
      </c>
      <c r="R194" s="81" t="str">
        <f>Left(Right('Paste #BBall'!H194,Len('Paste #BBall'!H194)-Search("/",'Paste #BBall'!H194)),Len(Right('Paste #BBall'!H194,Len('Paste #BBall'!H194)-Search("/",'Paste #BBall'!H194)))-1)</f>
        <v>9.0</v>
      </c>
      <c r="S194" s="81" t="str">
        <f>Left(Right('Paste #BBall'!I194,Len('Paste #BBall'!I194)-Search("/",'Paste #BBall'!I194)),Len(Right('Paste #BBall'!I194,Len('Paste #BBall'!I194)-Search("/",'Paste #BBall'!I194)))-1)</f>
        <v>3.3</v>
      </c>
    </row>
    <row r="195">
      <c r="A195" s="2">
        <v>194.0</v>
      </c>
      <c r="B195" s="2" t="str">
        <f>'Paste #BBall'!C195</f>
        <v>Reggie Bullock</v>
      </c>
      <c r="C195" s="2" t="str">
        <f>'Paste #BBall'!D195</f>
        <v>PG/SG</v>
      </c>
      <c r="D195" s="2" t="str">
        <f>'Paste #BBall'!E195</f>
        <v>DAL</v>
      </c>
      <c r="E195" s="2">
        <f>'Paste #BBall'!F195</f>
        <v>70</v>
      </c>
      <c r="F195" s="80">
        <f>'Paste #BBall'!G195</f>
        <v>28.2</v>
      </c>
      <c r="G195" s="81" t="str">
        <f>right(Left('Paste #BBall'!H195,Search("/",'Paste #BBall'!H195)-1),len(Left('Paste #BBall'!H195,Search("/",'Paste #BBall'!H195)-1))-search("(",Left('Paste #BBall'!H195,Search("/",'Paste #BBall'!H195)-1)))</f>
        <v>3.5</v>
      </c>
      <c r="H195" s="82">
        <f t="shared" si="1"/>
        <v>0.4375</v>
      </c>
      <c r="I195" s="82" t="str">
        <f>right(Left('Paste #BBall'!I195,Search("/",'Paste #BBall'!I195)-1),len(Left('Paste #BBall'!I195,Search("/",'Paste #BBall'!I195)-1))-search("(",Left('Paste #BBall'!I195,Search("/",'Paste #BBall'!I195)-1)))</f>
        <v>0.6</v>
      </c>
      <c r="J195" s="82">
        <f t="shared" si="2"/>
        <v>0.8571428571</v>
      </c>
      <c r="K195" s="82">
        <f>'Paste #BBall'!J195</f>
        <v>2.4</v>
      </c>
      <c r="L195" s="82">
        <f>'Paste #BBall'!K195</f>
        <v>10.1</v>
      </c>
      <c r="M195" s="82">
        <f>'Paste #BBall'!L195</f>
        <v>3.8</v>
      </c>
      <c r="N195" s="82">
        <f>'Paste #BBall'!M195</f>
        <v>1.3</v>
      </c>
      <c r="O195" s="82">
        <f>'Paste #BBall'!N195</f>
        <v>0.6</v>
      </c>
      <c r="P195" s="82">
        <f>'Paste #BBall'!O195</f>
        <v>0.2</v>
      </c>
      <c r="Q195" s="82">
        <f>'Paste #BBall'!P195</f>
        <v>0.6</v>
      </c>
      <c r="R195" s="81" t="str">
        <f>Left(Right('Paste #BBall'!H195,Len('Paste #BBall'!H195)-Search("/",'Paste #BBall'!H195)),Len(Right('Paste #BBall'!H195,Len('Paste #BBall'!H195)-Search("/",'Paste #BBall'!H195)))-1)</f>
        <v>8.0</v>
      </c>
      <c r="S195" s="81" t="str">
        <f>Left(Right('Paste #BBall'!I195,Len('Paste #BBall'!I195)-Search("/",'Paste #BBall'!I195)),Len(Right('Paste #BBall'!I195,Len('Paste #BBall'!I195)-Search("/",'Paste #BBall'!I195)))-1)</f>
        <v>0.7</v>
      </c>
    </row>
    <row r="196">
      <c r="A196" s="2">
        <v>195.0</v>
      </c>
      <c r="B196" s="2" t="str">
        <f>'Paste #BBall'!C196</f>
        <v>Obi Toppin</v>
      </c>
      <c r="C196" s="2" t="str">
        <f>'Paste #BBall'!D196</f>
        <v>PF</v>
      </c>
      <c r="D196" s="2" t="str">
        <f>'Paste #BBall'!E196</f>
        <v>NYK</v>
      </c>
      <c r="E196" s="2">
        <f>'Paste #BBall'!F196</f>
        <v>72</v>
      </c>
      <c r="F196" s="80">
        <f>'Paste #BBall'!G196</f>
        <v>20.2</v>
      </c>
      <c r="G196" s="81" t="str">
        <f>right(Left('Paste #BBall'!H196,Search("/",'Paste #BBall'!H196)-1),len(Left('Paste #BBall'!H196,Search("/",'Paste #BBall'!H196)-1))-search("(",Left('Paste #BBall'!H196,Search("/",'Paste #BBall'!H196)-1)))</f>
        <v>4.2</v>
      </c>
      <c r="H196" s="82">
        <f t="shared" si="1"/>
        <v>0.525</v>
      </c>
      <c r="I196" s="82" t="str">
        <f>right(Left('Paste #BBall'!I196,Search("/",'Paste #BBall'!I196)-1),len(Left('Paste #BBall'!I196,Search("/",'Paste #BBall'!I196)-1))-search("(",Left('Paste #BBall'!I196,Search("/",'Paste #BBall'!I196)-1)))</f>
        <v>1.6</v>
      </c>
      <c r="J196" s="82">
        <f t="shared" si="2"/>
        <v>0.7619047619</v>
      </c>
      <c r="K196" s="82">
        <f>'Paste #BBall'!J196</f>
        <v>0.8</v>
      </c>
      <c r="L196" s="82">
        <f>'Paste #BBall'!K196</f>
        <v>10.9</v>
      </c>
      <c r="M196" s="82">
        <f>'Paste #BBall'!L196</f>
        <v>4.6</v>
      </c>
      <c r="N196" s="82">
        <f>'Paste #BBall'!M196</f>
        <v>1.3</v>
      </c>
      <c r="O196" s="82">
        <f>'Paste #BBall'!N196</f>
        <v>0.4</v>
      </c>
      <c r="P196" s="82">
        <f>'Paste #BBall'!O196</f>
        <v>0.6</v>
      </c>
      <c r="Q196" s="82">
        <f>'Paste #BBall'!P196</f>
        <v>1</v>
      </c>
      <c r="R196" s="81" t="str">
        <f>Left(Right('Paste #BBall'!H196,Len('Paste #BBall'!H196)-Search("/",'Paste #BBall'!H196)),Len(Right('Paste #BBall'!H196,Len('Paste #BBall'!H196)-Search("/",'Paste #BBall'!H196)))-1)</f>
        <v>8.0</v>
      </c>
      <c r="S196" s="81" t="str">
        <f>Left(Right('Paste #BBall'!I196,Len('Paste #BBall'!I196)-Search("/",'Paste #BBall'!I196)),Len(Right('Paste #BBall'!I196,Len('Paste #BBall'!I196)-Search("/",'Paste #BBall'!I196)))-1)</f>
        <v>2.1</v>
      </c>
    </row>
    <row r="197">
      <c r="A197" s="2">
        <v>196.0</v>
      </c>
      <c r="B197" s="2" t="str">
        <f>'Paste #BBall'!C197</f>
        <v>Trendon Watford</v>
      </c>
      <c r="C197" s="2" t="str">
        <f>'Paste #BBall'!D197</f>
        <v>PF</v>
      </c>
      <c r="D197" s="2" t="str">
        <f>'Paste #BBall'!E197</f>
        <v>POR</v>
      </c>
      <c r="E197" s="2">
        <f>'Paste #BBall'!F197</f>
        <v>70</v>
      </c>
      <c r="F197" s="80">
        <f>'Paste #BBall'!G197</f>
        <v>20.1</v>
      </c>
      <c r="G197" s="81" t="str">
        <f>right(Left('Paste #BBall'!H197,Search("/",'Paste #BBall'!H197)-1),len(Left('Paste #BBall'!H197,Search("/",'Paste #BBall'!H197)-1))-search("(",Left('Paste #BBall'!H197,Search("/",'Paste #BBall'!H197)-1)))</f>
        <v>3.4</v>
      </c>
      <c r="H197" s="82">
        <f t="shared" si="1"/>
        <v>0.5074626866</v>
      </c>
      <c r="I197" s="82" t="str">
        <f>right(Left('Paste #BBall'!I197,Search("/",'Paste #BBall'!I197)-1),len(Left('Paste #BBall'!I197,Search("/",'Paste #BBall'!I197)-1))-search("(",Left('Paste #BBall'!I197,Search("/",'Paste #BBall'!I197)-1)))</f>
        <v>1.7</v>
      </c>
      <c r="J197" s="82">
        <f t="shared" si="2"/>
        <v>0.8095238095</v>
      </c>
      <c r="K197" s="82">
        <f>'Paste #BBall'!J197</f>
        <v>0.2</v>
      </c>
      <c r="L197" s="82">
        <f>'Paste #BBall'!K197</f>
        <v>8.7</v>
      </c>
      <c r="M197" s="82">
        <f>'Paste #BBall'!L197</f>
        <v>4.8</v>
      </c>
      <c r="N197" s="82">
        <f>'Paste #BBall'!M197</f>
        <v>1.9</v>
      </c>
      <c r="O197" s="82">
        <f>'Paste #BBall'!N197</f>
        <v>0.6</v>
      </c>
      <c r="P197" s="82">
        <f>'Paste #BBall'!O197</f>
        <v>0.7</v>
      </c>
      <c r="Q197" s="82">
        <f>'Paste #BBall'!P197</f>
        <v>1</v>
      </c>
      <c r="R197" s="81" t="str">
        <f>Left(Right('Paste #BBall'!H197,Len('Paste #BBall'!H197)-Search("/",'Paste #BBall'!H197)),Len(Right('Paste #BBall'!H197,Len('Paste #BBall'!H197)-Search("/",'Paste #BBall'!H197)))-1)</f>
        <v>6.7</v>
      </c>
      <c r="S197" s="81" t="str">
        <f>Left(Right('Paste #BBall'!I197,Len('Paste #BBall'!I197)-Search("/",'Paste #BBall'!I197)),Len(Right('Paste #BBall'!I197,Len('Paste #BBall'!I197)-Search("/",'Paste #BBall'!I197)))-1)</f>
        <v>2.1</v>
      </c>
    </row>
    <row r="198">
      <c r="A198" s="2">
        <v>197.0</v>
      </c>
      <c r="B198" s="2" t="str">
        <f>'Paste #BBall'!C198</f>
        <v>De'Andre Hunter</v>
      </c>
      <c r="C198" s="2" t="str">
        <f>'Paste #BBall'!D198</f>
        <v>SF/PF</v>
      </c>
      <c r="D198" s="2" t="str">
        <f>'Paste #BBall'!E198</f>
        <v>ATL</v>
      </c>
      <c r="E198" s="2">
        <f>'Paste #BBall'!F198</f>
        <v>69</v>
      </c>
      <c r="F198" s="80">
        <f>'Paste #BBall'!G198</f>
        <v>30.4</v>
      </c>
      <c r="G198" s="81" t="str">
        <f>right(Left('Paste #BBall'!H198,Search("/",'Paste #BBall'!H198)-1),len(Left('Paste #BBall'!H198,Search("/",'Paste #BBall'!H198)-1))-search("(",Left('Paste #BBall'!H198,Search("/",'Paste #BBall'!H198)-1)))</f>
        <v>3.7</v>
      </c>
      <c r="H198" s="82">
        <f t="shared" si="1"/>
        <v>0.4567901235</v>
      </c>
      <c r="I198" s="82" t="str">
        <f>right(Left('Paste #BBall'!I198,Search("/",'Paste #BBall'!I198)-1),len(Left('Paste #BBall'!I198,Search("/",'Paste #BBall'!I198)-1))-search("(",Left('Paste #BBall'!I198,Search("/",'Paste #BBall'!I198)-1)))</f>
        <v>2.1</v>
      </c>
      <c r="J198" s="82">
        <f t="shared" si="2"/>
        <v>0.8076923077</v>
      </c>
      <c r="K198" s="82">
        <f>'Paste #BBall'!J198</f>
        <v>1.5</v>
      </c>
      <c r="L198" s="82">
        <f>'Paste #BBall'!K198</f>
        <v>10.9</v>
      </c>
      <c r="M198" s="82">
        <f>'Paste #BBall'!L198</f>
        <v>3.4</v>
      </c>
      <c r="N198" s="82">
        <f>'Paste #BBall'!M198</f>
        <v>1.4</v>
      </c>
      <c r="O198" s="82">
        <f>'Paste #BBall'!N198</f>
        <v>0.7</v>
      </c>
      <c r="P198" s="82">
        <f>'Paste #BBall'!O198</f>
        <v>0.4</v>
      </c>
      <c r="Q198" s="82">
        <f>'Paste #BBall'!P198</f>
        <v>1.4</v>
      </c>
      <c r="R198" s="81" t="str">
        <f>Left(Right('Paste #BBall'!H198,Len('Paste #BBall'!H198)-Search("/",'Paste #BBall'!H198)),Len(Right('Paste #BBall'!H198,Len('Paste #BBall'!H198)-Search("/",'Paste #BBall'!H198)))-1)</f>
        <v>8.1</v>
      </c>
      <c r="S198" s="81" t="str">
        <f>Left(Right('Paste #BBall'!I198,Len('Paste #BBall'!I198)-Search("/",'Paste #BBall'!I198)),Len(Right('Paste #BBall'!I198,Len('Paste #BBall'!I198)-Search("/",'Paste #BBall'!I198)))-1)</f>
        <v>2.6</v>
      </c>
    </row>
    <row r="199">
      <c r="A199" s="2">
        <v>198.0</v>
      </c>
      <c r="B199" s="2" t="str">
        <f>'Paste #BBall'!C199</f>
        <v>Montrezl Harrell</v>
      </c>
      <c r="C199" s="2" t="str">
        <f>'Paste #BBall'!D199</f>
        <v>PF/C</v>
      </c>
      <c r="D199" s="2" t="str">
        <f>'Paste #BBall'!E199</f>
        <v>PHI</v>
      </c>
      <c r="E199" s="2">
        <f>'Paste #BBall'!F199</f>
        <v>67</v>
      </c>
      <c r="F199" s="80">
        <f>'Paste #BBall'!G199</f>
        <v>18</v>
      </c>
      <c r="G199" s="81" t="str">
        <f>right(Left('Paste #BBall'!H199,Search("/",'Paste #BBall'!H199)-1),len(Left('Paste #BBall'!H199,Search("/",'Paste #BBall'!H199)-1))-search("(",Left('Paste #BBall'!H199,Search("/",'Paste #BBall'!H199)-1)))</f>
        <v>4.9</v>
      </c>
      <c r="H199" s="82">
        <f t="shared" si="1"/>
        <v>0.6202531646</v>
      </c>
      <c r="I199" s="82" t="str">
        <f>right(Left('Paste #BBall'!I199,Search("/",'Paste #BBall'!I199)-1),len(Left('Paste #BBall'!I199,Search("/",'Paste #BBall'!I199)-1))-search("(",Left('Paste #BBall'!I199,Search("/",'Paste #BBall'!I199)-1)))</f>
        <v>2.0</v>
      </c>
      <c r="J199" s="82">
        <f t="shared" si="2"/>
        <v>0.6896551724</v>
      </c>
      <c r="K199" s="82">
        <f>'Paste #BBall'!J199</f>
        <v>0</v>
      </c>
      <c r="L199" s="82">
        <f>'Paste #BBall'!K199</f>
        <v>11.8</v>
      </c>
      <c r="M199" s="82">
        <f>'Paste #BBall'!L199</f>
        <v>4.6</v>
      </c>
      <c r="N199" s="82">
        <f>'Paste #BBall'!M199</f>
        <v>1.1</v>
      </c>
      <c r="O199" s="82">
        <f>'Paste #BBall'!N199</f>
        <v>0.4</v>
      </c>
      <c r="P199" s="82">
        <f>'Paste #BBall'!O199</f>
        <v>0.7</v>
      </c>
      <c r="Q199" s="82">
        <f>'Paste #BBall'!P199</f>
        <v>1.1</v>
      </c>
      <c r="R199" s="81" t="str">
        <f>Left(Right('Paste #BBall'!H199,Len('Paste #BBall'!H199)-Search("/",'Paste #BBall'!H199)),Len(Right('Paste #BBall'!H199,Len('Paste #BBall'!H199)-Search("/",'Paste #BBall'!H199)))-1)</f>
        <v>7.9</v>
      </c>
      <c r="S199" s="81" t="str">
        <f>Left(Right('Paste #BBall'!I199,Len('Paste #BBall'!I199)-Search("/",'Paste #BBall'!I199)),Len(Right('Paste #BBall'!I199,Len('Paste #BBall'!I199)-Search("/",'Paste #BBall'!I199)))-1)</f>
        <v>2.9</v>
      </c>
    </row>
    <row r="200">
      <c r="A200" s="2">
        <v>199.0</v>
      </c>
      <c r="B200" s="2" t="str">
        <f>'Paste #BBall'!C200</f>
        <v>Jonathan Kuminga</v>
      </c>
      <c r="C200" s="2" t="str">
        <f>'Paste #BBall'!D200</f>
        <v>SF/PF</v>
      </c>
      <c r="D200" s="2" t="str">
        <f>'Paste #BBall'!E200</f>
        <v>GSW</v>
      </c>
      <c r="E200" s="2">
        <f>'Paste #BBall'!F200</f>
        <v>72</v>
      </c>
      <c r="F200" s="80">
        <f>'Paste #BBall'!G200</f>
        <v>25.6</v>
      </c>
      <c r="G200" s="81" t="str">
        <f>right(Left('Paste #BBall'!H200,Search("/",'Paste #BBall'!H200)-1),len(Left('Paste #BBall'!H200,Search("/",'Paste #BBall'!H200)-1))-search("(",Left('Paste #BBall'!H200,Search("/",'Paste #BBall'!H200)-1)))</f>
        <v>4.8</v>
      </c>
      <c r="H200" s="82">
        <f t="shared" si="1"/>
        <v>0.5052631579</v>
      </c>
      <c r="I200" s="82" t="str">
        <f>right(Left('Paste #BBall'!I200,Search("/",'Paste #BBall'!I200)-1),len(Left('Paste #BBall'!I200,Search("/",'Paste #BBall'!I200)-1))-search("(",Left('Paste #BBall'!I200,Search("/",'Paste #BBall'!I200)-1)))</f>
        <v>2.2</v>
      </c>
      <c r="J200" s="82">
        <f t="shared" si="2"/>
        <v>0.7096774194</v>
      </c>
      <c r="K200" s="82">
        <f>'Paste #BBall'!J200</f>
        <v>1.1</v>
      </c>
      <c r="L200" s="82">
        <f>'Paste #BBall'!K200</f>
        <v>12.9</v>
      </c>
      <c r="M200" s="82">
        <f>'Paste #BBall'!L200</f>
        <v>5.2</v>
      </c>
      <c r="N200" s="82">
        <f>'Paste #BBall'!M200</f>
        <v>1.4</v>
      </c>
      <c r="O200" s="82">
        <f>'Paste #BBall'!N200</f>
        <v>0.6</v>
      </c>
      <c r="P200" s="82">
        <f>'Paste #BBall'!O200</f>
        <v>0.5</v>
      </c>
      <c r="Q200" s="82">
        <f>'Paste #BBall'!P200</f>
        <v>1.7</v>
      </c>
      <c r="R200" s="81" t="str">
        <f>Left(Right('Paste #BBall'!H200,Len('Paste #BBall'!H200)-Search("/",'Paste #BBall'!H200)),Len(Right('Paste #BBall'!H200,Len('Paste #BBall'!H200)-Search("/",'Paste #BBall'!H200)))-1)</f>
        <v>9.5</v>
      </c>
      <c r="S200" s="81" t="str">
        <f>Left(Right('Paste #BBall'!I200,Len('Paste #BBall'!I200)-Search("/",'Paste #BBall'!I200)),Len(Right('Paste #BBall'!I200,Len('Paste #BBall'!I200)-Search("/",'Paste #BBall'!I200)))-1)</f>
        <v>3.1</v>
      </c>
    </row>
    <row r="201">
      <c r="A201" s="2">
        <v>200.0</v>
      </c>
      <c r="B201" s="2" t="str">
        <f>'Paste #BBall'!C201</f>
        <v>Jaden Ivey</v>
      </c>
      <c r="C201" s="2" t="str">
        <f>'Paste #BBall'!D201</f>
        <v>PG</v>
      </c>
      <c r="D201" s="2" t="str">
        <f>'Paste #BBall'!E201</f>
        <v>DET</v>
      </c>
      <c r="E201" s="2">
        <f>'Paste #BBall'!F201</f>
        <v>73</v>
      </c>
      <c r="F201" s="80">
        <f>'Paste #BBall'!G201</f>
        <v>28.8</v>
      </c>
      <c r="G201" s="81" t="str">
        <f>right(Left('Paste #BBall'!H201,Search("/",'Paste #BBall'!H201)-1),len(Left('Paste #BBall'!H201,Search("/",'Paste #BBall'!H201)-1))-search("(",Left('Paste #BBall'!H201,Search("/",'Paste #BBall'!H201)-1)))</f>
        <v>5.2</v>
      </c>
      <c r="H201" s="82">
        <f t="shared" si="1"/>
        <v>0.4444444444</v>
      </c>
      <c r="I201" s="82" t="str">
        <f>right(Left('Paste #BBall'!I201,Search("/",'Paste #BBall'!I201)-1),len(Left('Paste #BBall'!I201,Search("/",'Paste #BBall'!I201)-1))-search("(",Left('Paste #BBall'!I201,Search("/",'Paste #BBall'!I201)-1)))</f>
        <v>3.9</v>
      </c>
      <c r="J201" s="82">
        <f t="shared" si="2"/>
        <v>0.7358490566</v>
      </c>
      <c r="K201" s="82">
        <f>'Paste #BBall'!J201</f>
        <v>1.7</v>
      </c>
      <c r="L201" s="82">
        <f>'Paste #BBall'!K201</f>
        <v>16</v>
      </c>
      <c r="M201" s="82">
        <f>'Paste #BBall'!L201</f>
        <v>3.5</v>
      </c>
      <c r="N201" s="82">
        <f>'Paste #BBall'!M201</f>
        <v>2.8</v>
      </c>
      <c r="O201" s="82">
        <f>'Paste #BBall'!N201</f>
        <v>0.7</v>
      </c>
      <c r="P201" s="82">
        <f>'Paste #BBall'!O201</f>
        <v>0.4</v>
      </c>
      <c r="Q201" s="82">
        <f>'Paste #BBall'!P201</f>
        <v>2.4</v>
      </c>
      <c r="R201" s="81" t="str">
        <f>Left(Right('Paste #BBall'!H201,Len('Paste #BBall'!H201)-Search("/",'Paste #BBall'!H201)),Len(Right('Paste #BBall'!H201,Len('Paste #BBall'!H201)-Search("/",'Paste #BBall'!H201)))-1)</f>
        <v>11.7</v>
      </c>
      <c r="S201" s="81" t="str">
        <f>Left(Right('Paste #BBall'!I201,Len('Paste #BBall'!I201)-Search("/",'Paste #BBall'!I201)),Len(Right('Paste #BBall'!I201,Len('Paste #BBall'!I201)-Search("/",'Paste #BBall'!I201)))-1)</f>
        <v>5.3</v>
      </c>
    </row>
    <row r="202">
      <c r="F202" s="52"/>
      <c r="G202" s="52"/>
      <c r="H202" s="52"/>
      <c r="I202" s="80"/>
      <c r="J202" s="52"/>
      <c r="K202" s="52"/>
      <c r="L202" s="52"/>
      <c r="M202" s="52"/>
      <c r="N202" s="52"/>
      <c r="O202" s="52"/>
      <c r="P202" s="52"/>
      <c r="Q202" s="52"/>
      <c r="R202" s="52"/>
      <c r="S202" s="52"/>
    </row>
    <row r="203">
      <c r="F203" s="52"/>
      <c r="G203" s="52"/>
      <c r="H203" s="52"/>
      <c r="I203" s="80"/>
      <c r="J203" s="52"/>
      <c r="K203" s="52"/>
      <c r="L203" s="52"/>
      <c r="M203" s="52"/>
      <c r="N203" s="52"/>
      <c r="O203" s="52"/>
      <c r="P203" s="52"/>
      <c r="Q203" s="52"/>
      <c r="R203" s="52"/>
      <c r="S203" s="52"/>
    </row>
    <row r="204">
      <c r="F204" s="52"/>
      <c r="G204" s="52"/>
      <c r="H204" s="52"/>
      <c r="I204" s="80"/>
      <c r="J204" s="52"/>
      <c r="K204" s="52"/>
      <c r="L204" s="52"/>
      <c r="M204" s="52"/>
      <c r="N204" s="52"/>
      <c r="O204" s="52"/>
      <c r="P204" s="52"/>
      <c r="Q204" s="52"/>
      <c r="R204" s="52"/>
      <c r="S204" s="52"/>
    </row>
    <row r="205">
      <c r="F205" s="52"/>
      <c r="G205" s="52"/>
      <c r="H205" s="52"/>
      <c r="I205" s="80"/>
      <c r="J205" s="52"/>
      <c r="K205" s="52"/>
      <c r="L205" s="52"/>
      <c r="M205" s="52"/>
      <c r="N205" s="52"/>
      <c r="O205" s="52"/>
      <c r="P205" s="52"/>
      <c r="Q205" s="52"/>
      <c r="R205" s="52"/>
      <c r="S205" s="52"/>
    </row>
    <row r="206">
      <c r="F206" s="52"/>
      <c r="G206" s="52"/>
      <c r="H206" s="52"/>
      <c r="I206" s="80"/>
      <c r="J206" s="52"/>
      <c r="K206" s="52"/>
      <c r="L206" s="52"/>
      <c r="M206" s="52"/>
      <c r="N206" s="52"/>
      <c r="O206" s="52"/>
      <c r="P206" s="52"/>
      <c r="Q206" s="52"/>
      <c r="R206" s="52"/>
      <c r="S206" s="52"/>
    </row>
    <row r="207">
      <c r="F207" s="52"/>
      <c r="G207" s="52"/>
      <c r="H207" s="52"/>
      <c r="I207" s="80"/>
      <c r="J207" s="52"/>
      <c r="K207" s="52"/>
      <c r="L207" s="52"/>
      <c r="M207" s="52"/>
      <c r="N207" s="52"/>
      <c r="O207" s="52"/>
      <c r="P207" s="52"/>
      <c r="Q207" s="52"/>
      <c r="R207" s="52"/>
      <c r="S207" s="52"/>
    </row>
    <row r="208">
      <c r="F208" s="52"/>
      <c r="G208" s="52"/>
      <c r="H208" s="52"/>
      <c r="I208" s="80"/>
      <c r="J208" s="52"/>
      <c r="K208" s="52"/>
      <c r="L208" s="52"/>
      <c r="M208" s="52"/>
      <c r="N208" s="52"/>
      <c r="O208" s="52"/>
      <c r="P208" s="52"/>
      <c r="Q208" s="52"/>
      <c r="R208" s="52"/>
      <c r="S208" s="52"/>
    </row>
    <row r="209">
      <c r="F209" s="52"/>
      <c r="G209" s="52"/>
      <c r="H209" s="52"/>
      <c r="I209" s="80"/>
      <c r="J209" s="52"/>
      <c r="K209" s="52"/>
      <c r="L209" s="52"/>
      <c r="M209" s="52"/>
      <c r="N209" s="52"/>
      <c r="O209" s="52"/>
      <c r="P209" s="52"/>
      <c r="Q209" s="52"/>
      <c r="R209" s="52"/>
      <c r="S209" s="52"/>
    </row>
    <row r="210">
      <c r="F210" s="52"/>
      <c r="G210" s="52"/>
      <c r="H210" s="52"/>
      <c r="I210" s="80"/>
      <c r="J210" s="52"/>
      <c r="K210" s="52"/>
      <c r="L210" s="52"/>
      <c r="M210" s="52"/>
      <c r="N210" s="52"/>
      <c r="O210" s="52"/>
      <c r="P210" s="52"/>
      <c r="Q210" s="52"/>
      <c r="R210" s="52"/>
      <c r="S210" s="52"/>
    </row>
    <row r="211">
      <c r="F211" s="52"/>
      <c r="G211" s="52"/>
      <c r="H211" s="52"/>
      <c r="I211" s="80"/>
      <c r="J211" s="52"/>
      <c r="K211" s="52"/>
      <c r="L211" s="52"/>
      <c r="M211" s="52"/>
      <c r="N211" s="52"/>
      <c r="O211" s="52"/>
      <c r="P211" s="52"/>
      <c r="Q211" s="52"/>
      <c r="R211" s="52"/>
      <c r="S211" s="52"/>
    </row>
    <row r="212">
      <c r="F212" s="52"/>
      <c r="G212" s="52"/>
      <c r="H212" s="52"/>
      <c r="I212" s="80"/>
      <c r="J212" s="52"/>
      <c r="K212" s="52"/>
      <c r="L212" s="52"/>
      <c r="M212" s="52"/>
      <c r="N212" s="52"/>
      <c r="O212" s="52"/>
      <c r="P212" s="52"/>
      <c r="Q212" s="52"/>
      <c r="R212" s="52"/>
      <c r="S212" s="52"/>
    </row>
    <row r="213">
      <c r="F213" s="52"/>
      <c r="G213" s="52"/>
      <c r="H213" s="52"/>
      <c r="I213" s="80"/>
      <c r="J213" s="52"/>
      <c r="K213" s="52"/>
      <c r="L213" s="52"/>
      <c r="M213" s="52"/>
      <c r="N213" s="52"/>
      <c r="O213" s="52"/>
      <c r="P213" s="52"/>
      <c r="Q213" s="52"/>
      <c r="R213" s="52"/>
      <c r="S213" s="52"/>
    </row>
    <row r="214">
      <c r="F214" s="52"/>
      <c r="G214" s="52"/>
      <c r="H214" s="52"/>
      <c r="I214" s="80"/>
      <c r="J214" s="52"/>
      <c r="K214" s="52"/>
      <c r="L214" s="52"/>
      <c r="M214" s="52"/>
      <c r="N214" s="52"/>
      <c r="O214" s="52"/>
      <c r="P214" s="52"/>
      <c r="Q214" s="52"/>
      <c r="R214" s="52"/>
      <c r="S214" s="52"/>
    </row>
    <row r="215">
      <c r="F215" s="52"/>
      <c r="G215" s="52"/>
      <c r="H215" s="52"/>
      <c r="I215" s="80"/>
      <c r="J215" s="52"/>
      <c r="K215" s="52"/>
      <c r="L215" s="52"/>
      <c r="M215" s="52"/>
      <c r="N215" s="52"/>
      <c r="O215" s="52"/>
      <c r="P215" s="52"/>
      <c r="Q215" s="52"/>
      <c r="R215" s="52"/>
      <c r="S215" s="52"/>
    </row>
    <row r="216">
      <c r="F216" s="52"/>
      <c r="G216" s="52"/>
      <c r="H216" s="52"/>
      <c r="I216" s="80"/>
      <c r="J216" s="52"/>
      <c r="K216" s="52"/>
      <c r="L216" s="52"/>
      <c r="M216" s="52"/>
      <c r="N216" s="52"/>
      <c r="O216" s="52"/>
      <c r="P216" s="52"/>
      <c r="Q216" s="52"/>
      <c r="R216" s="52"/>
      <c r="S216" s="52"/>
    </row>
    <row r="217">
      <c r="F217" s="52"/>
      <c r="G217" s="52"/>
      <c r="H217" s="52"/>
      <c r="I217" s="80"/>
      <c r="J217" s="52"/>
      <c r="K217" s="52"/>
      <c r="L217" s="52"/>
      <c r="M217" s="52"/>
      <c r="N217" s="52"/>
      <c r="O217" s="52"/>
      <c r="P217" s="52"/>
      <c r="Q217" s="52"/>
      <c r="R217" s="52"/>
      <c r="S217" s="52"/>
    </row>
    <row r="218">
      <c r="F218" s="52"/>
      <c r="G218" s="52"/>
      <c r="H218" s="52"/>
      <c r="I218" s="80"/>
      <c r="J218" s="52"/>
      <c r="K218" s="52"/>
      <c r="L218" s="52"/>
      <c r="M218" s="52"/>
      <c r="N218" s="52"/>
      <c r="O218" s="52"/>
      <c r="P218" s="52"/>
      <c r="Q218" s="52"/>
      <c r="R218" s="52"/>
      <c r="S218" s="52"/>
    </row>
    <row r="219">
      <c r="F219" s="52"/>
      <c r="G219" s="52"/>
      <c r="H219" s="52"/>
      <c r="I219" s="80"/>
      <c r="J219" s="52"/>
      <c r="K219" s="52"/>
      <c r="L219" s="52"/>
      <c r="M219" s="52"/>
      <c r="N219" s="52"/>
      <c r="O219" s="52"/>
      <c r="P219" s="52"/>
      <c r="Q219" s="52"/>
      <c r="R219" s="52"/>
      <c r="S219" s="52"/>
    </row>
    <row r="220">
      <c r="F220" s="52"/>
      <c r="G220" s="52"/>
      <c r="H220" s="52"/>
      <c r="I220" s="80"/>
      <c r="J220" s="52"/>
      <c r="K220" s="52"/>
      <c r="L220" s="52"/>
      <c r="M220" s="52"/>
      <c r="N220" s="52"/>
      <c r="O220" s="52"/>
      <c r="P220" s="52"/>
      <c r="Q220" s="52"/>
      <c r="R220" s="52"/>
      <c r="S220" s="52"/>
    </row>
    <row r="221">
      <c r="F221" s="52"/>
      <c r="G221" s="52"/>
      <c r="H221" s="52"/>
      <c r="I221" s="80"/>
      <c r="J221" s="52"/>
      <c r="K221" s="52"/>
      <c r="L221" s="52"/>
      <c r="M221" s="52"/>
      <c r="N221" s="52"/>
      <c r="O221" s="52"/>
      <c r="P221" s="52"/>
      <c r="Q221" s="52"/>
      <c r="R221" s="52"/>
      <c r="S221" s="52"/>
    </row>
    <row r="222">
      <c r="F222" s="52"/>
      <c r="G222" s="52"/>
      <c r="H222" s="52"/>
      <c r="I222" s="80"/>
      <c r="J222" s="52"/>
      <c r="K222" s="52"/>
      <c r="L222" s="52"/>
      <c r="M222" s="52"/>
      <c r="N222" s="52"/>
      <c r="O222" s="52"/>
      <c r="P222" s="52"/>
      <c r="Q222" s="52"/>
      <c r="R222" s="52"/>
      <c r="S222" s="52"/>
    </row>
    <row r="223">
      <c r="F223" s="52"/>
      <c r="G223" s="52"/>
      <c r="H223" s="52"/>
      <c r="I223" s="80"/>
      <c r="J223" s="52"/>
      <c r="K223" s="52"/>
      <c r="L223" s="52"/>
      <c r="M223" s="52"/>
      <c r="N223" s="52"/>
      <c r="O223" s="52"/>
      <c r="P223" s="52"/>
      <c r="Q223" s="52"/>
      <c r="R223" s="52"/>
      <c r="S223" s="52"/>
    </row>
    <row r="224">
      <c r="F224" s="52"/>
      <c r="G224" s="52"/>
      <c r="H224" s="52"/>
      <c r="I224" s="80"/>
      <c r="J224" s="52"/>
      <c r="K224" s="52"/>
      <c r="L224" s="52"/>
      <c r="M224" s="52"/>
      <c r="N224" s="52"/>
      <c r="O224" s="52"/>
      <c r="P224" s="52"/>
      <c r="Q224" s="52"/>
      <c r="R224" s="52"/>
      <c r="S224" s="52"/>
    </row>
    <row r="225">
      <c r="F225" s="52"/>
      <c r="G225" s="52"/>
      <c r="H225" s="52"/>
      <c r="I225" s="80"/>
      <c r="J225" s="52"/>
      <c r="K225" s="52"/>
      <c r="L225" s="52"/>
      <c r="M225" s="52"/>
      <c r="N225" s="52"/>
      <c r="O225" s="52"/>
      <c r="P225" s="52"/>
      <c r="Q225" s="52"/>
      <c r="R225" s="52"/>
      <c r="S225" s="52"/>
    </row>
    <row r="226">
      <c r="F226" s="52"/>
      <c r="G226" s="52"/>
      <c r="H226" s="52"/>
      <c r="I226" s="80"/>
      <c r="J226" s="52"/>
      <c r="K226" s="52"/>
      <c r="L226" s="52"/>
      <c r="M226" s="52"/>
      <c r="N226" s="52"/>
      <c r="O226" s="52"/>
      <c r="P226" s="52"/>
      <c r="Q226" s="52"/>
      <c r="R226" s="52"/>
      <c r="S226" s="52"/>
    </row>
    <row r="227">
      <c r="F227" s="52"/>
      <c r="G227" s="52"/>
      <c r="H227" s="52"/>
      <c r="I227" s="80"/>
      <c r="J227" s="52"/>
      <c r="K227" s="52"/>
      <c r="L227" s="52"/>
      <c r="M227" s="52"/>
      <c r="N227" s="52"/>
      <c r="O227" s="52"/>
      <c r="P227" s="52"/>
      <c r="Q227" s="52"/>
      <c r="R227" s="52"/>
      <c r="S227" s="52"/>
    </row>
    <row r="228">
      <c r="F228" s="52"/>
      <c r="G228" s="52"/>
      <c r="H228" s="52"/>
      <c r="I228" s="80"/>
      <c r="J228" s="52"/>
      <c r="K228" s="52"/>
      <c r="L228" s="52"/>
      <c r="M228" s="52"/>
      <c r="N228" s="52"/>
      <c r="O228" s="52"/>
      <c r="P228" s="52"/>
      <c r="Q228" s="52"/>
      <c r="R228" s="52"/>
      <c r="S228" s="52"/>
    </row>
    <row r="229">
      <c r="F229" s="52"/>
      <c r="G229" s="52"/>
      <c r="H229" s="52"/>
      <c r="I229" s="80"/>
      <c r="J229" s="52"/>
      <c r="K229" s="52"/>
      <c r="L229" s="52"/>
      <c r="M229" s="52"/>
      <c r="N229" s="52"/>
      <c r="O229" s="52"/>
      <c r="P229" s="52"/>
      <c r="Q229" s="52"/>
      <c r="R229" s="52"/>
      <c r="S229" s="52"/>
    </row>
    <row r="230">
      <c r="F230" s="52"/>
      <c r="G230" s="52"/>
      <c r="H230" s="52"/>
      <c r="I230" s="80"/>
      <c r="J230" s="52"/>
      <c r="K230" s="52"/>
      <c r="L230" s="52"/>
      <c r="M230" s="52"/>
      <c r="N230" s="52"/>
      <c r="O230" s="52"/>
      <c r="P230" s="52"/>
      <c r="Q230" s="52"/>
      <c r="R230" s="52"/>
      <c r="S230" s="52"/>
    </row>
    <row r="231">
      <c r="F231" s="52"/>
      <c r="G231" s="52"/>
      <c r="H231" s="52"/>
      <c r="I231" s="80"/>
      <c r="J231" s="52"/>
      <c r="K231" s="52"/>
      <c r="L231" s="52"/>
      <c r="M231" s="52"/>
      <c r="N231" s="52"/>
      <c r="O231" s="52"/>
      <c r="P231" s="52"/>
      <c r="Q231" s="52"/>
      <c r="R231" s="52"/>
      <c r="S231" s="52"/>
    </row>
    <row r="232">
      <c r="F232" s="52"/>
      <c r="G232" s="52"/>
      <c r="H232" s="52"/>
      <c r="I232" s="80"/>
      <c r="J232" s="52"/>
      <c r="K232" s="52"/>
      <c r="L232" s="52"/>
      <c r="M232" s="52"/>
      <c r="N232" s="52"/>
      <c r="O232" s="52"/>
      <c r="P232" s="52"/>
      <c r="Q232" s="52"/>
      <c r="R232" s="52"/>
      <c r="S232" s="52"/>
    </row>
    <row r="233">
      <c r="F233" s="52"/>
      <c r="G233" s="52"/>
      <c r="H233" s="52"/>
      <c r="I233" s="80"/>
      <c r="J233" s="52"/>
      <c r="K233" s="52"/>
      <c r="L233" s="52"/>
      <c r="M233" s="52"/>
      <c r="N233" s="52"/>
      <c r="O233" s="52"/>
      <c r="P233" s="52"/>
      <c r="Q233" s="52"/>
      <c r="R233" s="52"/>
      <c r="S233" s="52"/>
    </row>
    <row r="234">
      <c r="F234" s="52"/>
      <c r="G234" s="52"/>
      <c r="H234" s="52"/>
      <c r="I234" s="80"/>
      <c r="J234" s="52"/>
      <c r="K234" s="52"/>
      <c r="L234" s="52"/>
      <c r="M234" s="52"/>
      <c r="N234" s="52"/>
      <c r="O234" s="52"/>
      <c r="P234" s="52"/>
      <c r="Q234" s="52"/>
      <c r="R234" s="52"/>
      <c r="S234" s="52"/>
    </row>
    <row r="235">
      <c r="F235" s="52"/>
      <c r="G235" s="52"/>
      <c r="H235" s="52"/>
      <c r="I235" s="80"/>
      <c r="J235" s="52"/>
      <c r="K235" s="52"/>
      <c r="L235" s="52"/>
      <c r="M235" s="52"/>
      <c r="N235" s="52"/>
      <c r="O235" s="52"/>
      <c r="P235" s="52"/>
      <c r="Q235" s="52"/>
      <c r="R235" s="52"/>
      <c r="S235" s="52"/>
    </row>
    <row r="236">
      <c r="F236" s="52"/>
      <c r="G236" s="52"/>
      <c r="H236" s="52"/>
      <c r="I236" s="80"/>
      <c r="J236" s="52"/>
      <c r="K236" s="52"/>
      <c r="L236" s="52"/>
      <c r="M236" s="52"/>
      <c r="N236" s="52"/>
      <c r="O236" s="52"/>
      <c r="P236" s="52"/>
      <c r="Q236" s="52"/>
      <c r="R236" s="52"/>
      <c r="S236" s="52"/>
    </row>
    <row r="237"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</row>
    <row r="238"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</row>
    <row r="392">
      <c r="A392" s="28"/>
      <c r="I392" s="28"/>
      <c r="K392" s="28"/>
      <c r="L392" s="28"/>
      <c r="M392" s="28"/>
      <c r="N392" s="28"/>
      <c r="O392" s="28"/>
      <c r="P392" s="28"/>
      <c r="Q392" s="28"/>
    </row>
    <row r="393">
      <c r="A393" s="28"/>
      <c r="I393" s="28"/>
      <c r="K393" s="28"/>
      <c r="L393" s="28"/>
      <c r="M393" s="28"/>
      <c r="N393" s="28"/>
      <c r="O393" s="28"/>
      <c r="P393" s="28"/>
      <c r="Q393" s="28"/>
    </row>
    <row r="394">
      <c r="A394" s="28"/>
      <c r="I394" s="28"/>
      <c r="K394" s="28"/>
      <c r="L394" s="28"/>
      <c r="M394" s="28"/>
      <c r="N394" s="28"/>
      <c r="O394" s="28"/>
      <c r="P394" s="28"/>
      <c r="Q394" s="28"/>
    </row>
    <row r="395">
      <c r="A395" s="28"/>
      <c r="I395" s="28"/>
      <c r="K395" s="28"/>
      <c r="L395" s="28"/>
      <c r="M395" s="28"/>
      <c r="N395" s="28"/>
      <c r="O395" s="28"/>
      <c r="P395" s="28"/>
      <c r="Q395" s="28"/>
    </row>
    <row r="396">
      <c r="A396" s="28"/>
      <c r="I396" s="28"/>
      <c r="K396" s="28"/>
      <c r="L396" s="28"/>
      <c r="M396" s="28"/>
      <c r="N396" s="28"/>
      <c r="O396" s="28"/>
      <c r="P396" s="28"/>
      <c r="Q396" s="28"/>
    </row>
    <row r="397">
      <c r="A397" s="28"/>
      <c r="I397" s="28"/>
      <c r="K397" s="28"/>
      <c r="L397" s="28"/>
      <c r="M397" s="28"/>
      <c r="N397" s="28"/>
      <c r="O397" s="28"/>
      <c r="P397" s="28"/>
      <c r="Q397" s="28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autoFilter ref="$A$1:$S$21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">
        <v>218</v>
      </c>
      <c r="C1" s="90" t="s">
        <v>219</v>
      </c>
      <c r="E1" s="91">
        <f>+2.4</f>
        <v>2.4</v>
      </c>
      <c r="F1" s="92">
        <v>99.6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</row>
    <row r="2">
      <c r="A2" s="93" t="s">
        <v>220</v>
      </c>
      <c r="B2" s="94" t="s">
        <v>221</v>
      </c>
      <c r="C2" s="93" t="s">
        <v>222</v>
      </c>
      <c r="D2" s="95" t="s">
        <v>223</v>
      </c>
      <c r="E2" s="96">
        <v>68.6</v>
      </c>
      <c r="F2" s="97">
        <f>+3.3</f>
        <v>3.3</v>
      </c>
      <c r="G2" s="96">
        <v>99.6</v>
      </c>
      <c r="R2" t="str">
        <f t="array" ref="R2:R1000">IF(ISNUMBER(SEARCH("PG", B2:B1000)), "PG", "")</f>
        <v/>
      </c>
      <c r="S2" s="14" t="str">
        <f t="array" ref="S2:S1000">IF(ISNUMBER(SEARCH("SG", B2:B1000)), "SG", "")</f>
        <v/>
      </c>
      <c r="T2" t="str">
        <f t="array" ref="T2:T1000">IF(ISNUMBER(SEARCH("SF", B2:B1000)), "SF", "")</f>
        <v/>
      </c>
      <c r="U2" s="14" t="str">
        <f t="array" ref="U2:U1000">IF(ISNUMBER(SEARCH("PF", B2:B1000)), "PF", "")</f>
        <v/>
      </c>
      <c r="V2" t="str">
        <f t="array" ref="V2:V1000">IF(ISNUMBER(SEARCH("C", B2:B1000)), "C", "")</f>
        <v/>
      </c>
      <c r="W2" t="str">
        <f t="shared" ref="W2:W500" si="1">R2&amp;S2&amp;T2&amp;U2&amp;V2</f>
        <v/>
      </c>
    </row>
    <row r="3">
      <c r="A3" s="98">
        <v>1.0</v>
      </c>
      <c r="B3" s="99" t="s">
        <v>226</v>
      </c>
      <c r="C3" s="100"/>
      <c r="D3" s="100"/>
      <c r="E3" s="92">
        <v>63.0</v>
      </c>
      <c r="F3" s="91">
        <f>+0.3</f>
        <v>0.3</v>
      </c>
      <c r="G3" s="92">
        <v>99.6</v>
      </c>
      <c r="O3" t="str">
        <f>IFERROR(__xludf.DUMMYFUNCTION("regexextract(B3,""[\w]* [\w]*"")"),"Nikola Jokic")</f>
        <v>Nikola Jokic</v>
      </c>
      <c r="P3" t="str">
        <f t="shared" ref="P3:P500" si="2">SUBSTITUTE(O3,"DTD","")</f>
        <v>Nikola Jokic</v>
      </c>
      <c r="Q3" t="str">
        <f t="shared" ref="Q3:Q500" si="3">IF(RIGHT(P3,1)="O", LEFT(P3, LEN(P3)-1),P3)</f>
        <v>Nikola Jokic</v>
      </c>
      <c r="R3" t="s">
        <v>227</v>
      </c>
      <c r="S3" s="14" t="s">
        <v>227</v>
      </c>
      <c r="T3" t="s">
        <v>227</v>
      </c>
      <c r="U3" t="s">
        <v>227</v>
      </c>
      <c r="V3" t="s">
        <v>37</v>
      </c>
      <c r="W3" t="str">
        <f t="shared" si="1"/>
        <v>C</v>
      </c>
    </row>
    <row r="4">
      <c r="A4" s="101">
        <v>2.0</v>
      </c>
      <c r="B4" s="102" t="s">
        <v>228</v>
      </c>
      <c r="C4" s="103"/>
      <c r="D4" s="104"/>
      <c r="E4" s="96">
        <v>66.6</v>
      </c>
      <c r="F4" s="97">
        <f>+1.8</f>
        <v>1.8</v>
      </c>
      <c r="G4" s="96">
        <v>99.6</v>
      </c>
      <c r="O4" t="str">
        <f>IFERROR(__xludf.DUMMYFUNCTION("regexextract(B4,""[\w]* [\w]*"")"),"Giannis AntetokounmpoDTD")</f>
        <v>Giannis AntetokounmpoDTD</v>
      </c>
      <c r="P4" t="str">
        <f t="shared" si="2"/>
        <v>Giannis Antetokounmpo</v>
      </c>
      <c r="Q4" t="str">
        <f t="shared" si="3"/>
        <v>Giannis Antetokounmp</v>
      </c>
      <c r="R4" t="s">
        <v>227</v>
      </c>
      <c r="S4" s="14" t="s">
        <v>227</v>
      </c>
      <c r="T4" t="s">
        <v>227</v>
      </c>
      <c r="U4" t="s">
        <v>36</v>
      </c>
      <c r="V4" t="s">
        <v>227</v>
      </c>
      <c r="W4" t="str">
        <f t="shared" si="1"/>
        <v>PF</v>
      </c>
    </row>
    <row r="5">
      <c r="A5" s="98">
        <v>3.0</v>
      </c>
      <c r="B5" s="99" t="s">
        <v>229</v>
      </c>
      <c r="C5" s="100"/>
      <c r="D5" s="100"/>
      <c r="E5" s="92">
        <v>62.3</v>
      </c>
      <c r="F5" s="91">
        <f>+0.2</f>
        <v>0.2</v>
      </c>
      <c r="G5" s="92">
        <v>99.6</v>
      </c>
      <c r="O5" t="str">
        <f>IFERROR(__xludf.DUMMYFUNCTION("regexextract(B5,""[\w]* [\w]*"")"),"Luka Doncic")</f>
        <v>Luka Doncic</v>
      </c>
      <c r="P5" t="str">
        <f t="shared" si="2"/>
        <v>Luka Doncic</v>
      </c>
      <c r="Q5" t="str">
        <f t="shared" si="3"/>
        <v>Luka Doncic</v>
      </c>
      <c r="R5" t="s">
        <v>33</v>
      </c>
      <c r="S5" s="14" t="s">
        <v>227</v>
      </c>
      <c r="T5" t="s">
        <v>227</v>
      </c>
      <c r="U5" t="s">
        <v>227</v>
      </c>
      <c r="V5" t="s">
        <v>37</v>
      </c>
      <c r="W5" t="str">
        <f t="shared" si="1"/>
        <v>PGC</v>
      </c>
    </row>
    <row r="6">
      <c r="A6" s="101">
        <v>4.0</v>
      </c>
      <c r="B6" s="102" t="s">
        <v>230</v>
      </c>
      <c r="C6" s="103"/>
      <c r="D6" s="103"/>
      <c r="E6" s="96">
        <v>61.8</v>
      </c>
      <c r="F6" s="97">
        <f>+0.3</f>
        <v>0.3</v>
      </c>
      <c r="G6" s="96">
        <v>99.6</v>
      </c>
      <c r="O6" t="str">
        <f>IFERROR(__xludf.DUMMYFUNCTION("regexextract(B6,""[\w]* [\w]*"")"),"James Harden")</f>
        <v>James Harden</v>
      </c>
      <c r="P6" t="str">
        <f t="shared" si="2"/>
        <v>James Harden</v>
      </c>
      <c r="Q6" t="str">
        <f t="shared" si="3"/>
        <v>James Harden</v>
      </c>
      <c r="R6" t="s">
        <v>33</v>
      </c>
      <c r="S6" s="14" t="s">
        <v>34</v>
      </c>
      <c r="T6" t="s">
        <v>227</v>
      </c>
      <c r="U6" t="s">
        <v>227</v>
      </c>
      <c r="V6" t="s">
        <v>227</v>
      </c>
      <c r="W6" t="str">
        <f t="shared" si="1"/>
        <v>PGSG</v>
      </c>
    </row>
    <row r="7">
      <c r="A7" s="98">
        <v>5.0</v>
      </c>
      <c r="B7" s="99" t="s">
        <v>231</v>
      </c>
      <c r="C7" s="100"/>
      <c r="D7" s="100"/>
      <c r="E7" s="92">
        <v>62.6</v>
      </c>
      <c r="F7" s="91">
        <f t="shared" ref="F7:F8" si="4">+0.8</f>
        <v>0.8</v>
      </c>
      <c r="G7" s="92">
        <v>99.5</v>
      </c>
      <c r="O7" t="str">
        <f>IFERROR(__xludf.DUMMYFUNCTION("regexextract(B7,""[\w]* [\w]*"")"),"Anthony Towns")</f>
        <v>Anthony Towns</v>
      </c>
      <c r="P7" t="str">
        <f t="shared" si="2"/>
        <v>Anthony Towns</v>
      </c>
      <c r="Q7" t="str">
        <f t="shared" si="3"/>
        <v>Anthony Towns</v>
      </c>
      <c r="R7" t="s">
        <v>227</v>
      </c>
      <c r="S7" s="14" t="s">
        <v>227</v>
      </c>
      <c r="T7" t="s">
        <v>227</v>
      </c>
      <c r="U7" t="s">
        <v>227</v>
      </c>
      <c r="V7" t="s">
        <v>37</v>
      </c>
      <c r="W7" t="str">
        <f t="shared" si="1"/>
        <v>C</v>
      </c>
    </row>
    <row r="8">
      <c r="A8" s="101">
        <v>6.0</v>
      </c>
      <c r="B8" s="102" t="s">
        <v>232</v>
      </c>
      <c r="C8" s="103"/>
      <c r="D8" s="104"/>
      <c r="E8" s="96">
        <v>51.1</v>
      </c>
      <c r="F8" s="97">
        <f t="shared" si="4"/>
        <v>0.8</v>
      </c>
      <c r="G8" s="96">
        <v>99.5</v>
      </c>
      <c r="O8" t="str">
        <f>IFERROR(__xludf.DUMMYFUNCTION("regexextract(B8,""[\w]* [\w]*"")"),"Bradley Beal")</f>
        <v>Bradley Beal</v>
      </c>
      <c r="P8" t="str">
        <f t="shared" si="2"/>
        <v>Bradley Beal</v>
      </c>
      <c r="Q8" t="str">
        <f t="shared" si="3"/>
        <v>Bradley Beal</v>
      </c>
      <c r="R8" t="s">
        <v>227</v>
      </c>
      <c r="S8" s="14" t="s">
        <v>34</v>
      </c>
      <c r="T8" t="s">
        <v>227</v>
      </c>
      <c r="U8" t="s">
        <v>227</v>
      </c>
      <c r="V8" t="s">
        <v>227</v>
      </c>
      <c r="W8" t="str">
        <f t="shared" si="1"/>
        <v>SG</v>
      </c>
    </row>
    <row r="9">
      <c r="A9" s="98">
        <v>7.0</v>
      </c>
      <c r="B9" s="99" t="s">
        <v>233</v>
      </c>
      <c r="C9" s="100"/>
      <c r="D9" s="100"/>
      <c r="E9" s="92">
        <v>49.3</v>
      </c>
      <c r="F9" s="91">
        <f>+0.1</f>
        <v>0.1</v>
      </c>
      <c r="G9" s="92">
        <v>99.2</v>
      </c>
      <c r="O9" t="str">
        <f>IFERROR(__xludf.DUMMYFUNCTION("regexextract(B9,""[\w]* [\w]*"")"),"Damian Lillard")</f>
        <v>Damian Lillard</v>
      </c>
      <c r="P9" t="str">
        <f t="shared" si="2"/>
        <v>Damian Lillard</v>
      </c>
      <c r="Q9" t="str">
        <f t="shared" si="3"/>
        <v>Damian Lillard</v>
      </c>
      <c r="R9" t="s">
        <v>33</v>
      </c>
      <c r="S9" s="14" t="s">
        <v>227</v>
      </c>
      <c r="T9" t="s">
        <v>227</v>
      </c>
      <c r="U9" t="s">
        <v>227</v>
      </c>
      <c r="V9" t="s">
        <v>227</v>
      </c>
      <c r="W9" t="str">
        <f t="shared" si="1"/>
        <v>PG</v>
      </c>
    </row>
    <row r="10">
      <c r="A10" s="101">
        <v>8.0</v>
      </c>
      <c r="B10" s="102" t="s">
        <v>234</v>
      </c>
      <c r="C10" s="103"/>
      <c r="D10" s="104"/>
      <c r="E10" s="96">
        <v>48.7</v>
      </c>
      <c r="F10" s="97">
        <f t="shared" ref="F10:F11" si="5">+0.4</f>
        <v>0.4</v>
      </c>
      <c r="G10" s="96">
        <v>99.6</v>
      </c>
      <c r="O10" t="str">
        <f>IFERROR(__xludf.DUMMYFUNCTION("regexextract(B10,""[\w]* [\w]*"")"),"Paul George")</f>
        <v>Paul George</v>
      </c>
      <c r="P10" t="str">
        <f t="shared" si="2"/>
        <v>Paul George</v>
      </c>
      <c r="Q10" t="str">
        <f t="shared" si="3"/>
        <v>Paul George</v>
      </c>
      <c r="R10" t="s">
        <v>227</v>
      </c>
      <c r="S10" s="14" t="s">
        <v>34</v>
      </c>
      <c r="T10" t="s">
        <v>35</v>
      </c>
      <c r="U10" t="s">
        <v>227</v>
      </c>
      <c r="V10" t="s">
        <v>37</v>
      </c>
      <c r="W10" t="str">
        <f t="shared" si="1"/>
        <v>SGSFC</v>
      </c>
    </row>
    <row r="11">
      <c r="A11" s="98">
        <v>9.0</v>
      </c>
      <c r="B11" s="99" t="s">
        <v>235</v>
      </c>
      <c r="C11" s="100"/>
      <c r="D11" s="105"/>
      <c r="E11" s="92">
        <v>47.4</v>
      </c>
      <c r="F11" s="91">
        <f t="shared" si="5"/>
        <v>0.4</v>
      </c>
      <c r="G11" s="92">
        <v>99.5</v>
      </c>
      <c r="O11" t="str">
        <f>IFERROR(__xludf.DUMMYFUNCTION("regexextract(B11,""[\w]* [\w]*"")"),"Stephen Curry")</f>
        <v>Stephen Curry</v>
      </c>
      <c r="P11" t="str">
        <f t="shared" si="2"/>
        <v>Stephen Curry</v>
      </c>
      <c r="Q11" t="str">
        <f t="shared" si="3"/>
        <v>Stephen Curry</v>
      </c>
      <c r="R11" t="s">
        <v>33</v>
      </c>
      <c r="S11" s="14" t="s">
        <v>227</v>
      </c>
      <c r="T11" t="s">
        <v>227</v>
      </c>
      <c r="U11" t="s">
        <v>227</v>
      </c>
      <c r="V11" t="s">
        <v>37</v>
      </c>
      <c r="W11" t="str">
        <f t="shared" si="1"/>
        <v>PGC</v>
      </c>
    </row>
    <row r="12">
      <c r="A12" s="101">
        <v>10.0</v>
      </c>
      <c r="B12" s="102" t="s">
        <v>236</v>
      </c>
      <c r="C12" s="103"/>
      <c r="D12" s="103"/>
      <c r="E12" s="96">
        <v>46.8</v>
      </c>
      <c r="F12" s="106">
        <v>-0.1</v>
      </c>
      <c r="G12" s="96">
        <v>99.0</v>
      </c>
      <c r="O12" t="str">
        <f>IFERROR(__xludf.DUMMYFUNCTION("regexextract(B12,""[\w]* [\w]*"")"),"Jayson Tatum")</f>
        <v>Jayson Tatum</v>
      </c>
      <c r="P12" t="str">
        <f t="shared" si="2"/>
        <v>Jayson Tatum</v>
      </c>
      <c r="Q12" t="str">
        <f t="shared" si="3"/>
        <v>Jayson Tatum</v>
      </c>
      <c r="R12" t="s">
        <v>227</v>
      </c>
      <c r="S12" s="14" t="s">
        <v>227</v>
      </c>
      <c r="T12" t="s">
        <v>35</v>
      </c>
      <c r="U12" t="s">
        <v>36</v>
      </c>
      <c r="V12" t="s">
        <v>227</v>
      </c>
      <c r="W12" t="str">
        <f t="shared" si="1"/>
        <v>SFPF</v>
      </c>
    </row>
    <row r="13">
      <c r="A13" s="98">
        <v>11.0</v>
      </c>
      <c r="B13" s="99" t="s">
        <v>237</v>
      </c>
      <c r="C13" s="100"/>
      <c r="D13" s="100"/>
      <c r="E13" s="92">
        <v>45.8</v>
      </c>
      <c r="F13" s="91">
        <f>+0.3</f>
        <v>0.3</v>
      </c>
      <c r="G13" s="92">
        <v>99.5</v>
      </c>
      <c r="O13" t="str">
        <f>IFERROR(__xludf.DUMMYFUNCTION("regexextract(B13,""[\w]* [\w]*"")"),"Kevin Durant")</f>
        <v>Kevin Durant</v>
      </c>
      <c r="P13" t="str">
        <f t="shared" si="2"/>
        <v>Kevin Durant</v>
      </c>
      <c r="Q13" t="str">
        <f t="shared" si="3"/>
        <v>Kevin Durant</v>
      </c>
      <c r="R13" t="s">
        <v>227</v>
      </c>
      <c r="S13" s="14" t="s">
        <v>227</v>
      </c>
      <c r="T13" t="s">
        <v>35</v>
      </c>
      <c r="U13" t="s">
        <v>36</v>
      </c>
      <c r="V13" t="s">
        <v>227</v>
      </c>
      <c r="W13" t="str">
        <f t="shared" si="1"/>
        <v>SFPF</v>
      </c>
    </row>
    <row r="14">
      <c r="A14" s="101">
        <v>12.0</v>
      </c>
      <c r="B14" s="102" t="s">
        <v>238</v>
      </c>
      <c r="C14" s="103"/>
      <c r="D14" s="103"/>
      <c r="E14" s="96">
        <v>45.9</v>
      </c>
      <c r="F14" s="97">
        <f>+0.5</f>
        <v>0.5</v>
      </c>
      <c r="G14" s="96">
        <v>99.5</v>
      </c>
      <c r="O14" t="str">
        <f>IFERROR(__xludf.DUMMYFUNCTION("regexextract(B14,""[\w]* [\w]*"")"),"Nikola Vucevic")</f>
        <v>Nikola Vucevic</v>
      </c>
      <c r="P14" t="str">
        <f t="shared" si="2"/>
        <v>Nikola Vucevic</v>
      </c>
      <c r="Q14" t="str">
        <f t="shared" si="3"/>
        <v>Nikola Vucevic</v>
      </c>
      <c r="R14" t="s">
        <v>227</v>
      </c>
      <c r="S14" s="14" t="s">
        <v>227</v>
      </c>
      <c r="T14" t="s">
        <v>227</v>
      </c>
      <c r="U14" t="s">
        <v>227</v>
      </c>
      <c r="V14" t="s">
        <v>37</v>
      </c>
      <c r="W14" t="str">
        <f t="shared" si="1"/>
        <v>C</v>
      </c>
    </row>
    <row r="15">
      <c r="A15" s="98">
        <v>13.0</v>
      </c>
      <c r="B15" s="99" t="s">
        <v>239</v>
      </c>
      <c r="C15" s="100"/>
      <c r="D15" s="105"/>
      <c r="E15" s="92">
        <v>45.4</v>
      </c>
      <c r="F15" s="107">
        <v>-0.6</v>
      </c>
      <c r="G15" s="92">
        <v>99.2</v>
      </c>
      <c r="O15" t="str">
        <f>IFERROR(__xludf.DUMMYFUNCTION("regexextract(B15,""[\w]* [\w]*"")"),"Zion WilliamsonO")</f>
        <v>Zion WilliamsonO</v>
      </c>
      <c r="P15" t="str">
        <f t="shared" si="2"/>
        <v>Zion WilliamsonO</v>
      </c>
      <c r="Q15" t="str">
        <f t="shared" si="3"/>
        <v>Zion Williamson</v>
      </c>
      <c r="R15" t="s">
        <v>227</v>
      </c>
      <c r="S15" s="14" t="s">
        <v>227</v>
      </c>
      <c r="T15" t="s">
        <v>227</v>
      </c>
      <c r="U15" t="s">
        <v>36</v>
      </c>
      <c r="V15" t="s">
        <v>227</v>
      </c>
      <c r="W15" t="str">
        <f t="shared" si="1"/>
        <v>PF</v>
      </c>
    </row>
    <row r="16">
      <c r="A16" s="101">
        <v>14.0</v>
      </c>
      <c r="B16" s="102" t="s">
        <v>240</v>
      </c>
      <c r="C16" s="103"/>
      <c r="D16" s="103"/>
      <c r="E16" s="96">
        <v>31.9</v>
      </c>
      <c r="F16" s="106">
        <v>-2.8</v>
      </c>
      <c r="G16" s="96">
        <v>99.5</v>
      </c>
      <c r="O16" t="str">
        <f>IFERROR(__xludf.DUMMYFUNCTION("regexextract(B16,""[\w]* [\w]*"")"),"Aaron Fox")</f>
        <v>Aaron Fox</v>
      </c>
      <c r="P16" t="str">
        <f t="shared" si="2"/>
        <v>Aaron Fox</v>
      </c>
      <c r="Q16" t="str">
        <f t="shared" si="3"/>
        <v>Aaron Fox</v>
      </c>
      <c r="R16" t="s">
        <v>33</v>
      </c>
      <c r="S16" s="14" t="s">
        <v>227</v>
      </c>
      <c r="T16" t="s">
        <v>227</v>
      </c>
      <c r="U16" t="s">
        <v>227</v>
      </c>
      <c r="V16" t="s">
        <v>37</v>
      </c>
      <c r="W16" t="str">
        <f t="shared" si="1"/>
        <v>PGC</v>
      </c>
    </row>
    <row r="17">
      <c r="A17" s="98">
        <v>15.0</v>
      </c>
      <c r="B17" s="99" t="s">
        <v>241</v>
      </c>
      <c r="C17" s="100"/>
      <c r="D17" s="105"/>
      <c r="E17" s="92">
        <v>39.1</v>
      </c>
      <c r="F17" s="91">
        <f>+0.4</f>
        <v>0.4</v>
      </c>
      <c r="G17" s="92">
        <v>99.4</v>
      </c>
      <c r="O17" t="str">
        <f>IFERROR(__xludf.DUMMYFUNCTION("regexextract(B17,""[\w]* [\w]*"")"),"Joel Embiid")</f>
        <v>Joel Embiid</v>
      </c>
      <c r="P17" t="str">
        <f t="shared" si="2"/>
        <v>Joel Embiid</v>
      </c>
      <c r="Q17" t="str">
        <f t="shared" si="3"/>
        <v>Joel Embiid</v>
      </c>
      <c r="R17" t="s">
        <v>227</v>
      </c>
      <c r="S17" s="14" t="s">
        <v>227</v>
      </c>
      <c r="T17" t="s">
        <v>227</v>
      </c>
      <c r="U17" t="s">
        <v>227</v>
      </c>
      <c r="V17" t="s">
        <v>37</v>
      </c>
      <c r="W17" t="str">
        <f t="shared" si="1"/>
        <v>C</v>
      </c>
    </row>
    <row r="18">
      <c r="A18" s="101">
        <v>16.0</v>
      </c>
      <c r="B18" s="102" t="s">
        <v>242</v>
      </c>
      <c r="C18" s="103"/>
      <c r="D18" s="103"/>
      <c r="E18" s="96">
        <v>32.9</v>
      </c>
      <c r="F18" s="106">
        <v>-1.0</v>
      </c>
      <c r="G18" s="96">
        <v>99.4</v>
      </c>
      <c r="O18" t="str">
        <f>IFERROR(__xludf.DUMMYFUNCTION("regexextract(B18,""[\w]* [\w]*"")"),"LeBron JamesO")</f>
        <v>LeBron JamesO</v>
      </c>
      <c r="P18" t="str">
        <f t="shared" si="2"/>
        <v>LeBron JamesO</v>
      </c>
      <c r="Q18" t="str">
        <f t="shared" si="3"/>
        <v>LeBron James</v>
      </c>
      <c r="R18" t="s">
        <v>33</v>
      </c>
      <c r="S18" s="14" t="s">
        <v>227</v>
      </c>
      <c r="T18" t="s">
        <v>35</v>
      </c>
      <c r="U18" t="s">
        <v>36</v>
      </c>
      <c r="V18" t="s">
        <v>227</v>
      </c>
      <c r="W18" t="str">
        <f t="shared" si="1"/>
        <v>PGSFPF</v>
      </c>
    </row>
    <row r="19">
      <c r="A19" s="98">
        <v>17.0</v>
      </c>
      <c r="B19" s="99" t="s">
        <v>243</v>
      </c>
      <c r="C19" s="100"/>
      <c r="D19" s="100"/>
      <c r="E19" s="92">
        <v>40.2</v>
      </c>
      <c r="F19" s="107">
        <v>-0.8</v>
      </c>
      <c r="G19" s="92">
        <v>98.9</v>
      </c>
      <c r="O19" t="str">
        <f>IFERROR(__xludf.DUMMYFUNCTION("regexextract(B19,""[\w]* [\w]*"")"),"Trae Young")</f>
        <v>Trae Young</v>
      </c>
      <c r="P19" t="str">
        <f t="shared" si="2"/>
        <v>Trae Young</v>
      </c>
      <c r="Q19" t="str">
        <f t="shared" si="3"/>
        <v>Trae Young</v>
      </c>
      <c r="R19" t="s">
        <v>33</v>
      </c>
      <c r="S19" s="14" t="s">
        <v>227</v>
      </c>
      <c r="T19" t="s">
        <v>227</v>
      </c>
      <c r="U19" t="s">
        <v>227</v>
      </c>
      <c r="V19" t="s">
        <v>227</v>
      </c>
      <c r="W19" t="str">
        <f t="shared" si="1"/>
        <v>PG</v>
      </c>
    </row>
    <row r="20">
      <c r="A20" s="101">
        <v>18.0</v>
      </c>
      <c r="B20" s="102" t="s">
        <v>244</v>
      </c>
      <c r="C20" s="103"/>
      <c r="D20" s="104"/>
      <c r="E20" s="96">
        <v>30.4</v>
      </c>
      <c r="F20" s="106">
        <v>-0.1</v>
      </c>
      <c r="G20" s="96">
        <v>99.5</v>
      </c>
      <c r="O20" t="str">
        <f>IFERROR(__xludf.DUMMYFUNCTION("regexextract(B20,""[\w]* [\w]*"")"),"Fred VanVleet")</f>
        <v>Fred VanVleet</v>
      </c>
      <c r="P20" t="str">
        <f t="shared" si="2"/>
        <v>Fred VanVleet</v>
      </c>
      <c r="Q20" t="str">
        <f t="shared" si="3"/>
        <v>Fred VanVleet</v>
      </c>
      <c r="R20" t="s">
        <v>33</v>
      </c>
      <c r="S20" s="14" t="s">
        <v>34</v>
      </c>
      <c r="T20" t="s">
        <v>227</v>
      </c>
      <c r="U20" t="s">
        <v>227</v>
      </c>
      <c r="V20" t="s">
        <v>227</v>
      </c>
      <c r="W20" t="str">
        <f t="shared" si="1"/>
        <v>PGSG</v>
      </c>
    </row>
    <row r="21">
      <c r="A21" s="98">
        <v>19.0</v>
      </c>
      <c r="B21" s="99" t="s">
        <v>245</v>
      </c>
      <c r="C21" s="100"/>
      <c r="D21" s="105"/>
      <c r="E21" s="92">
        <v>33.7</v>
      </c>
      <c r="F21" s="91">
        <f>+0.3</f>
        <v>0.3</v>
      </c>
      <c r="G21" s="92">
        <v>98.2</v>
      </c>
      <c r="O21" t="str">
        <f>IFERROR(__xludf.DUMMYFUNCTION("regexextract(B21,""[\w]* [\w]*"")"),"Donovan Mitchell")</f>
        <v>Donovan Mitchell</v>
      </c>
      <c r="P21" t="str">
        <f t="shared" si="2"/>
        <v>Donovan Mitchell</v>
      </c>
      <c r="Q21" t="str">
        <f t="shared" si="3"/>
        <v>Donovan Mitchell</v>
      </c>
      <c r="R21" t="s">
        <v>33</v>
      </c>
      <c r="S21" s="14" t="s">
        <v>34</v>
      </c>
      <c r="T21" t="s">
        <v>227</v>
      </c>
      <c r="U21" t="s">
        <v>227</v>
      </c>
      <c r="V21" t="s">
        <v>37</v>
      </c>
      <c r="W21" t="str">
        <f t="shared" si="1"/>
        <v>PGSGC</v>
      </c>
    </row>
    <row r="22">
      <c r="A22" s="101">
        <v>20.0</v>
      </c>
      <c r="B22" s="102" t="s">
        <v>246</v>
      </c>
      <c r="C22" s="103"/>
      <c r="D22" s="104"/>
      <c r="E22" s="96">
        <v>38.6</v>
      </c>
      <c r="F22" s="106">
        <v>-0.6</v>
      </c>
      <c r="G22" s="96">
        <v>97.8</v>
      </c>
      <c r="O22" t="str">
        <f>IFERROR(__xludf.DUMMYFUNCTION("regexextract(B22,""[\w]* [\w]*"")"),"Domantas Sabonis")</f>
        <v>Domantas Sabonis</v>
      </c>
      <c r="P22" t="str">
        <f t="shared" si="2"/>
        <v>Domantas Sabonis</v>
      </c>
      <c r="Q22" t="str">
        <f t="shared" si="3"/>
        <v>Domantas Sabonis</v>
      </c>
      <c r="R22" t="s">
        <v>227</v>
      </c>
      <c r="S22" s="14" t="s">
        <v>227</v>
      </c>
      <c r="T22" t="s">
        <v>227</v>
      </c>
      <c r="U22" t="s">
        <v>36</v>
      </c>
      <c r="V22" t="s">
        <v>227</v>
      </c>
      <c r="W22" t="str">
        <f t="shared" si="1"/>
        <v>PF</v>
      </c>
    </row>
    <row r="23">
      <c r="A23" s="98">
        <v>21.0</v>
      </c>
      <c r="B23" s="99" t="s">
        <v>247</v>
      </c>
      <c r="C23" s="100"/>
      <c r="D23" s="105"/>
      <c r="E23" s="92">
        <v>27.8</v>
      </c>
      <c r="F23" s="107">
        <v>-0.5</v>
      </c>
      <c r="G23" s="92">
        <v>99.4</v>
      </c>
      <c r="O23" t="str">
        <f>IFERROR(__xludf.DUMMYFUNCTION("regexextract(B23,""[\w]* [\w]*"")"),"Anthony Davis")</f>
        <v>Anthony Davis</v>
      </c>
      <c r="P23" t="str">
        <f t="shared" si="2"/>
        <v>Anthony Davis</v>
      </c>
      <c r="Q23" t="str">
        <f t="shared" si="3"/>
        <v>Anthony Davis</v>
      </c>
      <c r="R23" t="s">
        <v>227</v>
      </c>
      <c r="S23" s="14" t="s">
        <v>227</v>
      </c>
      <c r="T23" t="s">
        <v>227</v>
      </c>
      <c r="U23" t="s">
        <v>36</v>
      </c>
      <c r="V23" t="s">
        <v>227</v>
      </c>
      <c r="W23" t="str">
        <f t="shared" si="1"/>
        <v>PF</v>
      </c>
    </row>
    <row r="24">
      <c r="A24" s="101">
        <v>22.0</v>
      </c>
      <c r="B24" s="102" t="s">
        <v>248</v>
      </c>
      <c r="C24" s="103"/>
      <c r="D24" s="103"/>
      <c r="E24" s="96">
        <v>36.0</v>
      </c>
      <c r="F24" s="106">
        <v>-0.6</v>
      </c>
      <c r="G24" s="96">
        <v>98.2</v>
      </c>
      <c r="O24" t="str">
        <f>IFERROR(__xludf.DUMMYFUNCTION("regexextract(B24,""[\w]* [\w]*"")"),"Julius Randle")</f>
        <v>Julius Randle</v>
      </c>
      <c r="P24" t="str">
        <f t="shared" si="2"/>
        <v>Julius Randle</v>
      </c>
      <c r="Q24" t="str">
        <f t="shared" si="3"/>
        <v>Julius Randle</v>
      </c>
      <c r="R24" t="s">
        <v>227</v>
      </c>
      <c r="S24" s="14" t="s">
        <v>227</v>
      </c>
      <c r="T24" t="s">
        <v>227</v>
      </c>
      <c r="U24" t="s">
        <v>36</v>
      </c>
      <c r="V24" t="s">
        <v>227</v>
      </c>
      <c r="W24" t="str">
        <f t="shared" si="1"/>
        <v>PF</v>
      </c>
    </row>
    <row r="25">
      <c r="A25" s="98">
        <v>23.0</v>
      </c>
      <c r="B25" s="99" t="s">
        <v>249</v>
      </c>
      <c r="C25" s="100"/>
      <c r="D25" s="100"/>
      <c r="E25" s="92">
        <v>33.8</v>
      </c>
      <c r="F25" s="107">
        <v>-0.4</v>
      </c>
      <c r="G25" s="92">
        <v>98.9</v>
      </c>
      <c r="O25" t="str">
        <f>IFERROR(__xludf.DUMMYFUNCTION("regexextract(B25,""[\w]* [\w]*"")"),"Rudy Gobert")</f>
        <v>Rudy Gobert</v>
      </c>
      <c r="P25" t="str">
        <f t="shared" si="2"/>
        <v>Rudy Gobert</v>
      </c>
      <c r="Q25" t="str">
        <f t="shared" si="3"/>
        <v>Rudy Gobert</v>
      </c>
      <c r="R25" t="s">
        <v>227</v>
      </c>
      <c r="S25" s="14" t="s">
        <v>227</v>
      </c>
      <c r="T25" t="s">
        <v>227</v>
      </c>
      <c r="U25" t="s">
        <v>227</v>
      </c>
      <c r="V25" t="s">
        <v>37</v>
      </c>
      <c r="W25" t="str">
        <f t="shared" si="1"/>
        <v>C</v>
      </c>
    </row>
    <row r="26">
      <c r="A26" s="101">
        <v>24.0</v>
      </c>
      <c r="B26" s="102" t="s">
        <v>250</v>
      </c>
      <c r="C26" s="103"/>
      <c r="D26" s="103"/>
      <c r="E26" s="96">
        <v>25.6</v>
      </c>
      <c r="F26" s="106">
        <v>-0.8</v>
      </c>
      <c r="G26" s="96">
        <v>99.3</v>
      </c>
      <c r="O26" t="str">
        <f>IFERROR(__xludf.DUMMYFUNCTION("regexextract(B26,""[\w]* [\w]*"")"),"LaMelo Ball")</f>
        <v>LaMelo Ball</v>
      </c>
      <c r="P26" t="str">
        <f t="shared" si="2"/>
        <v>LaMelo Ball</v>
      </c>
      <c r="Q26" t="str">
        <f t="shared" si="3"/>
        <v>LaMelo Ball</v>
      </c>
      <c r="R26" t="s">
        <v>33</v>
      </c>
      <c r="S26" s="14" t="s">
        <v>227</v>
      </c>
      <c r="T26" t="s">
        <v>227</v>
      </c>
      <c r="U26" t="s">
        <v>227</v>
      </c>
      <c r="V26" t="s">
        <v>37</v>
      </c>
      <c r="W26" t="str">
        <f t="shared" si="1"/>
        <v>PGC</v>
      </c>
    </row>
    <row r="27">
      <c r="A27" s="98">
        <v>25.0</v>
      </c>
      <c r="B27" s="99" t="s">
        <v>251</v>
      </c>
      <c r="C27" s="100"/>
      <c r="D27" s="100"/>
      <c r="E27" s="92">
        <v>34.8</v>
      </c>
      <c r="F27" s="92">
        <v>0.0</v>
      </c>
      <c r="G27" s="92">
        <v>97.7</v>
      </c>
      <c r="O27" t="str">
        <f>IFERROR(__xludf.DUMMYFUNCTION("regexextract(B27,""[\w]* [\w]*"")"),"Jimmy Butler")</f>
        <v>Jimmy Butler</v>
      </c>
      <c r="P27" t="str">
        <f t="shared" si="2"/>
        <v>Jimmy Butler</v>
      </c>
      <c r="Q27" t="str">
        <f t="shared" si="3"/>
        <v>Jimmy Butler</v>
      </c>
      <c r="R27" t="s">
        <v>227</v>
      </c>
      <c r="S27" s="14" t="s">
        <v>34</v>
      </c>
      <c r="T27" t="s">
        <v>35</v>
      </c>
      <c r="U27" t="s">
        <v>227</v>
      </c>
      <c r="V27" t="s">
        <v>227</v>
      </c>
      <c r="W27" t="str">
        <f t="shared" si="1"/>
        <v>SGSF</v>
      </c>
    </row>
    <row r="28">
      <c r="A28" s="101">
        <v>26.0</v>
      </c>
      <c r="B28" s="102" t="s">
        <v>252</v>
      </c>
      <c r="C28" s="103"/>
      <c r="D28" s="104"/>
      <c r="E28" s="96">
        <v>28.0</v>
      </c>
      <c r="F28" s="106">
        <v>-0.1</v>
      </c>
      <c r="G28" s="96">
        <v>98.2</v>
      </c>
      <c r="O28" t="str">
        <f>IFERROR(__xludf.DUMMYFUNCTION("regexextract(B28,""[\w]* [\w]*"")"),"Shai Gilgeous")</f>
        <v>Shai Gilgeous</v>
      </c>
      <c r="P28" t="str">
        <f t="shared" si="2"/>
        <v>Shai Gilgeous</v>
      </c>
      <c r="Q28" t="str">
        <f t="shared" si="3"/>
        <v>Shai Gilgeous</v>
      </c>
      <c r="R28" t="s">
        <v>33</v>
      </c>
      <c r="S28" s="14" t="s">
        <v>34</v>
      </c>
      <c r="T28" t="s">
        <v>227</v>
      </c>
      <c r="U28" t="s">
        <v>227</v>
      </c>
      <c r="V28" t="s">
        <v>37</v>
      </c>
      <c r="W28" t="str">
        <f t="shared" si="1"/>
        <v>PGSGC</v>
      </c>
    </row>
    <row r="29">
      <c r="A29" s="98">
        <v>27.0</v>
      </c>
      <c r="B29" s="99" t="s">
        <v>253</v>
      </c>
      <c r="C29" s="100"/>
      <c r="D29" s="100"/>
      <c r="E29" s="92">
        <v>18.9</v>
      </c>
      <c r="F29" s="91">
        <f>+0.7</f>
        <v>0.7</v>
      </c>
      <c r="G29" s="92">
        <v>97.9</v>
      </c>
      <c r="O29" t="str">
        <f>IFERROR(__xludf.DUMMYFUNCTION("regexextract(B29,""[\w]* [\w]*"")"),"Dejounte Murray")</f>
        <v>Dejounte Murray</v>
      </c>
      <c r="P29" t="str">
        <f t="shared" si="2"/>
        <v>Dejounte Murray</v>
      </c>
      <c r="Q29" t="str">
        <f t="shared" si="3"/>
        <v>Dejounte Murray</v>
      </c>
      <c r="R29" t="s">
        <v>33</v>
      </c>
      <c r="S29" s="14" t="s">
        <v>34</v>
      </c>
      <c r="T29" t="s">
        <v>227</v>
      </c>
      <c r="U29" t="s">
        <v>227</v>
      </c>
      <c r="V29" t="s">
        <v>227</v>
      </c>
      <c r="W29" t="str">
        <f t="shared" si="1"/>
        <v>PGSG</v>
      </c>
    </row>
    <row r="30">
      <c r="A30" s="101">
        <v>28.0</v>
      </c>
      <c r="B30" s="102" t="s">
        <v>254</v>
      </c>
      <c r="C30" s="103"/>
      <c r="D30" s="104"/>
      <c r="E30" s="96">
        <v>19.0</v>
      </c>
      <c r="F30" s="106">
        <v>-0.5</v>
      </c>
      <c r="G30" s="96">
        <v>99.2</v>
      </c>
      <c r="O30" t="str">
        <f>IFERROR(__xludf.DUMMYFUNCTION("regexextract(B30,""[\w]* [\w]*"")"),"Bam Adebayo")</f>
        <v>Bam Adebayo</v>
      </c>
      <c r="P30" t="str">
        <f t="shared" si="2"/>
        <v>Bam Adebayo</v>
      </c>
      <c r="Q30" t="str">
        <f t="shared" si="3"/>
        <v>Bam Adebay</v>
      </c>
      <c r="R30" t="s">
        <v>227</v>
      </c>
      <c r="S30" s="14" t="s">
        <v>227</v>
      </c>
      <c r="T30" t="s">
        <v>227</v>
      </c>
      <c r="U30" t="s">
        <v>36</v>
      </c>
      <c r="V30" t="s">
        <v>37</v>
      </c>
      <c r="W30" t="str">
        <f t="shared" si="1"/>
        <v>PFC</v>
      </c>
    </row>
    <row r="31">
      <c r="A31" s="98">
        <v>29.0</v>
      </c>
      <c r="B31" s="99" t="s">
        <v>255</v>
      </c>
      <c r="C31" s="100"/>
      <c r="D31" s="100"/>
      <c r="E31" s="92">
        <v>18.7</v>
      </c>
      <c r="F31" s="107">
        <v>-0.4</v>
      </c>
      <c r="G31" s="92">
        <v>98.5</v>
      </c>
      <c r="O31" t="str">
        <f>IFERROR(__xludf.DUMMYFUNCTION("regexextract(B31,""[\w]* [\w]*"")"),"Jrue Holiday")</f>
        <v>Jrue Holiday</v>
      </c>
      <c r="P31" t="str">
        <f t="shared" si="2"/>
        <v>Jrue Holiday</v>
      </c>
      <c r="Q31" t="str">
        <f t="shared" si="3"/>
        <v>Jrue Holiday</v>
      </c>
      <c r="R31" t="s">
        <v>33</v>
      </c>
      <c r="S31" s="14" t="s">
        <v>34</v>
      </c>
      <c r="T31" t="s">
        <v>227</v>
      </c>
      <c r="U31" t="s">
        <v>227</v>
      </c>
      <c r="V31" t="s">
        <v>227</v>
      </c>
      <c r="W31" t="str">
        <f t="shared" si="1"/>
        <v>PGSG</v>
      </c>
    </row>
    <row r="32">
      <c r="A32" s="101">
        <v>30.0</v>
      </c>
      <c r="B32" s="102" t="s">
        <v>256</v>
      </c>
      <c r="C32" s="103"/>
      <c r="D32" s="104"/>
      <c r="E32" s="96">
        <v>21.3</v>
      </c>
      <c r="F32" s="97">
        <f>+0.2</f>
        <v>0.2</v>
      </c>
      <c r="G32" s="96">
        <v>95.1</v>
      </c>
      <c r="O32" t="str">
        <f>IFERROR(__xludf.DUMMYFUNCTION("regexextract(B32,""[\w]* [\w]*"")"),"Ben Simmons")</f>
        <v>Ben Simmons</v>
      </c>
      <c r="P32" t="str">
        <f t="shared" si="2"/>
        <v>Ben Simmons</v>
      </c>
      <c r="Q32" t="str">
        <f t="shared" si="3"/>
        <v>Ben Simmons</v>
      </c>
      <c r="R32" t="s">
        <v>33</v>
      </c>
      <c r="S32" s="14" t="s">
        <v>227</v>
      </c>
      <c r="T32" t="s">
        <v>227</v>
      </c>
      <c r="U32" t="s">
        <v>227</v>
      </c>
      <c r="V32" t="s">
        <v>227</v>
      </c>
      <c r="W32" t="str">
        <f t="shared" si="1"/>
        <v>PG</v>
      </c>
    </row>
    <row r="33">
      <c r="A33" s="98">
        <v>31.0</v>
      </c>
      <c r="B33" s="99" t="s">
        <v>257</v>
      </c>
      <c r="C33" s="100"/>
      <c r="D33" s="100"/>
      <c r="E33" s="92">
        <v>18.6</v>
      </c>
      <c r="F33" s="107">
        <v>-0.6</v>
      </c>
      <c r="G33" s="92">
        <v>99.0</v>
      </c>
      <c r="O33" t="str">
        <f>IFERROR(__xludf.DUMMYFUNCTION("regexextract(B33,""[\w]* [\w]*"")"),"Kyrie Irving")</f>
        <v>Kyrie Irving</v>
      </c>
      <c r="P33" t="str">
        <f t="shared" si="2"/>
        <v>Kyrie Irving</v>
      </c>
      <c r="Q33" t="str">
        <f t="shared" si="3"/>
        <v>Kyrie Irving</v>
      </c>
      <c r="R33" t="s">
        <v>33</v>
      </c>
      <c r="S33" s="14" t="s">
        <v>34</v>
      </c>
      <c r="T33" t="s">
        <v>227</v>
      </c>
      <c r="U33" t="s">
        <v>227</v>
      </c>
      <c r="V33" t="s">
        <v>227</v>
      </c>
      <c r="W33" t="str">
        <f t="shared" si="1"/>
        <v>PGSG</v>
      </c>
    </row>
    <row r="34">
      <c r="A34" s="101">
        <v>32.0</v>
      </c>
      <c r="B34" s="102" t="s">
        <v>258</v>
      </c>
      <c r="C34" s="103"/>
      <c r="D34" s="104"/>
      <c r="E34" s="96">
        <v>19.0</v>
      </c>
      <c r="F34" s="97">
        <f>+0.4</f>
        <v>0.4</v>
      </c>
      <c r="G34" s="96">
        <v>98.4</v>
      </c>
      <c r="O34" t="str">
        <f>IFERROR(__xludf.DUMMYFUNCTION("regexextract(B34,""[\w]* [\w]*"")"),"Michael Porter")</f>
        <v>Michael Porter</v>
      </c>
      <c r="P34" t="str">
        <f t="shared" si="2"/>
        <v>Michael Porter</v>
      </c>
      <c r="Q34" t="str">
        <f t="shared" si="3"/>
        <v>Michael Porter</v>
      </c>
      <c r="R34" t="s">
        <v>227</v>
      </c>
      <c r="S34" s="14" t="s">
        <v>227</v>
      </c>
      <c r="T34" t="s">
        <v>35</v>
      </c>
      <c r="U34" t="s">
        <v>36</v>
      </c>
      <c r="V34" t="s">
        <v>37</v>
      </c>
      <c r="W34" t="str">
        <f t="shared" si="1"/>
        <v>SFPFC</v>
      </c>
    </row>
    <row r="35">
      <c r="A35" s="98">
        <v>33.0</v>
      </c>
      <c r="B35" s="99" t="s">
        <v>259</v>
      </c>
      <c r="C35" s="100"/>
      <c r="D35" s="105"/>
      <c r="E35" s="92">
        <v>21.6</v>
      </c>
      <c r="F35" s="91">
        <f>+0.1</f>
        <v>0.1</v>
      </c>
      <c r="G35" s="92">
        <v>96.7</v>
      </c>
      <c r="O35" t="str">
        <f>IFERROR(__xludf.DUMMYFUNCTION("regexextract(B35,""[\w]* [\w]*"")"),"Chris PaulDTD")</f>
        <v>Chris PaulDTD</v>
      </c>
      <c r="P35" t="str">
        <f t="shared" si="2"/>
        <v>Chris Paul</v>
      </c>
      <c r="Q35" t="str">
        <f t="shared" si="3"/>
        <v>Chris Paul</v>
      </c>
      <c r="R35" t="s">
        <v>33</v>
      </c>
      <c r="S35" s="14" t="s">
        <v>227</v>
      </c>
      <c r="T35" t="s">
        <v>227</v>
      </c>
      <c r="U35" t="s">
        <v>227</v>
      </c>
      <c r="V35" t="s">
        <v>37</v>
      </c>
      <c r="W35" t="str">
        <f t="shared" si="1"/>
        <v>PGC</v>
      </c>
    </row>
    <row r="36">
      <c r="A36" s="101">
        <v>34.0</v>
      </c>
      <c r="B36" s="102" t="s">
        <v>260</v>
      </c>
      <c r="C36" s="103"/>
      <c r="D36" s="104"/>
      <c r="E36" s="96">
        <v>21.1</v>
      </c>
      <c r="F36" s="97">
        <f>+0.5</f>
        <v>0.5</v>
      </c>
      <c r="G36" s="96">
        <v>98.5</v>
      </c>
      <c r="O36" t="str">
        <f>IFERROR(__xludf.DUMMYFUNCTION("regexextract(B36,""[\w]* [\w]*"")"),"Russell WestbrookO")</f>
        <v>Russell WestbrookO</v>
      </c>
      <c r="P36" t="str">
        <f t="shared" si="2"/>
        <v>Russell WestbrookO</v>
      </c>
      <c r="Q36" t="str">
        <f t="shared" si="3"/>
        <v>Russell Westbrook</v>
      </c>
      <c r="R36" t="s">
        <v>33</v>
      </c>
      <c r="S36" s="14" t="s">
        <v>227</v>
      </c>
      <c r="T36" t="s">
        <v>227</v>
      </c>
      <c r="U36" t="s">
        <v>227</v>
      </c>
      <c r="V36" t="s">
        <v>227</v>
      </c>
      <c r="W36" t="str">
        <f t="shared" si="1"/>
        <v>PG</v>
      </c>
    </row>
    <row r="37">
      <c r="A37" s="98">
        <v>35.0</v>
      </c>
      <c r="B37" s="99" t="s">
        <v>261</v>
      </c>
      <c r="C37" s="100"/>
      <c r="D37" s="105"/>
      <c r="E37" s="92">
        <v>17.9</v>
      </c>
      <c r="F37" s="107">
        <v>-0.2</v>
      </c>
      <c r="G37" s="92">
        <v>96.5</v>
      </c>
      <c r="O37" t="str">
        <f>IFERROR(__xludf.DUMMYFUNCTION("regexextract(B37,""[\w]* [\w]*"")"),"Clint CapelaDTD")</f>
        <v>Clint CapelaDTD</v>
      </c>
      <c r="P37" t="str">
        <f t="shared" si="2"/>
        <v>Clint Capela</v>
      </c>
      <c r="Q37" t="str">
        <f t="shared" si="3"/>
        <v>Clint Capela</v>
      </c>
      <c r="R37" t="s">
        <v>227</v>
      </c>
      <c r="S37" s="14" t="s">
        <v>227</v>
      </c>
      <c r="T37" t="s">
        <v>227</v>
      </c>
      <c r="U37" t="s">
        <v>227</v>
      </c>
      <c r="V37" t="s">
        <v>37</v>
      </c>
      <c r="W37" t="str">
        <f t="shared" si="1"/>
        <v>C</v>
      </c>
    </row>
    <row r="38">
      <c r="A38" s="101">
        <v>36.0</v>
      </c>
      <c r="B38" s="102" t="s">
        <v>262</v>
      </c>
      <c r="C38" s="103"/>
      <c r="D38" s="103"/>
      <c r="E38" s="96">
        <v>19.8</v>
      </c>
      <c r="F38" s="97">
        <f>+0.1</f>
        <v>0.1</v>
      </c>
      <c r="G38" s="96">
        <v>91.5</v>
      </c>
      <c r="O38" t="str">
        <f>IFERROR(__xludf.DUMMYFUNCTION("regexextract(B38,""[\w]* [\w]*"")"),"Deandre Ayton")</f>
        <v>Deandre Ayton</v>
      </c>
      <c r="P38" t="str">
        <f t="shared" si="2"/>
        <v>Deandre Ayton</v>
      </c>
      <c r="Q38" t="str">
        <f t="shared" si="3"/>
        <v>Deandre Ayton</v>
      </c>
      <c r="R38" t="s">
        <v>227</v>
      </c>
      <c r="S38" s="14" t="s">
        <v>227</v>
      </c>
      <c r="T38" t="s">
        <v>227</v>
      </c>
      <c r="U38" t="s">
        <v>227</v>
      </c>
      <c r="V38" t="s">
        <v>37</v>
      </c>
      <c r="W38" t="str">
        <f t="shared" si="1"/>
        <v>C</v>
      </c>
    </row>
    <row r="39">
      <c r="A39" s="98">
        <v>37.0</v>
      </c>
      <c r="B39" s="99" t="s">
        <v>263</v>
      </c>
      <c r="C39" s="100"/>
      <c r="D39" s="100"/>
      <c r="E39" s="92">
        <v>23.0</v>
      </c>
      <c r="F39" s="107">
        <v>-0.6</v>
      </c>
      <c r="G39" s="92">
        <v>85.7</v>
      </c>
      <c r="O39" t="str">
        <f>IFERROR(__xludf.DUMMYFUNCTION("regexextract(B39,""[\w]* [\w]*"")"),"Tobias Harris")</f>
        <v>Tobias Harris</v>
      </c>
      <c r="P39" t="str">
        <f t="shared" si="2"/>
        <v>Tobias Harris</v>
      </c>
      <c r="Q39" t="str">
        <f t="shared" si="3"/>
        <v>Tobias Harris</v>
      </c>
      <c r="R39" t="s">
        <v>227</v>
      </c>
      <c r="S39" s="14" t="s">
        <v>227</v>
      </c>
      <c r="T39" t="s">
        <v>35</v>
      </c>
      <c r="U39" t="s">
        <v>36</v>
      </c>
      <c r="V39" t="s">
        <v>227</v>
      </c>
      <c r="W39" t="str">
        <f t="shared" si="1"/>
        <v>SFPF</v>
      </c>
    </row>
    <row r="40">
      <c r="A40" s="101">
        <v>38.0</v>
      </c>
      <c r="B40" s="102" t="s">
        <v>264</v>
      </c>
      <c r="C40" s="103"/>
      <c r="D40" s="103"/>
      <c r="E40" s="96">
        <v>14.4</v>
      </c>
      <c r="F40" s="106">
        <v>-0.5</v>
      </c>
      <c r="G40" s="96">
        <v>98.7</v>
      </c>
      <c r="O40" t="str">
        <f>IFERROR(__xludf.DUMMYFUNCTION("regexextract(B40,""[\w]* [\w]*"")"),"Devin Booker")</f>
        <v>Devin Booker</v>
      </c>
      <c r="P40" t="str">
        <f t="shared" si="2"/>
        <v>Devin Booker</v>
      </c>
      <c r="Q40" t="str">
        <f t="shared" si="3"/>
        <v>Devin Booker</v>
      </c>
      <c r="R40" t="s">
        <v>33</v>
      </c>
      <c r="S40" s="14" t="s">
        <v>34</v>
      </c>
      <c r="T40" t="s">
        <v>227</v>
      </c>
      <c r="U40" t="s">
        <v>227</v>
      </c>
      <c r="V40" t="s">
        <v>227</v>
      </c>
      <c r="W40" t="str">
        <f t="shared" si="1"/>
        <v>PGSG</v>
      </c>
    </row>
    <row r="41">
      <c r="A41" s="98">
        <v>39.0</v>
      </c>
      <c r="B41" s="99" t="s">
        <v>265</v>
      </c>
      <c r="C41" s="100"/>
      <c r="D41" s="105"/>
      <c r="E41" s="92">
        <v>16.3</v>
      </c>
      <c r="F41" s="107">
        <v>-0.4</v>
      </c>
      <c r="G41" s="92">
        <v>65.2</v>
      </c>
      <c r="O41" t="str">
        <f>IFERROR(__xludf.DUMMYFUNCTION("regexextract(B41,""[\w]* [\w]*"")"),"Khris Middleton")</f>
        <v>Khris Middleton</v>
      </c>
      <c r="P41" t="str">
        <f t="shared" si="2"/>
        <v>Khris Middleton</v>
      </c>
      <c r="Q41" t="str">
        <f t="shared" si="3"/>
        <v>Khris Middleton</v>
      </c>
      <c r="R41" t="s">
        <v>227</v>
      </c>
      <c r="S41" s="14" t="s">
        <v>34</v>
      </c>
      <c r="T41" t="s">
        <v>35</v>
      </c>
      <c r="U41" t="s">
        <v>227</v>
      </c>
      <c r="V41" t="s">
        <v>227</v>
      </c>
      <c r="W41" t="str">
        <f t="shared" si="1"/>
        <v>SGSF</v>
      </c>
    </row>
    <row r="42">
      <c r="A42" s="101">
        <v>40.0</v>
      </c>
      <c r="B42" s="102" t="s">
        <v>266</v>
      </c>
      <c r="C42" s="103"/>
      <c r="D42" s="104"/>
      <c r="E42" s="96">
        <v>12.6</v>
      </c>
      <c r="F42" s="97">
        <f t="shared" ref="F42:F43" si="6">+0.7</f>
        <v>0.7</v>
      </c>
      <c r="G42" s="96">
        <v>91.6</v>
      </c>
      <c r="O42" t="str">
        <f>IFERROR(__xludf.DUMMYFUNCTION("regexextract(B42,""[\w]* [\w]*"")"),"Christian Wood")</f>
        <v>Christian Wood</v>
      </c>
      <c r="P42" t="str">
        <f t="shared" si="2"/>
        <v>Christian Wood</v>
      </c>
      <c r="Q42" t="str">
        <f t="shared" si="3"/>
        <v>Christian Wood</v>
      </c>
      <c r="R42" t="s">
        <v>227</v>
      </c>
      <c r="S42" s="14" t="s">
        <v>227</v>
      </c>
      <c r="T42" t="s">
        <v>227</v>
      </c>
      <c r="U42" t="s">
        <v>36</v>
      </c>
      <c r="V42" t="s">
        <v>37</v>
      </c>
      <c r="W42" t="str">
        <f t="shared" si="1"/>
        <v>PFC</v>
      </c>
    </row>
    <row r="43">
      <c r="A43" s="98">
        <v>41.0</v>
      </c>
      <c r="B43" s="99" t="s">
        <v>267</v>
      </c>
      <c r="C43" s="100"/>
      <c r="D43" s="105"/>
      <c r="E43" s="92">
        <v>10.6</v>
      </c>
      <c r="F43" s="91">
        <f t="shared" si="6"/>
        <v>0.7</v>
      </c>
      <c r="G43" s="92">
        <v>96.1</v>
      </c>
      <c r="O43" t="str">
        <f>IFERROR(__xludf.DUMMYFUNCTION("regexextract(B43,""[\w]* [\w]*"")"),"Jaylen Brown")</f>
        <v>Jaylen Brown</v>
      </c>
      <c r="P43" t="str">
        <f t="shared" si="2"/>
        <v>Jaylen Brown</v>
      </c>
      <c r="Q43" t="str">
        <f t="shared" si="3"/>
        <v>Jaylen Brown</v>
      </c>
      <c r="R43" t="s">
        <v>227</v>
      </c>
      <c r="S43" s="14" t="s">
        <v>34</v>
      </c>
      <c r="T43" t="s">
        <v>35</v>
      </c>
      <c r="U43" t="s">
        <v>227</v>
      </c>
      <c r="V43" t="s">
        <v>227</v>
      </c>
      <c r="W43" t="str">
        <f t="shared" si="1"/>
        <v>SGSF</v>
      </c>
    </row>
    <row r="44">
      <c r="A44" s="101">
        <v>42.0</v>
      </c>
      <c r="B44" s="102" t="s">
        <v>268</v>
      </c>
      <c r="C44" s="103"/>
      <c r="D44" s="104"/>
      <c r="E44" s="96">
        <v>10.5</v>
      </c>
      <c r="F44" s="97">
        <f>+0.1</f>
        <v>0.1</v>
      </c>
      <c r="G44" s="96">
        <v>97.0</v>
      </c>
      <c r="O44" t="str">
        <f>IFERROR(__xludf.DUMMYFUNCTION("regexextract(B44,""[\w]* [\w]*"")"),"Lonzo Ball")</f>
        <v>Lonzo Ball</v>
      </c>
      <c r="P44" t="str">
        <f t="shared" si="2"/>
        <v>Lonzo Ball</v>
      </c>
      <c r="Q44" t="str">
        <f t="shared" si="3"/>
        <v>Lonzo Ball</v>
      </c>
      <c r="R44" t="s">
        <v>33</v>
      </c>
      <c r="S44" s="14" t="s">
        <v>227</v>
      </c>
      <c r="T44" t="s">
        <v>227</v>
      </c>
      <c r="U44" t="s">
        <v>227</v>
      </c>
      <c r="V44" t="s">
        <v>37</v>
      </c>
      <c r="W44" t="str">
        <f t="shared" si="1"/>
        <v>PGC</v>
      </c>
    </row>
    <row r="45">
      <c r="A45" s="98">
        <v>43.0</v>
      </c>
      <c r="B45" s="99" t="s">
        <v>269</v>
      </c>
      <c r="C45" s="100"/>
      <c r="D45" s="100"/>
      <c r="E45" s="92">
        <v>11.9</v>
      </c>
      <c r="F45" s="107">
        <v>-0.2</v>
      </c>
      <c r="G45" s="92">
        <v>94.2</v>
      </c>
      <c r="O45" t="str">
        <f>IFERROR(__xludf.DUMMYFUNCTION("regexextract(B45,""[\w]* [\w]*"")"),"Zach LaVine")</f>
        <v>Zach LaVine</v>
      </c>
      <c r="P45" t="str">
        <f t="shared" si="2"/>
        <v>Zach LaVine</v>
      </c>
      <c r="Q45" t="str">
        <f t="shared" si="3"/>
        <v>Zach LaVine</v>
      </c>
      <c r="R45" t="s">
        <v>227</v>
      </c>
      <c r="S45" s="14" t="s">
        <v>34</v>
      </c>
      <c r="T45" t="s">
        <v>227</v>
      </c>
      <c r="U45" t="s">
        <v>227</v>
      </c>
      <c r="V45" t="s">
        <v>37</v>
      </c>
      <c r="W45" t="str">
        <f t="shared" si="1"/>
        <v>SGC</v>
      </c>
    </row>
    <row r="46">
      <c r="A46" s="101">
        <v>44.0</v>
      </c>
      <c r="B46" s="102" t="s">
        <v>270</v>
      </c>
      <c r="C46" s="103"/>
      <c r="D46" s="104"/>
      <c r="E46" s="96">
        <v>9.7</v>
      </c>
      <c r="F46" s="106">
        <v>-0.2</v>
      </c>
      <c r="G46" s="96">
        <v>91.4</v>
      </c>
      <c r="O46" t="str">
        <f>IFERROR(__xludf.DUMMYFUNCTION("regexextract(B46,""[\w]* [\w]*"")"),"Ja Morant")</f>
        <v>Ja Morant</v>
      </c>
      <c r="P46" t="str">
        <f t="shared" si="2"/>
        <v>Ja Morant</v>
      </c>
      <c r="Q46" t="str">
        <f t="shared" si="3"/>
        <v>Ja Morant</v>
      </c>
      <c r="R46" t="s">
        <v>33</v>
      </c>
      <c r="S46" s="14" t="s">
        <v>227</v>
      </c>
      <c r="T46" t="s">
        <v>227</v>
      </c>
      <c r="U46" t="s">
        <v>227</v>
      </c>
      <c r="V46" t="s">
        <v>227</v>
      </c>
      <c r="W46" t="str">
        <f t="shared" si="1"/>
        <v>PG</v>
      </c>
    </row>
    <row r="47">
      <c r="A47" s="98">
        <v>45.0</v>
      </c>
      <c r="B47" s="99" t="s">
        <v>271</v>
      </c>
      <c r="C47" s="100"/>
      <c r="D47" s="100"/>
      <c r="E47" s="92">
        <v>13.3</v>
      </c>
      <c r="F47" s="107">
        <v>-0.4</v>
      </c>
      <c r="G47" s="92">
        <v>93.0</v>
      </c>
      <c r="O47" t="str">
        <f>IFERROR(__xludf.DUMMYFUNCTION("regexextract(B47,""[\w]* [\w]*"")"),"Brandon Ingram")</f>
        <v>Brandon Ingram</v>
      </c>
      <c r="P47" t="str">
        <f t="shared" si="2"/>
        <v>Brandon Ingram</v>
      </c>
      <c r="Q47" t="str">
        <f t="shared" si="3"/>
        <v>Brandon Ingram</v>
      </c>
      <c r="R47" t="s">
        <v>227</v>
      </c>
      <c r="S47" s="14" t="s">
        <v>227</v>
      </c>
      <c r="T47" t="s">
        <v>35</v>
      </c>
      <c r="U47" t="s">
        <v>36</v>
      </c>
      <c r="V47" t="s">
        <v>227</v>
      </c>
      <c r="W47" t="str">
        <f t="shared" si="1"/>
        <v>SFPF</v>
      </c>
    </row>
    <row r="48">
      <c r="A48" s="101">
        <v>46.0</v>
      </c>
      <c r="B48" s="102" t="s">
        <v>272</v>
      </c>
      <c r="C48" s="103"/>
      <c r="D48" s="103"/>
      <c r="E48" s="96">
        <v>13.8</v>
      </c>
      <c r="F48" s="106">
        <v>-0.1</v>
      </c>
      <c r="G48" s="96">
        <v>85.0</v>
      </c>
      <c r="O48" t="str">
        <f>IFERROR(__xludf.DUMMYFUNCTION("regexextract(B48,""[\w]* [\w]*"")"),"Caris LeVertO")</f>
        <v>Caris LeVertO</v>
      </c>
      <c r="P48" t="str">
        <f t="shared" si="2"/>
        <v>Caris LeVertO</v>
      </c>
      <c r="Q48" t="str">
        <f t="shared" si="3"/>
        <v>Caris LeVert</v>
      </c>
      <c r="R48" t="s">
        <v>227</v>
      </c>
      <c r="S48" s="14" t="s">
        <v>34</v>
      </c>
      <c r="T48" t="s">
        <v>35</v>
      </c>
      <c r="U48" t="s">
        <v>227</v>
      </c>
      <c r="V48" t="s">
        <v>37</v>
      </c>
      <c r="W48" t="str">
        <f t="shared" si="1"/>
        <v>SGSFC</v>
      </c>
    </row>
    <row r="49">
      <c r="A49" s="98">
        <v>47.0</v>
      </c>
      <c r="B49" s="99" t="s">
        <v>273</v>
      </c>
      <c r="C49" s="100"/>
      <c r="D49" s="105"/>
      <c r="E49" s="92">
        <v>9.1</v>
      </c>
      <c r="F49" s="91">
        <f>+0.3</f>
        <v>0.3</v>
      </c>
      <c r="G49" s="92">
        <v>93.2</v>
      </c>
      <c r="O49" t="str">
        <f>IFERROR(__xludf.DUMMYFUNCTION("regexextract(B49,""[\w]* [\w]*"")"),"CJ McCollum")</f>
        <v>CJ McCollum</v>
      </c>
      <c r="P49" t="str">
        <f t="shared" si="2"/>
        <v>CJ McCollum</v>
      </c>
      <c r="Q49" t="str">
        <f t="shared" si="3"/>
        <v>CJ McCollum</v>
      </c>
      <c r="R49" t="s">
        <v>227</v>
      </c>
      <c r="S49" s="14" t="s">
        <v>34</v>
      </c>
      <c r="T49" t="s">
        <v>227</v>
      </c>
      <c r="U49" t="s">
        <v>227</v>
      </c>
      <c r="V49" t="s">
        <v>37</v>
      </c>
      <c r="W49" t="str">
        <f t="shared" si="1"/>
        <v>SGC</v>
      </c>
    </row>
    <row r="50">
      <c r="A50" s="101">
        <v>48.0</v>
      </c>
      <c r="B50" s="102" t="s">
        <v>274</v>
      </c>
      <c r="C50" s="104"/>
      <c r="D50" s="104"/>
      <c r="O50" t="str">
        <f>IFERROR(__xludf.DUMMYFUNCTION("regexextract(B50,""[\w]* [\w]*"")"),"DeMar DeRozan")</f>
        <v>DeMar DeRozan</v>
      </c>
      <c r="P50" t="str">
        <f t="shared" si="2"/>
        <v>DeMar DeRozan</v>
      </c>
      <c r="Q50" t="str">
        <f t="shared" si="3"/>
        <v>DeMar DeRozan</v>
      </c>
      <c r="R50" t="s">
        <v>227</v>
      </c>
      <c r="S50" s="14" t="s">
        <v>34</v>
      </c>
      <c r="T50" t="s">
        <v>35</v>
      </c>
      <c r="U50" t="s">
        <v>227</v>
      </c>
      <c r="V50" t="s">
        <v>37</v>
      </c>
      <c r="W50" t="str">
        <f t="shared" si="1"/>
        <v>SGSFC</v>
      </c>
    </row>
    <row r="51">
      <c r="A51" s="98">
        <v>49.0</v>
      </c>
      <c r="B51" s="99" t="s">
        <v>275</v>
      </c>
      <c r="C51" s="100"/>
      <c r="D51" s="105"/>
      <c r="E51" s="92">
        <v>10.0</v>
      </c>
      <c r="F51" s="91">
        <f>+0.1</f>
        <v>0.1</v>
      </c>
      <c r="G51" s="92">
        <v>91.7</v>
      </c>
      <c r="O51" t="str">
        <f>IFERROR(__xludf.DUMMYFUNCTION("regexextract(B51,""[\w]* [\w]*"")"),"Collin Sexton")</f>
        <v>Collin Sexton</v>
      </c>
      <c r="P51" t="str">
        <f t="shared" si="2"/>
        <v>Collin Sexton</v>
      </c>
      <c r="Q51" t="str">
        <f t="shared" si="3"/>
        <v>Collin Sexton</v>
      </c>
      <c r="R51" t="s">
        <v>33</v>
      </c>
      <c r="S51" s="14" t="s">
        <v>34</v>
      </c>
      <c r="T51" t="s">
        <v>227</v>
      </c>
      <c r="U51" t="s">
        <v>227</v>
      </c>
      <c r="V51" t="s">
        <v>37</v>
      </c>
      <c r="W51" t="str">
        <f t="shared" si="1"/>
        <v>PGSGC</v>
      </c>
    </row>
    <row r="52">
      <c r="A52" s="101">
        <v>50.0</v>
      </c>
      <c r="B52" s="102" t="s">
        <v>276</v>
      </c>
      <c r="C52" s="103"/>
      <c r="D52" s="104"/>
      <c r="E52" s="96">
        <v>9.6</v>
      </c>
      <c r="F52" s="106">
        <v>-0.2</v>
      </c>
      <c r="G52" s="96">
        <v>93.6</v>
      </c>
      <c r="O52" t="str">
        <f>IFERROR(__xludf.DUMMYFUNCTION("regexextract(B52,""[\w]* [\w]*"")"),"Montrezl Harrell")</f>
        <v>Montrezl Harrell</v>
      </c>
      <c r="P52" t="str">
        <f t="shared" si="2"/>
        <v>Montrezl Harrell</v>
      </c>
      <c r="Q52" t="str">
        <f t="shared" si="3"/>
        <v>Montrezl Harrell</v>
      </c>
      <c r="R52" t="s">
        <v>227</v>
      </c>
      <c r="S52" s="14" t="s">
        <v>227</v>
      </c>
      <c r="T52" t="s">
        <v>227</v>
      </c>
      <c r="U52" t="s">
        <v>36</v>
      </c>
      <c r="V52" t="s">
        <v>37</v>
      </c>
      <c r="W52" t="str">
        <f t="shared" si="1"/>
        <v>PFC</v>
      </c>
    </row>
    <row r="53">
      <c r="A53" s="90" t="s">
        <v>218</v>
      </c>
      <c r="C53" s="90" t="s">
        <v>219</v>
      </c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t="str">
        <f>IFERROR(__xludf.DUMMYFUNCTION("regexextract(B53,""[\w]* [\w]*"")"),"#N/A")</f>
        <v>#N/A</v>
      </c>
      <c r="P53" t="str">
        <f t="shared" si="2"/>
        <v>#N/A</v>
      </c>
      <c r="Q53" t="str">
        <f t="shared" si="3"/>
        <v>#N/A</v>
      </c>
      <c r="R53" t="s">
        <v>227</v>
      </c>
      <c r="S53" s="14" t="s">
        <v>227</v>
      </c>
      <c r="T53" t="s">
        <v>227</v>
      </c>
      <c r="U53" t="s">
        <v>227</v>
      </c>
      <c r="V53" t="s">
        <v>227</v>
      </c>
      <c r="W53" t="str">
        <f t="shared" si="1"/>
        <v/>
      </c>
    </row>
    <row r="54">
      <c r="A54" s="93" t="s">
        <v>220</v>
      </c>
      <c r="B54" s="94" t="s">
        <v>221</v>
      </c>
      <c r="C54" s="93" t="s">
        <v>222</v>
      </c>
      <c r="D54" s="95" t="s">
        <v>223</v>
      </c>
      <c r="E54" s="109"/>
      <c r="F54" s="110"/>
      <c r="G54" s="109"/>
      <c r="H54" s="109"/>
      <c r="I54" s="109"/>
      <c r="J54" s="109"/>
      <c r="K54" s="109"/>
      <c r="L54" s="109"/>
      <c r="M54" s="109"/>
      <c r="N54" s="111"/>
      <c r="O54" t="str">
        <f>IFERROR(__xludf.DUMMYFUNCTION("regexextract(B54,""[\w]* [\w]*"")"),"#N/A")</f>
        <v>#N/A</v>
      </c>
      <c r="P54" t="str">
        <f t="shared" si="2"/>
        <v>#N/A</v>
      </c>
      <c r="Q54" t="str">
        <f t="shared" si="3"/>
        <v>#N/A</v>
      </c>
      <c r="R54" t="s">
        <v>227</v>
      </c>
      <c r="S54" s="14" t="s">
        <v>227</v>
      </c>
      <c r="T54" t="s">
        <v>227</v>
      </c>
      <c r="U54" t="s">
        <v>227</v>
      </c>
      <c r="V54" t="s">
        <v>227</v>
      </c>
      <c r="W54" t="str">
        <f t="shared" si="1"/>
        <v/>
      </c>
    </row>
    <row r="55">
      <c r="A55" s="98">
        <v>51.0</v>
      </c>
      <c r="B55" s="99" t="s">
        <v>277</v>
      </c>
      <c r="C55" s="100"/>
      <c r="D55" s="100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t="str">
        <f>IFERROR(__xludf.DUMMYFUNCTION("regexextract(B55,""[\w]* [\w]*"")"),"Terry Rozier")</f>
        <v>Terry Rozier</v>
      </c>
      <c r="P55" t="str">
        <f t="shared" si="2"/>
        <v>Terry Rozier</v>
      </c>
      <c r="Q55" t="str">
        <f t="shared" si="3"/>
        <v>Terry Rozier</v>
      </c>
      <c r="R55" t="s">
        <v>33</v>
      </c>
      <c r="S55" s="14" t="s">
        <v>34</v>
      </c>
      <c r="T55" t="s">
        <v>227</v>
      </c>
      <c r="U55" t="s">
        <v>227</v>
      </c>
      <c r="V55" t="s">
        <v>37</v>
      </c>
      <c r="W55" t="str">
        <f t="shared" si="1"/>
        <v>PGSGC</v>
      </c>
    </row>
    <row r="56">
      <c r="A56" s="101">
        <v>52.0</v>
      </c>
      <c r="B56" s="102" t="s">
        <v>278</v>
      </c>
      <c r="C56" s="103"/>
      <c r="D56" s="10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t="str">
        <f>IFERROR(__xludf.DUMMYFUNCTION("regexextract(B56,""[\w]* [\w]*"")"),"Jusuf Nurkic")</f>
        <v>Jusuf Nurkic</v>
      </c>
      <c r="P56" t="str">
        <f t="shared" si="2"/>
        <v>Jusuf Nurkic</v>
      </c>
      <c r="Q56" t="str">
        <f t="shared" si="3"/>
        <v>Jusuf Nurkic</v>
      </c>
      <c r="R56" t="s">
        <v>227</v>
      </c>
      <c r="S56" s="14" t="s">
        <v>227</v>
      </c>
      <c r="T56" t="s">
        <v>227</v>
      </c>
      <c r="U56" t="s">
        <v>227</v>
      </c>
      <c r="V56" t="s">
        <v>37</v>
      </c>
      <c r="W56" t="str">
        <f t="shared" si="1"/>
        <v>C</v>
      </c>
    </row>
    <row r="57">
      <c r="A57" s="98">
        <v>53.0</v>
      </c>
      <c r="B57" s="99" t="s">
        <v>279</v>
      </c>
      <c r="C57" s="100"/>
      <c r="D57" s="100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t="str">
        <f>IFERROR(__xludf.DUMMYFUNCTION("regexextract(B57,""[\w]* [\w]*"")"),"Pascal SiakamO")</f>
        <v>Pascal SiakamO</v>
      </c>
      <c r="P57" t="str">
        <f t="shared" si="2"/>
        <v>Pascal SiakamO</v>
      </c>
      <c r="Q57" t="str">
        <f t="shared" si="3"/>
        <v>Pascal Siakam</v>
      </c>
      <c r="R57" t="s">
        <v>227</v>
      </c>
      <c r="S57" s="14" t="s">
        <v>227</v>
      </c>
      <c r="T57" t="s">
        <v>227</v>
      </c>
      <c r="U57" t="s">
        <v>36</v>
      </c>
      <c r="V57" t="s">
        <v>37</v>
      </c>
      <c r="W57" t="str">
        <f t="shared" si="1"/>
        <v>PFC</v>
      </c>
    </row>
    <row r="58">
      <c r="A58" s="101">
        <v>54.0</v>
      </c>
      <c r="B58" s="102" t="s">
        <v>280</v>
      </c>
      <c r="C58" s="103"/>
      <c r="D58" s="10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t="str">
        <f>IFERROR(__xludf.DUMMYFUNCTION("regexextract(B58,""[\w]* [\w]*"")"),"Draymond Green")</f>
        <v>Draymond Green</v>
      </c>
      <c r="P58" t="str">
        <f t="shared" si="2"/>
        <v>Draymond Green</v>
      </c>
      <c r="Q58" t="str">
        <f t="shared" si="3"/>
        <v>Draymond Green</v>
      </c>
      <c r="R58" t="s">
        <v>227</v>
      </c>
      <c r="S58" s="14" t="s">
        <v>227</v>
      </c>
      <c r="T58" t="s">
        <v>227</v>
      </c>
      <c r="U58" t="s">
        <v>36</v>
      </c>
      <c r="V58" t="s">
        <v>227</v>
      </c>
      <c r="W58" t="str">
        <f t="shared" si="1"/>
        <v>PF</v>
      </c>
    </row>
    <row r="59">
      <c r="A59" s="98">
        <v>55.0</v>
      </c>
      <c r="B59" s="99" t="s">
        <v>281</v>
      </c>
      <c r="C59" s="100"/>
      <c r="D59" s="100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t="str">
        <f>IFERROR(__xludf.DUMMYFUNCTION("regexextract(B59,""[\w]* [\w]*"")"),"Jakob Poeltl")</f>
        <v>Jakob Poeltl</v>
      </c>
      <c r="P59" t="str">
        <f t="shared" si="2"/>
        <v>Jakob Poeltl</v>
      </c>
      <c r="Q59" t="str">
        <f t="shared" si="3"/>
        <v>Jakob Poeltl</v>
      </c>
      <c r="R59" t="s">
        <v>227</v>
      </c>
      <c r="S59" s="14" t="s">
        <v>227</v>
      </c>
      <c r="T59" t="s">
        <v>227</v>
      </c>
      <c r="U59" t="s">
        <v>227</v>
      </c>
      <c r="V59" t="s">
        <v>37</v>
      </c>
      <c r="W59" t="str">
        <f t="shared" si="1"/>
        <v>C</v>
      </c>
    </row>
    <row r="60">
      <c r="A60" s="101">
        <v>56.0</v>
      </c>
      <c r="B60" s="102" t="s">
        <v>282</v>
      </c>
      <c r="C60" s="103"/>
      <c r="D60" s="10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t="str">
        <f>IFERROR(__xludf.DUMMYFUNCTION("regexextract(B60,""[\w]* [\w]*"")"),"Anthony Edwards")</f>
        <v>Anthony Edwards</v>
      </c>
      <c r="P60" t="str">
        <f t="shared" si="2"/>
        <v>Anthony Edwards</v>
      </c>
      <c r="Q60" t="str">
        <f t="shared" si="3"/>
        <v>Anthony Edwards</v>
      </c>
      <c r="R60" t="s">
        <v>227</v>
      </c>
      <c r="S60" s="14" t="s">
        <v>34</v>
      </c>
      <c r="T60" t="s">
        <v>35</v>
      </c>
      <c r="U60" t="s">
        <v>227</v>
      </c>
      <c r="V60" t="s">
        <v>227</v>
      </c>
      <c r="W60" t="str">
        <f t="shared" si="1"/>
        <v>SGSF</v>
      </c>
    </row>
    <row r="61">
      <c r="A61" s="98">
        <v>57.0</v>
      </c>
      <c r="B61" s="99" t="s">
        <v>283</v>
      </c>
      <c r="C61" s="100"/>
      <c r="D61" s="100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t="str">
        <f>IFERROR(__xludf.DUMMYFUNCTION("regexextract(B61,""[\w]* [\w]*"")"),"Robert Williams")</f>
        <v>Robert Williams</v>
      </c>
      <c r="P61" t="str">
        <f t="shared" si="2"/>
        <v>Robert Williams</v>
      </c>
      <c r="Q61" t="str">
        <f t="shared" si="3"/>
        <v>Robert Williams</v>
      </c>
      <c r="R61" t="s">
        <v>227</v>
      </c>
      <c r="S61" s="14" t="s">
        <v>227</v>
      </c>
      <c r="T61" t="s">
        <v>227</v>
      </c>
      <c r="U61" t="s">
        <v>36</v>
      </c>
      <c r="V61" t="s">
        <v>37</v>
      </c>
      <c r="W61" t="str">
        <f t="shared" si="1"/>
        <v>PFC</v>
      </c>
    </row>
    <row r="62">
      <c r="A62" s="101">
        <v>58.0</v>
      </c>
      <c r="B62" s="102" t="s">
        <v>284</v>
      </c>
      <c r="C62" s="103"/>
      <c r="D62" s="103"/>
      <c r="E62" s="113"/>
      <c r="F62" s="113"/>
      <c r="G62" s="113"/>
      <c r="H62" s="113"/>
      <c r="I62" s="113"/>
      <c r="J62" s="113"/>
      <c r="K62" s="113"/>
      <c r="L62" s="113"/>
      <c r="M62" s="113"/>
      <c r="N62" s="114"/>
      <c r="O62" t="str">
        <f>IFERROR(__xludf.DUMMYFUNCTION("regexextract(B62,""[\w]* [\w]*"")"),"Tyrese Haliburton")</f>
        <v>Tyrese Haliburton</v>
      </c>
      <c r="P62" t="str">
        <f t="shared" si="2"/>
        <v>Tyrese Haliburton</v>
      </c>
      <c r="Q62" t="str">
        <f t="shared" si="3"/>
        <v>Tyrese Haliburton</v>
      </c>
      <c r="R62" t="s">
        <v>33</v>
      </c>
      <c r="S62" s="14" t="s">
        <v>34</v>
      </c>
      <c r="T62" t="s">
        <v>227</v>
      </c>
      <c r="U62" t="s">
        <v>227</v>
      </c>
      <c r="V62" t="s">
        <v>37</v>
      </c>
      <c r="W62" t="str">
        <f t="shared" si="1"/>
        <v>PGSGC</v>
      </c>
    </row>
    <row r="63">
      <c r="A63" s="98">
        <v>59.0</v>
      </c>
      <c r="B63" s="99" t="s">
        <v>285</v>
      </c>
      <c r="C63" s="100"/>
      <c r="D63" s="100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t="str">
        <f>IFERROR(__xludf.DUMMYFUNCTION("regexextract(B63,""[\w]* [\w]*"")"),"Kyle Lowry")</f>
        <v>Kyle Lowry</v>
      </c>
      <c r="P63" t="str">
        <f t="shared" si="2"/>
        <v>Kyle Lowry</v>
      </c>
      <c r="Q63" t="str">
        <f t="shared" si="3"/>
        <v>Kyle Lowry</v>
      </c>
      <c r="R63" t="s">
        <v>33</v>
      </c>
      <c r="S63" s="14" t="s">
        <v>227</v>
      </c>
      <c r="T63" t="s">
        <v>227</v>
      </c>
      <c r="U63" t="s">
        <v>227</v>
      </c>
      <c r="V63" t="s">
        <v>227</v>
      </c>
      <c r="W63" t="str">
        <f t="shared" si="1"/>
        <v>PG</v>
      </c>
    </row>
    <row r="64">
      <c r="A64" s="101">
        <v>60.0</v>
      </c>
      <c r="B64" s="102" t="s">
        <v>286</v>
      </c>
      <c r="C64" s="103"/>
      <c r="D64" s="10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t="str">
        <f>IFERROR(__xludf.DUMMYFUNCTION("regexextract(B64,""[\w]* [\w]*"")"),"Jalen Suggs")</f>
        <v>Jalen Suggs</v>
      </c>
      <c r="P64" t="str">
        <f t="shared" si="2"/>
        <v>Jalen Suggs</v>
      </c>
      <c r="Q64" t="str">
        <f t="shared" si="3"/>
        <v>Jalen Suggs</v>
      </c>
      <c r="R64" t="s">
        <v>33</v>
      </c>
      <c r="S64" s="14" t="s">
        <v>34</v>
      </c>
      <c r="T64" t="s">
        <v>227</v>
      </c>
      <c r="U64" t="s">
        <v>227</v>
      </c>
      <c r="V64" t="s">
        <v>227</v>
      </c>
      <c r="W64" t="str">
        <f t="shared" si="1"/>
        <v>PGSG</v>
      </c>
    </row>
    <row r="65">
      <c r="A65" s="98">
        <v>61.0</v>
      </c>
      <c r="B65" s="99" t="s">
        <v>287</v>
      </c>
      <c r="C65" s="100"/>
      <c r="D65" s="100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t="str">
        <f>IFERROR(__xludf.DUMMYFUNCTION("regexextract(B65,""[\w]* [\w]*"")"),"Derrick White")</f>
        <v>Derrick White</v>
      </c>
      <c r="P65" t="str">
        <f t="shared" si="2"/>
        <v>Derrick White</v>
      </c>
      <c r="Q65" t="str">
        <f t="shared" si="3"/>
        <v>Derrick White</v>
      </c>
      <c r="R65" t="s">
        <v>33</v>
      </c>
      <c r="S65" s="14" t="s">
        <v>34</v>
      </c>
      <c r="T65" t="s">
        <v>227</v>
      </c>
      <c r="U65" t="s">
        <v>227</v>
      </c>
      <c r="V65" t="s">
        <v>37</v>
      </c>
      <c r="W65" t="str">
        <f t="shared" si="1"/>
        <v>PGSGC</v>
      </c>
    </row>
    <row r="66">
      <c r="A66" s="101">
        <v>62.0</v>
      </c>
      <c r="B66" s="102" t="s">
        <v>288</v>
      </c>
      <c r="C66" s="103"/>
      <c r="D66" s="103"/>
      <c r="E66" s="113"/>
      <c r="F66" s="113"/>
      <c r="G66" s="113"/>
      <c r="H66" s="113"/>
      <c r="I66" s="113"/>
      <c r="J66" s="113"/>
      <c r="K66" s="113"/>
      <c r="L66" s="113"/>
      <c r="M66" s="113"/>
      <c r="N66" s="114"/>
      <c r="O66" t="str">
        <f>IFERROR(__xludf.DUMMYFUNCTION("regexextract(B66,""[\w]* [\w]*"")"),"Cade CunninghamDTD")</f>
        <v>Cade CunninghamDTD</v>
      </c>
      <c r="P66" t="str">
        <f t="shared" si="2"/>
        <v>Cade Cunningham</v>
      </c>
      <c r="Q66" t="str">
        <f t="shared" si="3"/>
        <v>Cade Cunningham</v>
      </c>
      <c r="R66" t="s">
        <v>33</v>
      </c>
      <c r="S66" s="14" t="s">
        <v>227</v>
      </c>
      <c r="T66" t="s">
        <v>227</v>
      </c>
      <c r="U66" t="s">
        <v>227</v>
      </c>
      <c r="V66" t="s">
        <v>37</v>
      </c>
      <c r="W66" t="str">
        <f t="shared" si="1"/>
        <v>PGC</v>
      </c>
    </row>
    <row r="67">
      <c r="A67" s="98">
        <v>63.0</v>
      </c>
      <c r="B67" s="99" t="s">
        <v>289</v>
      </c>
      <c r="C67" s="100"/>
      <c r="D67" s="100"/>
      <c r="E67" s="112"/>
      <c r="F67" s="112"/>
      <c r="G67" s="112"/>
      <c r="H67" s="112"/>
      <c r="I67" s="112"/>
      <c r="J67" s="112"/>
      <c r="K67" s="112"/>
      <c r="L67" s="112"/>
      <c r="M67" s="112"/>
      <c r="N67" s="115"/>
      <c r="O67" t="str">
        <f>IFERROR(__xludf.DUMMYFUNCTION("regexextract(B67,""[\w]* [\w]*"")"),"Buddy Hield")</f>
        <v>Buddy Hield</v>
      </c>
      <c r="P67" t="str">
        <f t="shared" si="2"/>
        <v>Buddy Hield</v>
      </c>
      <c r="Q67" t="str">
        <f t="shared" si="3"/>
        <v>Buddy Hield</v>
      </c>
      <c r="R67" t="s">
        <v>227</v>
      </c>
      <c r="S67" s="14" t="s">
        <v>34</v>
      </c>
      <c r="T67" t="s">
        <v>35</v>
      </c>
      <c r="U67" t="s">
        <v>227</v>
      </c>
      <c r="V67" t="s">
        <v>37</v>
      </c>
      <c r="W67" t="str">
        <f t="shared" si="1"/>
        <v>SGSFC</v>
      </c>
    </row>
    <row r="68">
      <c r="A68" s="101">
        <v>64.0</v>
      </c>
      <c r="B68" s="102" t="s">
        <v>290</v>
      </c>
      <c r="C68" s="103"/>
      <c r="D68" s="103"/>
      <c r="E68" s="113"/>
      <c r="F68" s="113"/>
      <c r="G68" s="113"/>
      <c r="H68" s="113"/>
      <c r="I68" s="113"/>
      <c r="J68" s="113"/>
      <c r="K68" s="113"/>
      <c r="L68" s="113"/>
      <c r="M68" s="113"/>
      <c r="N68" s="114"/>
      <c r="O68" t="str">
        <f>IFERROR(__xludf.DUMMYFUNCTION("regexextract(B68,""[\w]* [\w]*"")"),"Jarrett AllenDTD")</f>
        <v>Jarrett AllenDTD</v>
      </c>
      <c r="P68" t="str">
        <f t="shared" si="2"/>
        <v>Jarrett Allen</v>
      </c>
      <c r="Q68" t="str">
        <f t="shared" si="3"/>
        <v>Jarrett Allen</v>
      </c>
      <c r="R68" t="s">
        <v>227</v>
      </c>
      <c r="S68" s="14" t="s">
        <v>227</v>
      </c>
      <c r="T68" t="s">
        <v>227</v>
      </c>
      <c r="U68" t="s">
        <v>227</v>
      </c>
      <c r="V68" t="s">
        <v>37</v>
      </c>
      <c r="W68" t="str">
        <f t="shared" si="1"/>
        <v>C</v>
      </c>
    </row>
    <row r="69">
      <c r="A69" s="98">
        <v>65.0</v>
      </c>
      <c r="B69" s="99" t="s">
        <v>291</v>
      </c>
      <c r="C69" s="100"/>
      <c r="D69" s="100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t="str">
        <f>IFERROR(__xludf.DUMMYFUNCTION("regexextract(B69,""[\w]* [\w]*"")"),"Malcolm Brogdon")</f>
        <v>Malcolm Brogdon</v>
      </c>
      <c r="P69" t="str">
        <f t="shared" si="2"/>
        <v>Malcolm Brogdon</v>
      </c>
      <c r="Q69" t="str">
        <f t="shared" si="3"/>
        <v>Malcolm Brogdon</v>
      </c>
      <c r="R69" t="s">
        <v>33</v>
      </c>
      <c r="S69" s="14" t="s">
        <v>34</v>
      </c>
      <c r="T69" t="s">
        <v>227</v>
      </c>
      <c r="U69" t="s">
        <v>227</v>
      </c>
      <c r="V69" t="s">
        <v>37</v>
      </c>
      <c r="W69" t="str">
        <f t="shared" si="1"/>
        <v>PGSGC</v>
      </c>
    </row>
    <row r="70">
      <c r="A70" s="101">
        <v>66.0</v>
      </c>
      <c r="B70" s="102" t="s">
        <v>292</v>
      </c>
      <c r="C70" s="103"/>
      <c r="D70" s="10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t="str">
        <f>IFERROR(__xludf.DUMMYFUNCTION("regexextract(B70,""[\w]* [\w]*"")"),"Spencer Dinwiddie")</f>
        <v>Spencer Dinwiddie</v>
      </c>
      <c r="P70" t="str">
        <f t="shared" si="2"/>
        <v>Spencer Dinwiddie</v>
      </c>
      <c r="Q70" t="str">
        <f t="shared" si="3"/>
        <v>Spencer Dinwiddie</v>
      </c>
      <c r="R70" t="s">
        <v>33</v>
      </c>
      <c r="S70" s="14" t="s">
        <v>34</v>
      </c>
      <c r="T70" t="s">
        <v>227</v>
      </c>
      <c r="U70" t="s">
        <v>227</v>
      </c>
      <c r="V70" t="s">
        <v>37</v>
      </c>
      <c r="W70" t="str">
        <f t="shared" si="1"/>
        <v>PGSGC</v>
      </c>
    </row>
    <row r="71">
      <c r="A71" s="98">
        <v>67.0</v>
      </c>
      <c r="B71" s="99" t="s">
        <v>293</v>
      </c>
      <c r="C71" s="100"/>
      <c r="D71" s="100"/>
      <c r="E71" s="112"/>
      <c r="F71" s="112"/>
      <c r="G71" s="112"/>
      <c r="H71" s="112"/>
      <c r="I71" s="112"/>
      <c r="J71" s="112"/>
      <c r="K71" s="112"/>
      <c r="L71" s="112"/>
      <c r="M71" s="112"/>
      <c r="N71" s="115"/>
      <c r="O71" t="str">
        <f>IFERROR(__xludf.DUMMYFUNCTION("regexextract(B71,""[\w]* [\w]*"")"),"Jonathan IsaacO")</f>
        <v>Jonathan IsaacO</v>
      </c>
      <c r="P71" t="str">
        <f t="shared" si="2"/>
        <v>Jonathan IsaacO</v>
      </c>
      <c r="Q71" t="str">
        <f t="shared" si="3"/>
        <v>Jonathan Isaac</v>
      </c>
      <c r="R71" t="s">
        <v>227</v>
      </c>
      <c r="S71" s="14" t="s">
        <v>227</v>
      </c>
      <c r="T71" t="s">
        <v>35</v>
      </c>
      <c r="U71" t="s">
        <v>36</v>
      </c>
      <c r="V71" t="s">
        <v>37</v>
      </c>
      <c r="W71" t="str">
        <f t="shared" si="1"/>
        <v>SFPFC</v>
      </c>
    </row>
    <row r="72">
      <c r="A72" s="101">
        <v>68.0</v>
      </c>
      <c r="B72" s="102" t="s">
        <v>294</v>
      </c>
      <c r="C72" s="103"/>
      <c r="D72" s="103"/>
      <c r="E72" s="113"/>
      <c r="F72" s="113"/>
      <c r="G72" s="113"/>
      <c r="H72" s="113"/>
      <c r="I72" s="113"/>
      <c r="J72" s="113"/>
      <c r="K72" s="113"/>
      <c r="L72" s="113"/>
      <c r="M72" s="113"/>
      <c r="N72" s="114"/>
      <c r="O72" t="str">
        <f>IFERROR(__xludf.DUMMYFUNCTION("regexextract(B72,""[\w]* [\w]*"")"),"Angelo Russell")</f>
        <v>Angelo Russell</v>
      </c>
      <c r="P72" t="str">
        <f t="shared" si="2"/>
        <v>Angelo Russell</v>
      </c>
      <c r="Q72" t="str">
        <f t="shared" si="3"/>
        <v>Angelo Russell</v>
      </c>
      <c r="R72" t="s">
        <v>33</v>
      </c>
      <c r="S72" s="14" t="s">
        <v>34</v>
      </c>
      <c r="T72" t="s">
        <v>227</v>
      </c>
      <c r="U72" t="s">
        <v>227</v>
      </c>
      <c r="V72" t="s">
        <v>227</v>
      </c>
      <c r="W72" t="str">
        <f t="shared" si="1"/>
        <v>PGSG</v>
      </c>
    </row>
    <row r="73">
      <c r="A73" s="98">
        <v>69.0</v>
      </c>
      <c r="B73" s="99" t="s">
        <v>295</v>
      </c>
      <c r="C73" s="100"/>
      <c r="D73" s="100"/>
      <c r="E73" s="112"/>
      <c r="F73" s="112"/>
      <c r="G73" s="112"/>
      <c r="H73" s="112"/>
      <c r="I73" s="112"/>
      <c r="J73" s="112"/>
      <c r="K73" s="112"/>
      <c r="L73" s="112"/>
      <c r="M73" s="112"/>
      <c r="N73" s="115"/>
      <c r="O73" t="str">
        <f>IFERROR(__xludf.DUMMYFUNCTION("regexextract(B73,""[\w]* [\w]*"")"),"Kemba Walker")</f>
        <v>Kemba Walker</v>
      </c>
      <c r="P73" t="str">
        <f t="shared" si="2"/>
        <v>Kemba Walker</v>
      </c>
      <c r="Q73" t="str">
        <f t="shared" si="3"/>
        <v>Kemba Walker</v>
      </c>
      <c r="R73" t="s">
        <v>33</v>
      </c>
      <c r="S73" s="14" t="s">
        <v>227</v>
      </c>
      <c r="T73" t="s">
        <v>227</v>
      </c>
      <c r="U73" t="s">
        <v>227</v>
      </c>
      <c r="V73" t="s">
        <v>227</v>
      </c>
      <c r="W73" t="str">
        <f t="shared" si="1"/>
        <v>PG</v>
      </c>
    </row>
    <row r="74">
      <c r="A74" s="101">
        <v>70.0</v>
      </c>
      <c r="B74" s="102" t="s">
        <v>296</v>
      </c>
      <c r="C74" s="103"/>
      <c r="D74" s="103"/>
      <c r="E74" s="113"/>
      <c r="F74" s="113"/>
      <c r="G74" s="113"/>
      <c r="H74" s="113"/>
      <c r="I74" s="113"/>
      <c r="J74" s="113"/>
      <c r="K74" s="113"/>
      <c r="L74" s="113"/>
      <c r="M74" s="113"/>
      <c r="N74" s="114"/>
      <c r="O74" t="str">
        <f>IFERROR(__xludf.DUMMYFUNCTION("regexextract(B74,""[\w]* [\w]*"")"),"Andrew Wiggins")</f>
        <v>Andrew Wiggins</v>
      </c>
      <c r="P74" t="str">
        <f t="shared" si="2"/>
        <v>Andrew Wiggins</v>
      </c>
      <c r="Q74" t="str">
        <f t="shared" si="3"/>
        <v>Andrew Wiggins</v>
      </c>
      <c r="R74" t="s">
        <v>227</v>
      </c>
      <c r="S74" s="14" t="s">
        <v>34</v>
      </c>
      <c r="T74" t="s">
        <v>35</v>
      </c>
      <c r="U74" t="s">
        <v>227</v>
      </c>
      <c r="V74" t="s">
        <v>227</v>
      </c>
      <c r="W74" t="str">
        <f t="shared" si="1"/>
        <v>SGSF</v>
      </c>
    </row>
    <row r="75">
      <c r="A75" s="98">
        <v>71.0</v>
      </c>
      <c r="B75" s="99" t="s">
        <v>297</v>
      </c>
      <c r="C75" s="100"/>
      <c r="D75" s="100"/>
      <c r="E75" s="112"/>
      <c r="F75" s="112"/>
      <c r="G75" s="112"/>
      <c r="H75" s="112"/>
      <c r="I75" s="112"/>
      <c r="J75" s="112"/>
      <c r="K75" s="112"/>
      <c r="L75" s="112"/>
      <c r="M75" s="112"/>
      <c r="N75" s="115"/>
      <c r="O75" t="str">
        <f>IFERROR(__xludf.DUMMYFUNCTION("regexextract(B75,""[\w]* [\w]*"")"),"OG Anunoby")</f>
        <v>OG Anunoby</v>
      </c>
      <c r="P75" t="str">
        <f t="shared" si="2"/>
        <v>OG Anunoby</v>
      </c>
      <c r="Q75" t="str">
        <f t="shared" si="3"/>
        <v>OG Anunoby</v>
      </c>
      <c r="R75" t="s">
        <v>227</v>
      </c>
      <c r="S75" s="14" t="s">
        <v>227</v>
      </c>
      <c r="T75" t="s">
        <v>35</v>
      </c>
      <c r="U75" t="s">
        <v>36</v>
      </c>
      <c r="V75" t="s">
        <v>227</v>
      </c>
      <c r="W75" t="str">
        <f t="shared" si="1"/>
        <v>SFPF</v>
      </c>
    </row>
    <row r="76">
      <c r="A76" s="101">
        <v>72.0</v>
      </c>
      <c r="B76" s="102" t="s">
        <v>298</v>
      </c>
      <c r="C76" s="103"/>
      <c r="D76" s="103"/>
      <c r="E76" s="113"/>
      <c r="F76" s="113"/>
      <c r="G76" s="113"/>
      <c r="H76" s="113"/>
      <c r="I76" s="113"/>
      <c r="J76" s="113"/>
      <c r="K76" s="113"/>
      <c r="L76" s="113"/>
      <c r="M76" s="113"/>
      <c r="N76" s="114"/>
      <c r="O76" t="str">
        <f>IFERROR(__xludf.DUMMYFUNCTION("regexextract(B76,""[\w]* [\w]*"")"),"John Collins")</f>
        <v>John Collins</v>
      </c>
      <c r="P76" t="str">
        <f t="shared" si="2"/>
        <v>John Collins</v>
      </c>
      <c r="Q76" t="str">
        <f t="shared" si="3"/>
        <v>John Collins</v>
      </c>
      <c r="R76" t="s">
        <v>227</v>
      </c>
      <c r="S76" s="14" t="s">
        <v>227</v>
      </c>
      <c r="T76" t="s">
        <v>227</v>
      </c>
      <c r="U76" t="s">
        <v>36</v>
      </c>
      <c r="V76" t="s">
        <v>37</v>
      </c>
      <c r="W76" t="str">
        <f t="shared" si="1"/>
        <v>PFC</v>
      </c>
    </row>
    <row r="77">
      <c r="A77" s="98">
        <v>73.0</v>
      </c>
      <c r="B77" s="99" t="s">
        <v>299</v>
      </c>
      <c r="C77" s="100"/>
      <c r="D77" s="100"/>
      <c r="E77" s="112"/>
      <c r="F77" s="112"/>
      <c r="G77" s="112"/>
      <c r="H77" s="112"/>
      <c r="I77" s="112"/>
      <c r="J77" s="112"/>
      <c r="K77" s="112"/>
      <c r="L77" s="112"/>
      <c r="M77" s="112"/>
      <c r="N77" s="115"/>
      <c r="O77" t="str">
        <f>IFERROR(__xludf.DUMMYFUNCTION("regexextract(B77,""[\w]* [\w]*"")"),"Kristaps Porzingis")</f>
        <v>Kristaps Porzingis</v>
      </c>
      <c r="P77" t="str">
        <f t="shared" si="2"/>
        <v>Kristaps Porzingis</v>
      </c>
      <c r="Q77" t="str">
        <f t="shared" si="3"/>
        <v>Kristaps Porzingis</v>
      </c>
      <c r="R77" t="s">
        <v>227</v>
      </c>
      <c r="S77" s="14" t="s">
        <v>227</v>
      </c>
      <c r="T77" t="s">
        <v>227</v>
      </c>
      <c r="U77" t="s">
        <v>36</v>
      </c>
      <c r="V77" t="s">
        <v>37</v>
      </c>
      <c r="W77" t="str">
        <f t="shared" si="1"/>
        <v>PFC</v>
      </c>
    </row>
    <row r="78">
      <c r="A78" s="101">
        <v>74.0</v>
      </c>
      <c r="B78" s="102" t="s">
        <v>300</v>
      </c>
      <c r="C78" s="103"/>
      <c r="D78" s="103"/>
      <c r="E78" s="113"/>
      <c r="F78" s="113"/>
      <c r="G78" s="113"/>
      <c r="H78" s="113"/>
      <c r="I78" s="113"/>
      <c r="J78" s="113"/>
      <c r="K78" s="113"/>
      <c r="L78" s="113"/>
      <c r="M78" s="113"/>
      <c r="N78" s="114"/>
      <c r="O78" t="str">
        <f>IFERROR(__xludf.DUMMYFUNCTION("regexextract(B78,""[\w]* [\w]*"")"),"Chris Boucher")</f>
        <v>Chris Boucher</v>
      </c>
      <c r="P78" t="str">
        <f t="shared" si="2"/>
        <v>Chris Boucher</v>
      </c>
      <c r="Q78" t="str">
        <f t="shared" si="3"/>
        <v>Chris Boucher</v>
      </c>
      <c r="R78" t="s">
        <v>227</v>
      </c>
      <c r="S78" s="14" t="s">
        <v>227</v>
      </c>
      <c r="T78" t="s">
        <v>227</v>
      </c>
      <c r="U78" t="s">
        <v>36</v>
      </c>
      <c r="V78" t="s">
        <v>37</v>
      </c>
      <c r="W78" t="str">
        <f t="shared" si="1"/>
        <v>PFC</v>
      </c>
    </row>
    <row r="79">
      <c r="A79" s="98">
        <v>75.0</v>
      </c>
      <c r="B79" s="99" t="s">
        <v>301</v>
      </c>
      <c r="C79" s="100"/>
      <c r="D79" s="100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t="str">
        <f>IFERROR(__xludf.DUMMYFUNCTION("regexextract(B79,""[\w]* [\w]*"")"),"Jerami Grant")</f>
        <v>Jerami Grant</v>
      </c>
      <c r="P79" t="str">
        <f t="shared" si="2"/>
        <v>Jerami Grant</v>
      </c>
      <c r="Q79" t="str">
        <f t="shared" si="3"/>
        <v>Jerami Grant</v>
      </c>
      <c r="R79" t="s">
        <v>227</v>
      </c>
      <c r="S79" s="14" t="s">
        <v>227</v>
      </c>
      <c r="T79" t="s">
        <v>35</v>
      </c>
      <c r="U79" t="s">
        <v>36</v>
      </c>
      <c r="V79" t="s">
        <v>227</v>
      </c>
      <c r="W79" t="str">
        <f t="shared" si="1"/>
        <v>SFPF</v>
      </c>
    </row>
    <row r="80">
      <c r="A80" s="101">
        <v>76.0</v>
      </c>
      <c r="B80" s="102" t="s">
        <v>302</v>
      </c>
      <c r="C80" s="103"/>
      <c r="D80" s="103"/>
      <c r="E80" s="113"/>
      <c r="F80" s="113"/>
      <c r="G80" s="113"/>
      <c r="H80" s="113"/>
      <c r="I80" s="113"/>
      <c r="J80" s="113"/>
      <c r="K80" s="113"/>
      <c r="L80" s="113"/>
      <c r="M80" s="113"/>
      <c r="N80" s="114"/>
      <c r="O80" t="str">
        <f>IFERROR(__xludf.DUMMYFUNCTION("regexextract(B80,""[\w]* [\w]*"")"),"Isaiah StewartDTD")</f>
        <v>Isaiah StewartDTD</v>
      </c>
      <c r="P80" t="str">
        <f t="shared" si="2"/>
        <v>Isaiah Stewart</v>
      </c>
      <c r="Q80" t="str">
        <f t="shared" si="3"/>
        <v>Isaiah Stewart</v>
      </c>
      <c r="R80" t="s">
        <v>227</v>
      </c>
      <c r="S80" s="14" t="s">
        <v>227</v>
      </c>
      <c r="T80" t="s">
        <v>227</v>
      </c>
      <c r="U80" t="s">
        <v>36</v>
      </c>
      <c r="V80" t="s">
        <v>37</v>
      </c>
      <c r="W80" t="str">
        <f t="shared" si="1"/>
        <v>PFC</v>
      </c>
    </row>
    <row r="81">
      <c r="A81" s="98">
        <v>77.0</v>
      </c>
      <c r="B81" s="99" t="s">
        <v>303</v>
      </c>
      <c r="C81" s="100"/>
      <c r="D81" s="100"/>
      <c r="E81" s="112"/>
      <c r="F81" s="112"/>
      <c r="G81" s="112"/>
      <c r="H81" s="112"/>
      <c r="I81" s="112"/>
      <c r="J81" s="112"/>
      <c r="K81" s="112"/>
      <c r="L81" s="112"/>
      <c r="M81" s="112"/>
      <c r="N81" s="115"/>
      <c r="O81" t="str">
        <f>IFERROR(__xludf.DUMMYFUNCTION("regexextract(B81,""[\w]* [\w]*"")"),"Richaun Holmes")</f>
        <v>Richaun Holmes</v>
      </c>
      <c r="P81" t="str">
        <f t="shared" si="2"/>
        <v>Richaun Holmes</v>
      </c>
      <c r="Q81" t="str">
        <f t="shared" si="3"/>
        <v>Richaun Holmes</v>
      </c>
      <c r="R81" t="s">
        <v>227</v>
      </c>
      <c r="S81" s="14" t="s">
        <v>227</v>
      </c>
      <c r="T81" t="s">
        <v>227</v>
      </c>
      <c r="U81" t="s">
        <v>36</v>
      </c>
      <c r="V81" t="s">
        <v>37</v>
      </c>
      <c r="W81" t="str">
        <f t="shared" si="1"/>
        <v>PFC</v>
      </c>
    </row>
    <row r="82">
      <c r="A82" s="101">
        <v>78.0</v>
      </c>
      <c r="B82" s="102" t="s">
        <v>304</v>
      </c>
      <c r="C82" s="103"/>
      <c r="D82" s="10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t="str">
        <f>IFERROR(__xludf.DUMMYFUNCTION("regexextract(B82,""[\w]* [\w]*"")"),"Darius Garland")</f>
        <v>Darius Garland</v>
      </c>
      <c r="P82" t="str">
        <f t="shared" si="2"/>
        <v>Darius Garland</v>
      </c>
      <c r="Q82" t="str">
        <f t="shared" si="3"/>
        <v>Darius Garland</v>
      </c>
      <c r="R82" t="s">
        <v>33</v>
      </c>
      <c r="S82" s="14" t="s">
        <v>34</v>
      </c>
      <c r="T82" t="s">
        <v>227</v>
      </c>
      <c r="U82" t="s">
        <v>227</v>
      </c>
      <c r="V82" t="s">
        <v>37</v>
      </c>
      <c r="W82" t="str">
        <f t="shared" si="1"/>
        <v>PGSGC</v>
      </c>
    </row>
    <row r="83">
      <c r="A83" s="98">
        <v>79.0</v>
      </c>
      <c r="B83" s="99" t="s">
        <v>305</v>
      </c>
      <c r="C83" s="100"/>
      <c r="D83" s="100"/>
      <c r="E83" s="112"/>
      <c r="F83" s="112"/>
      <c r="G83" s="112"/>
      <c r="H83" s="112"/>
      <c r="I83" s="112"/>
      <c r="J83" s="112"/>
      <c r="K83" s="112"/>
      <c r="L83" s="112"/>
      <c r="M83" s="112"/>
      <c r="N83" s="115"/>
      <c r="O83" t="str">
        <f>IFERROR(__xludf.DUMMYFUNCTION("regexextract(B83,""[\w]* [\w]*"")"),"Myles Turner")</f>
        <v>Myles Turner</v>
      </c>
      <c r="P83" t="str">
        <f t="shared" si="2"/>
        <v>Myles Turner</v>
      </c>
      <c r="Q83" t="str">
        <f t="shared" si="3"/>
        <v>Myles Turner</v>
      </c>
      <c r="R83" t="s">
        <v>227</v>
      </c>
      <c r="S83" s="14" t="s">
        <v>227</v>
      </c>
      <c r="T83" t="s">
        <v>227</v>
      </c>
      <c r="U83" t="s">
        <v>36</v>
      </c>
      <c r="V83" t="s">
        <v>37</v>
      </c>
      <c r="W83" t="str">
        <f t="shared" si="1"/>
        <v>PFC</v>
      </c>
    </row>
    <row r="84">
      <c r="A84" s="101">
        <v>80.0</v>
      </c>
      <c r="B84" s="102" t="s">
        <v>306</v>
      </c>
      <c r="C84" s="103"/>
      <c r="D84" s="103"/>
      <c r="E84" s="113"/>
      <c r="F84" s="113"/>
      <c r="G84" s="113"/>
      <c r="H84" s="113"/>
      <c r="I84" s="113"/>
      <c r="J84" s="113"/>
      <c r="K84" s="113"/>
      <c r="L84" s="113"/>
      <c r="M84" s="113"/>
      <c r="N84" s="114"/>
      <c r="O84" t="str">
        <f>IFERROR(__xludf.DUMMYFUNCTION("regexextract(B84,""[\w]* [\w]*"")"),"Nickeil Alexander")</f>
        <v>Nickeil Alexander</v>
      </c>
      <c r="P84" t="str">
        <f t="shared" si="2"/>
        <v>Nickeil Alexander</v>
      </c>
      <c r="Q84" t="str">
        <f t="shared" si="3"/>
        <v>Nickeil Alexander</v>
      </c>
      <c r="R84" t="s">
        <v>227</v>
      </c>
      <c r="S84" s="14" t="s">
        <v>34</v>
      </c>
      <c r="T84" t="s">
        <v>227</v>
      </c>
      <c r="U84" t="s">
        <v>227</v>
      </c>
      <c r="V84" t="s">
        <v>37</v>
      </c>
      <c r="W84" t="str">
        <f t="shared" si="1"/>
        <v>SGC</v>
      </c>
    </row>
    <row r="85">
      <c r="A85" s="98">
        <v>81.0</v>
      </c>
      <c r="B85" s="99" t="s">
        <v>307</v>
      </c>
      <c r="C85" s="100"/>
      <c r="D85" s="100"/>
      <c r="E85" s="112"/>
      <c r="F85" s="112"/>
      <c r="G85" s="112"/>
      <c r="H85" s="112"/>
      <c r="I85" s="112"/>
      <c r="J85" s="112"/>
      <c r="K85" s="112"/>
      <c r="L85" s="112"/>
      <c r="M85" s="112"/>
      <c r="N85" s="116"/>
      <c r="O85" t="str">
        <f>IFERROR(__xludf.DUMMYFUNCTION("regexextract(B85,""[\w]* [\w]*"")"),"Jaren Jackson")</f>
        <v>Jaren Jackson</v>
      </c>
      <c r="P85" t="str">
        <f t="shared" si="2"/>
        <v>Jaren Jackson</v>
      </c>
      <c r="Q85" t="str">
        <f t="shared" si="3"/>
        <v>Jaren Jackson</v>
      </c>
      <c r="R85" t="s">
        <v>227</v>
      </c>
      <c r="S85" s="14" t="s">
        <v>227</v>
      </c>
      <c r="T85" t="s">
        <v>227</v>
      </c>
      <c r="U85" t="s">
        <v>36</v>
      </c>
      <c r="V85" t="s">
        <v>37</v>
      </c>
      <c r="W85" t="str">
        <f t="shared" si="1"/>
        <v>PFC</v>
      </c>
    </row>
    <row r="86">
      <c r="A86" s="101">
        <v>82.0</v>
      </c>
      <c r="B86" s="102" t="s">
        <v>308</v>
      </c>
      <c r="C86" s="103"/>
      <c r="D86" s="103"/>
      <c r="E86" s="113"/>
      <c r="F86" s="113"/>
      <c r="G86" s="113"/>
      <c r="H86" s="113"/>
      <c r="I86" s="113"/>
      <c r="J86" s="113"/>
      <c r="K86" s="113"/>
      <c r="L86" s="113"/>
      <c r="M86" s="113"/>
      <c r="N86" s="114"/>
      <c r="O86" t="str">
        <f>IFERROR(__xludf.DUMMYFUNCTION("regexextract(B86,""[\w]* [\w]*"")"),"RJ Barrett")</f>
        <v>RJ Barrett</v>
      </c>
      <c r="P86" t="str">
        <f t="shared" si="2"/>
        <v>RJ Barrett</v>
      </c>
      <c r="Q86" t="str">
        <f t="shared" si="3"/>
        <v>RJ Barrett</v>
      </c>
      <c r="R86" t="s">
        <v>227</v>
      </c>
      <c r="S86" s="14" t="s">
        <v>34</v>
      </c>
      <c r="T86" t="s">
        <v>35</v>
      </c>
      <c r="U86" t="s">
        <v>227</v>
      </c>
      <c r="V86" t="s">
        <v>227</v>
      </c>
      <c r="W86" t="str">
        <f t="shared" si="1"/>
        <v>SGSF</v>
      </c>
    </row>
    <row r="87">
      <c r="A87" s="98">
        <v>83.0</v>
      </c>
      <c r="B87" s="99" t="s">
        <v>309</v>
      </c>
      <c r="C87" s="100"/>
      <c r="D87" s="100"/>
      <c r="E87" s="112"/>
      <c r="F87" s="112"/>
      <c r="G87" s="112"/>
      <c r="H87" s="112"/>
      <c r="I87" s="112"/>
      <c r="J87" s="112"/>
      <c r="K87" s="112"/>
      <c r="L87" s="112"/>
      <c r="M87" s="112"/>
      <c r="N87" s="116"/>
      <c r="O87" t="str">
        <f>IFERROR(__xludf.DUMMYFUNCTION("regexextract(B87,""[\w]* [\w]*"")"),"Mike Conley")</f>
        <v>Mike Conley</v>
      </c>
      <c r="P87" t="str">
        <f t="shared" si="2"/>
        <v>Mike Conley</v>
      </c>
      <c r="Q87" t="str">
        <f t="shared" si="3"/>
        <v>Mike Conley</v>
      </c>
      <c r="R87" t="s">
        <v>33</v>
      </c>
      <c r="S87" s="14" t="s">
        <v>227</v>
      </c>
      <c r="T87" t="s">
        <v>227</v>
      </c>
      <c r="U87" t="s">
        <v>227</v>
      </c>
      <c r="V87" t="s">
        <v>37</v>
      </c>
      <c r="W87" t="str">
        <f t="shared" si="1"/>
        <v>PGC</v>
      </c>
    </row>
    <row r="88">
      <c r="A88" s="101">
        <v>84.0</v>
      </c>
      <c r="B88" s="102" t="s">
        <v>310</v>
      </c>
      <c r="C88" s="103"/>
      <c r="D88" s="10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t="str">
        <f>IFERROR(__xludf.DUMMYFUNCTION("regexextract(B88,""[\w]* [\w]*"")")," Washington")</f>
        <v> Washington</v>
      </c>
      <c r="P88" t="str">
        <f t="shared" si="2"/>
        <v> Washington</v>
      </c>
      <c r="Q88" t="str">
        <f t="shared" si="3"/>
        <v> Washington</v>
      </c>
      <c r="R88" t="s">
        <v>227</v>
      </c>
      <c r="S88" s="14" t="s">
        <v>227</v>
      </c>
      <c r="T88" t="s">
        <v>227</v>
      </c>
      <c r="U88" t="s">
        <v>36</v>
      </c>
      <c r="V88" t="s">
        <v>37</v>
      </c>
      <c r="W88" t="str">
        <f t="shared" si="1"/>
        <v>PFC</v>
      </c>
    </row>
    <row r="89">
      <c r="A89" s="98">
        <v>85.0</v>
      </c>
      <c r="B89" s="99" t="s">
        <v>311</v>
      </c>
      <c r="C89" s="100"/>
      <c r="D89" s="100"/>
      <c r="E89" s="112"/>
      <c r="F89" s="112"/>
      <c r="G89" s="112"/>
      <c r="H89" s="112"/>
      <c r="I89" s="112"/>
      <c r="J89" s="112"/>
      <c r="K89" s="112"/>
      <c r="L89" s="112"/>
      <c r="M89" s="112"/>
      <c r="N89" s="115"/>
      <c r="O89" t="str">
        <f>IFERROR(__xludf.DUMMYFUNCTION("regexextract(B89,""[\w]* [\w]*"")"),"Jalen Green")</f>
        <v>Jalen Green</v>
      </c>
      <c r="P89" t="str">
        <f t="shared" si="2"/>
        <v>Jalen Green</v>
      </c>
      <c r="Q89" t="str">
        <f t="shared" si="3"/>
        <v>Jalen Green</v>
      </c>
      <c r="R89" t="s">
        <v>227</v>
      </c>
      <c r="S89" s="14" t="s">
        <v>34</v>
      </c>
      <c r="T89" t="s">
        <v>227</v>
      </c>
      <c r="U89" t="s">
        <v>227</v>
      </c>
      <c r="V89" t="s">
        <v>227</v>
      </c>
      <c r="W89" t="str">
        <f t="shared" si="1"/>
        <v>SG</v>
      </c>
    </row>
    <row r="90">
      <c r="A90" s="101">
        <v>86.0</v>
      </c>
      <c r="B90" s="102" t="s">
        <v>312</v>
      </c>
      <c r="C90" s="103"/>
      <c r="D90" s="103"/>
      <c r="E90" s="113"/>
      <c r="F90" s="113"/>
      <c r="G90" s="113"/>
      <c r="H90" s="113"/>
      <c r="I90" s="113"/>
      <c r="J90" s="113"/>
      <c r="K90" s="113"/>
      <c r="L90" s="113"/>
      <c r="M90" s="113"/>
      <c r="N90" s="114"/>
      <c r="O90" t="str">
        <f>IFERROR(__xludf.DUMMYFUNCTION("regexextract(B90,""[\w]* [\w]*"")"),"Norman Powell")</f>
        <v>Norman Powell</v>
      </c>
      <c r="P90" t="str">
        <f t="shared" si="2"/>
        <v>Norman Powell</v>
      </c>
      <c r="Q90" t="str">
        <f t="shared" si="3"/>
        <v>Norman Powell</v>
      </c>
      <c r="R90" t="s">
        <v>227</v>
      </c>
      <c r="S90" s="14" t="s">
        <v>34</v>
      </c>
      <c r="T90" t="s">
        <v>35</v>
      </c>
      <c r="U90" t="s">
        <v>227</v>
      </c>
      <c r="V90" t="s">
        <v>227</v>
      </c>
      <c r="W90" t="str">
        <f t="shared" si="1"/>
        <v>SGSF</v>
      </c>
    </row>
    <row r="91">
      <c r="A91" s="98">
        <v>87.0</v>
      </c>
      <c r="B91" s="99" t="s">
        <v>313</v>
      </c>
      <c r="C91" s="100"/>
      <c r="D91" s="100"/>
      <c r="E91" s="112"/>
      <c r="F91" s="112"/>
      <c r="G91" s="112"/>
      <c r="H91" s="112"/>
      <c r="I91" s="112"/>
      <c r="J91" s="112"/>
      <c r="K91" s="112"/>
      <c r="L91" s="112"/>
      <c r="M91" s="112"/>
      <c r="N91" s="115"/>
      <c r="O91" t="str">
        <f>IFERROR(__xludf.DUMMYFUNCTION("regexextract(B91,""[\w]* [\w]*"")"),"Ivica ZubacDTD")</f>
        <v>Ivica ZubacDTD</v>
      </c>
      <c r="P91" t="str">
        <f t="shared" si="2"/>
        <v>Ivica Zubac</v>
      </c>
      <c r="Q91" t="str">
        <f t="shared" si="3"/>
        <v>Ivica Zubac</v>
      </c>
      <c r="R91" t="s">
        <v>227</v>
      </c>
      <c r="S91" s="14" t="s">
        <v>227</v>
      </c>
      <c r="T91" t="s">
        <v>227</v>
      </c>
      <c r="U91" t="s">
        <v>227</v>
      </c>
      <c r="V91" t="s">
        <v>37</v>
      </c>
      <c r="W91" t="str">
        <f t="shared" si="1"/>
        <v>C</v>
      </c>
    </row>
    <row r="92">
      <c r="A92" s="101">
        <v>88.0</v>
      </c>
      <c r="B92" s="102" t="s">
        <v>314</v>
      </c>
      <c r="C92" s="103"/>
      <c r="D92" s="103"/>
      <c r="E92" s="113"/>
      <c r="F92" s="113"/>
      <c r="G92" s="113"/>
      <c r="H92" s="113"/>
      <c r="I92" s="113"/>
      <c r="J92" s="113"/>
      <c r="K92" s="113"/>
      <c r="L92" s="113"/>
      <c r="M92" s="113"/>
      <c r="N92" s="114"/>
      <c r="O92" t="str">
        <f>IFERROR(__xludf.DUMMYFUNCTION("regexextract(B92,""[\w]* [\w]*"")")," Graham")</f>
        <v> Graham</v>
      </c>
      <c r="P92" t="str">
        <f t="shared" si="2"/>
        <v> Graham</v>
      </c>
      <c r="Q92" t="str">
        <f t="shared" si="3"/>
        <v> Graham</v>
      </c>
      <c r="R92" t="s">
        <v>33</v>
      </c>
      <c r="S92" s="14" t="s">
        <v>34</v>
      </c>
      <c r="T92" t="s">
        <v>227</v>
      </c>
      <c r="U92" t="s">
        <v>227</v>
      </c>
      <c r="V92" t="s">
        <v>227</v>
      </c>
      <c r="W92" t="str">
        <f t="shared" si="1"/>
        <v>PGSG</v>
      </c>
    </row>
    <row r="93">
      <c r="A93" s="98">
        <v>89.0</v>
      </c>
      <c r="B93" s="99" t="s">
        <v>315</v>
      </c>
      <c r="C93" s="100"/>
      <c r="D93" s="100"/>
      <c r="E93" s="112"/>
      <c r="F93" s="112"/>
      <c r="G93" s="112"/>
      <c r="H93" s="112"/>
      <c r="I93" s="112"/>
      <c r="J93" s="112"/>
      <c r="K93" s="112"/>
      <c r="L93" s="112"/>
      <c r="M93" s="112"/>
      <c r="N93" s="115"/>
      <c r="O93" t="str">
        <f>IFERROR(__xludf.DUMMYFUNCTION("regexextract(B93,""[\w]* [\w]*"")"),"Eric Bledsoe")</f>
        <v>Eric Bledsoe</v>
      </c>
      <c r="P93" t="str">
        <f t="shared" si="2"/>
        <v>Eric Bledsoe</v>
      </c>
      <c r="Q93" t="str">
        <f t="shared" si="3"/>
        <v>Eric Bledsoe</v>
      </c>
      <c r="R93" t="s">
        <v>33</v>
      </c>
      <c r="S93" s="14" t="s">
        <v>34</v>
      </c>
      <c r="T93" t="s">
        <v>227</v>
      </c>
      <c r="U93" t="s">
        <v>227</v>
      </c>
      <c r="V93" t="s">
        <v>37</v>
      </c>
      <c r="W93" t="str">
        <f t="shared" si="1"/>
        <v>PGSGC</v>
      </c>
    </row>
    <row r="94">
      <c r="A94" s="101">
        <v>90.0</v>
      </c>
      <c r="B94" s="102" t="s">
        <v>316</v>
      </c>
      <c r="C94" s="103"/>
      <c r="D94" s="103"/>
      <c r="E94" s="113"/>
      <c r="F94" s="113"/>
      <c r="G94" s="113"/>
      <c r="H94" s="113"/>
      <c r="I94" s="113"/>
      <c r="J94" s="113"/>
      <c r="K94" s="113"/>
      <c r="L94" s="113"/>
      <c r="M94" s="113"/>
      <c r="N94" s="114"/>
      <c r="O94" t="str">
        <f>IFERROR(__xludf.DUMMYFUNCTION("regexextract(B94,""[\w]* [\w]*"")"),"Mikal Bridges")</f>
        <v>Mikal Bridges</v>
      </c>
      <c r="P94" t="str">
        <f t="shared" si="2"/>
        <v>Mikal Bridges</v>
      </c>
      <c r="Q94" t="str">
        <f t="shared" si="3"/>
        <v>Mikal Bridges</v>
      </c>
      <c r="R94" t="s">
        <v>227</v>
      </c>
      <c r="S94" s="14" t="s">
        <v>227</v>
      </c>
      <c r="T94" t="s">
        <v>35</v>
      </c>
      <c r="U94" t="s">
        <v>227</v>
      </c>
      <c r="V94" t="s">
        <v>227</v>
      </c>
      <c r="W94" t="str">
        <f t="shared" si="1"/>
        <v>SF</v>
      </c>
    </row>
    <row r="95">
      <c r="A95" s="98">
        <v>91.0</v>
      </c>
      <c r="B95" s="99" t="s">
        <v>317</v>
      </c>
      <c r="C95" s="100"/>
      <c r="D95" s="100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t="str">
        <f>IFERROR(__xludf.DUMMYFUNCTION("regexextract(B95,""[\w]* [\w]*"")"),"Wendell Carter")</f>
        <v>Wendell Carter</v>
      </c>
      <c r="P95" t="str">
        <f t="shared" si="2"/>
        <v>Wendell Carter</v>
      </c>
      <c r="Q95" t="str">
        <f t="shared" si="3"/>
        <v>Wendell Carter</v>
      </c>
      <c r="R95" t="s">
        <v>227</v>
      </c>
      <c r="S95" s="14" t="s">
        <v>227</v>
      </c>
      <c r="T95" t="s">
        <v>227</v>
      </c>
      <c r="U95" t="s">
        <v>227</v>
      </c>
      <c r="V95" t="s">
        <v>37</v>
      </c>
      <c r="W95" t="str">
        <f t="shared" si="1"/>
        <v>C</v>
      </c>
    </row>
    <row r="96">
      <c r="A96" s="101">
        <v>92.0</v>
      </c>
      <c r="B96" s="102" t="s">
        <v>318</v>
      </c>
      <c r="C96" s="103"/>
      <c r="D96" s="103"/>
      <c r="E96" s="113"/>
      <c r="F96" s="113"/>
      <c r="G96" s="113"/>
      <c r="H96" s="113"/>
      <c r="I96" s="113"/>
      <c r="J96" s="113"/>
      <c r="K96" s="113"/>
      <c r="L96" s="113"/>
      <c r="M96" s="113"/>
      <c r="N96" s="114"/>
      <c r="O96" t="str">
        <f>IFERROR(__xludf.DUMMYFUNCTION("regexextract(B96,""[\w]* [\w]*"")"),"Robert Covington")</f>
        <v>Robert Covington</v>
      </c>
      <c r="P96" t="str">
        <f t="shared" si="2"/>
        <v>Robert Covington</v>
      </c>
      <c r="Q96" t="str">
        <f t="shared" si="3"/>
        <v>Robert Covington</v>
      </c>
      <c r="R96" t="s">
        <v>227</v>
      </c>
      <c r="S96" s="14" t="s">
        <v>227</v>
      </c>
      <c r="T96" t="s">
        <v>35</v>
      </c>
      <c r="U96" t="s">
        <v>36</v>
      </c>
      <c r="V96" t="s">
        <v>37</v>
      </c>
      <c r="W96" t="str">
        <f t="shared" si="1"/>
        <v>SFPFC</v>
      </c>
    </row>
    <row r="97">
      <c r="A97" s="98">
        <v>93.0</v>
      </c>
      <c r="B97" s="99" t="s">
        <v>319</v>
      </c>
      <c r="C97" s="100"/>
      <c r="D97" s="100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t="str">
        <f>IFERROR(__xludf.DUMMYFUNCTION("regexextract(B97,""[\w]* [\w]*"")"),"Thaddeus Young")</f>
        <v>Thaddeus Young</v>
      </c>
      <c r="P97" t="str">
        <f t="shared" si="2"/>
        <v>Thaddeus Young</v>
      </c>
      <c r="Q97" t="str">
        <f t="shared" si="3"/>
        <v>Thaddeus Young</v>
      </c>
      <c r="R97" t="s">
        <v>227</v>
      </c>
      <c r="S97" s="14" t="s">
        <v>227</v>
      </c>
      <c r="T97" t="s">
        <v>35</v>
      </c>
      <c r="U97" t="s">
        <v>36</v>
      </c>
      <c r="V97" t="s">
        <v>37</v>
      </c>
      <c r="W97" t="str">
        <f t="shared" si="1"/>
        <v>SFPFC</v>
      </c>
    </row>
    <row r="98">
      <c r="A98" s="101">
        <v>94.0</v>
      </c>
      <c r="B98" s="102" t="s">
        <v>320</v>
      </c>
      <c r="C98" s="103"/>
      <c r="D98" s="103"/>
      <c r="E98" s="113"/>
      <c r="F98" s="113"/>
      <c r="G98" s="113"/>
      <c r="H98" s="113"/>
      <c r="I98" s="113"/>
      <c r="J98" s="113"/>
      <c r="K98" s="113"/>
      <c r="L98" s="113"/>
      <c r="M98" s="113"/>
      <c r="N98" s="114"/>
      <c r="O98" t="str">
        <f>IFERROR(__xludf.DUMMYFUNCTION("regexextract(B98,""[\w]* [\w]*"")"),"Marcus Smart")</f>
        <v>Marcus Smart</v>
      </c>
      <c r="P98" t="str">
        <f t="shared" si="2"/>
        <v>Marcus Smart</v>
      </c>
      <c r="Q98" t="str">
        <f t="shared" si="3"/>
        <v>Marcus Smart</v>
      </c>
      <c r="R98" t="s">
        <v>33</v>
      </c>
      <c r="S98" s="14" t="s">
        <v>34</v>
      </c>
      <c r="T98" t="s">
        <v>227</v>
      </c>
      <c r="U98" t="s">
        <v>227</v>
      </c>
      <c r="V98" t="s">
        <v>37</v>
      </c>
      <c r="W98" t="str">
        <f t="shared" si="1"/>
        <v>PGSGC</v>
      </c>
    </row>
    <row r="99">
      <c r="A99" s="98">
        <v>95.0</v>
      </c>
      <c r="B99" s="99" t="s">
        <v>321</v>
      </c>
      <c r="C99" s="100"/>
      <c r="D99" s="100"/>
      <c r="E99" s="112"/>
      <c r="F99" s="112"/>
      <c r="G99" s="112"/>
      <c r="H99" s="112"/>
      <c r="I99" s="112"/>
      <c r="J99" s="112"/>
      <c r="K99" s="112"/>
      <c r="L99" s="112"/>
      <c r="M99" s="112"/>
      <c r="N99" s="115"/>
      <c r="O99" t="str">
        <f>IFERROR(__xludf.DUMMYFUNCTION("regexextract(B99,""[\w]* [\w]*"")"),"Dennis Schroder")</f>
        <v>Dennis Schroder</v>
      </c>
      <c r="P99" t="str">
        <f t="shared" si="2"/>
        <v>Dennis Schroder</v>
      </c>
      <c r="Q99" t="str">
        <f t="shared" si="3"/>
        <v>Dennis Schroder</v>
      </c>
      <c r="R99" t="s">
        <v>33</v>
      </c>
      <c r="S99" s="14" t="s">
        <v>227</v>
      </c>
      <c r="T99" t="s">
        <v>227</v>
      </c>
      <c r="U99" t="s">
        <v>227</v>
      </c>
      <c r="V99" t="s">
        <v>37</v>
      </c>
      <c r="W99" t="str">
        <f t="shared" si="1"/>
        <v>PGC</v>
      </c>
    </row>
    <row r="100">
      <c r="A100" s="101">
        <v>96.0</v>
      </c>
      <c r="B100" s="102" t="s">
        <v>322</v>
      </c>
      <c r="C100" s="103"/>
      <c r="D100" s="10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4"/>
      <c r="O100" t="str">
        <f>IFERROR(__xludf.DUMMYFUNCTION("regexextract(B100,""[\w]* [\w]*"")"),"Bogdan Bogdanovic")</f>
        <v>Bogdan Bogdanovic</v>
      </c>
      <c r="P100" t="str">
        <f t="shared" si="2"/>
        <v>Bogdan Bogdanovic</v>
      </c>
      <c r="Q100" t="str">
        <f t="shared" si="3"/>
        <v>Bogdan Bogdanovic</v>
      </c>
      <c r="R100" t="s">
        <v>227</v>
      </c>
      <c r="S100" s="14" t="s">
        <v>34</v>
      </c>
      <c r="T100" t="s">
        <v>35</v>
      </c>
      <c r="U100" t="s">
        <v>227</v>
      </c>
      <c r="V100" t="s">
        <v>37</v>
      </c>
      <c r="W100" t="str">
        <f t="shared" si="1"/>
        <v>SGSFC</v>
      </c>
    </row>
    <row r="101">
      <c r="A101" s="98">
        <v>97.0</v>
      </c>
      <c r="B101" s="99" t="s">
        <v>323</v>
      </c>
      <c r="C101" s="100"/>
      <c r="D101" s="100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t="str">
        <f>IFERROR(__xludf.DUMMYFUNCTION("regexextract(B101,""[\w]* [\w]*"")"),"Harrison Barnes")</f>
        <v>Harrison Barnes</v>
      </c>
      <c r="P101" t="str">
        <f t="shared" si="2"/>
        <v>Harrison Barnes</v>
      </c>
      <c r="Q101" t="str">
        <f t="shared" si="3"/>
        <v>Harrison Barnes</v>
      </c>
      <c r="R101" t="s">
        <v>227</v>
      </c>
      <c r="S101" s="14" t="s">
        <v>227</v>
      </c>
      <c r="T101" t="s">
        <v>35</v>
      </c>
      <c r="U101" t="s">
        <v>36</v>
      </c>
      <c r="V101" t="s">
        <v>37</v>
      </c>
      <c r="W101" t="str">
        <f t="shared" si="1"/>
        <v>SFPFC</v>
      </c>
    </row>
    <row r="102">
      <c r="A102" s="101">
        <v>98.0</v>
      </c>
      <c r="B102" s="102" t="s">
        <v>324</v>
      </c>
      <c r="C102" s="103"/>
      <c r="D102" s="10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4"/>
      <c r="O102" t="str">
        <f>IFERROR(__xludf.DUMMYFUNCTION("regexextract(B102,""[\w]* [\w]*"")"),"Reggie Jackson")</f>
        <v>Reggie Jackson</v>
      </c>
      <c r="P102" t="str">
        <f t="shared" si="2"/>
        <v>Reggie Jackson</v>
      </c>
      <c r="Q102" t="str">
        <f t="shared" si="3"/>
        <v>Reggie Jackson</v>
      </c>
      <c r="R102" t="s">
        <v>33</v>
      </c>
      <c r="S102" s="14" t="s">
        <v>227</v>
      </c>
      <c r="T102" t="s">
        <v>227</v>
      </c>
      <c r="U102" t="s">
        <v>227</v>
      </c>
      <c r="V102" t="s">
        <v>37</v>
      </c>
      <c r="W102" t="str">
        <f t="shared" si="1"/>
        <v>PGC</v>
      </c>
    </row>
    <row r="103">
      <c r="A103" s="98">
        <v>99.0</v>
      </c>
      <c r="B103" s="99" t="s">
        <v>325</v>
      </c>
      <c r="C103" s="100"/>
      <c r="D103" s="100"/>
      <c r="E103" s="112"/>
      <c r="F103" s="112"/>
      <c r="G103" s="112"/>
      <c r="H103" s="112"/>
      <c r="I103" s="112"/>
      <c r="J103" s="112"/>
      <c r="K103" s="112"/>
      <c r="L103" s="112"/>
      <c r="M103" s="112"/>
      <c r="N103" s="115"/>
      <c r="O103" t="str">
        <f>IFERROR(__xludf.DUMMYFUNCTION("regexextract(B103,""[\w]* [\w]*"")"),"Keldon Johnson")</f>
        <v>Keldon Johnson</v>
      </c>
      <c r="P103" t="str">
        <f t="shared" si="2"/>
        <v>Keldon Johnson</v>
      </c>
      <c r="Q103" t="str">
        <f t="shared" si="3"/>
        <v>Keldon Johnson</v>
      </c>
      <c r="R103" t="s">
        <v>227</v>
      </c>
      <c r="S103" s="14" t="s">
        <v>227</v>
      </c>
      <c r="T103" t="s">
        <v>35</v>
      </c>
      <c r="U103" t="s">
        <v>36</v>
      </c>
      <c r="V103" t="s">
        <v>227</v>
      </c>
      <c r="W103" t="str">
        <f t="shared" si="1"/>
        <v>SFPF</v>
      </c>
    </row>
    <row r="104">
      <c r="A104" s="101">
        <v>100.0</v>
      </c>
      <c r="B104" s="102" t="s">
        <v>326</v>
      </c>
      <c r="C104" s="103"/>
      <c r="D104" s="10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4"/>
      <c r="O104" t="str">
        <f>IFERROR(__xludf.DUMMYFUNCTION("regexextract(B104,""[\w]* [\w]*"")"),"Tim Hardaway")</f>
        <v>Tim Hardaway</v>
      </c>
      <c r="P104" t="str">
        <f t="shared" si="2"/>
        <v>Tim Hardaway</v>
      </c>
      <c r="Q104" t="str">
        <f t="shared" si="3"/>
        <v>Tim Hardaway</v>
      </c>
      <c r="R104" t="s">
        <v>227</v>
      </c>
      <c r="S104" s="14" t="s">
        <v>34</v>
      </c>
      <c r="T104" t="s">
        <v>35</v>
      </c>
      <c r="U104" t="s">
        <v>227</v>
      </c>
      <c r="V104" t="s">
        <v>227</v>
      </c>
      <c r="W104" t="str">
        <f t="shared" si="1"/>
        <v>SGSF</v>
      </c>
    </row>
    <row r="105">
      <c r="A105" s="90" t="s">
        <v>218</v>
      </c>
      <c r="C105" s="90" t="s">
        <v>219</v>
      </c>
      <c r="E105" s="108"/>
      <c r="F105" s="108"/>
      <c r="G105" s="108"/>
      <c r="H105" s="108"/>
      <c r="I105" s="108"/>
      <c r="J105" s="108"/>
      <c r="K105" s="108"/>
      <c r="L105" s="108"/>
      <c r="M105" s="108" t="s">
        <v>327</v>
      </c>
      <c r="N105" s="108"/>
      <c r="O105" t="str">
        <f>IFERROR(__xludf.DUMMYFUNCTION("regexextract(B105,""[\w]* [\w]*"")"),"#N/A")</f>
        <v>#N/A</v>
      </c>
      <c r="P105" t="str">
        <f t="shared" si="2"/>
        <v>#N/A</v>
      </c>
      <c r="Q105" t="str">
        <f t="shared" si="3"/>
        <v>#N/A</v>
      </c>
      <c r="R105" t="s">
        <v>227</v>
      </c>
      <c r="S105" s="14" t="s">
        <v>227</v>
      </c>
      <c r="T105" t="s">
        <v>227</v>
      </c>
      <c r="U105" t="s">
        <v>227</v>
      </c>
      <c r="V105" t="s">
        <v>227</v>
      </c>
      <c r="W105" t="str">
        <f t="shared" si="1"/>
        <v/>
      </c>
    </row>
    <row r="106">
      <c r="A106" s="93" t="s">
        <v>220</v>
      </c>
      <c r="B106" s="94" t="s">
        <v>221</v>
      </c>
      <c r="C106" s="93" t="s">
        <v>222</v>
      </c>
      <c r="D106" s="95" t="s">
        <v>223</v>
      </c>
      <c r="E106" s="109" t="s">
        <v>215</v>
      </c>
      <c r="F106" s="110">
        <v>0.625</v>
      </c>
      <c r="G106" s="109" t="s">
        <v>5</v>
      </c>
      <c r="H106" s="109" t="s">
        <v>7</v>
      </c>
      <c r="I106" s="109" t="s">
        <v>9</v>
      </c>
      <c r="J106" s="109" t="s">
        <v>10</v>
      </c>
      <c r="K106" s="109" t="s">
        <v>15</v>
      </c>
      <c r="L106" s="109" t="s">
        <v>2</v>
      </c>
      <c r="M106" s="109" t="s">
        <v>328</v>
      </c>
      <c r="N106" s="111" t="str">
        <f>+/-</f>
        <v>#ERROR!</v>
      </c>
      <c r="O106" t="str">
        <f>IFERROR(__xludf.DUMMYFUNCTION("regexextract(B106,""[\w]* [\w]*"")"),"#N/A")</f>
        <v>#N/A</v>
      </c>
      <c r="P106" t="str">
        <f t="shared" si="2"/>
        <v>#N/A</v>
      </c>
      <c r="Q106" t="str">
        <f t="shared" si="3"/>
        <v>#N/A</v>
      </c>
      <c r="R106" t="s">
        <v>227</v>
      </c>
      <c r="S106" s="14" t="s">
        <v>227</v>
      </c>
      <c r="T106" t="s">
        <v>227</v>
      </c>
      <c r="U106" t="s">
        <v>227</v>
      </c>
      <c r="V106" t="s">
        <v>227</v>
      </c>
      <c r="W106" t="str">
        <f t="shared" si="1"/>
        <v/>
      </c>
    </row>
    <row r="107">
      <c r="A107" s="98">
        <v>101.0</v>
      </c>
      <c r="B107" s="99" t="s">
        <v>329</v>
      </c>
      <c r="C107" s="100"/>
      <c r="D107" s="100"/>
      <c r="E107" s="112">
        <v>2.9</v>
      </c>
      <c r="F107" s="112">
        <v>3.1</v>
      </c>
      <c r="G107" s="112">
        <v>4.4</v>
      </c>
      <c r="H107" s="112">
        <v>4.2</v>
      </c>
      <c r="I107" s="112">
        <v>1.2</v>
      </c>
      <c r="J107" s="112">
        <v>0.4</v>
      </c>
      <c r="K107" s="112">
        <v>1.9</v>
      </c>
      <c r="L107" s="112">
        <v>19.7</v>
      </c>
      <c r="M107" s="112">
        <v>92.9</v>
      </c>
      <c r="N107" s="112">
        <v>0.0</v>
      </c>
      <c r="O107" t="str">
        <f>IFERROR(__xludf.DUMMYFUNCTION("regexextract(B107,""[\w]* [\w]*"")"),"Scottie Barnes")</f>
        <v>Scottie Barnes</v>
      </c>
      <c r="P107" t="str">
        <f t="shared" si="2"/>
        <v>Scottie Barnes</v>
      </c>
      <c r="Q107" t="str">
        <f t="shared" si="3"/>
        <v>Scottie Barnes</v>
      </c>
      <c r="R107" t="s">
        <v>227</v>
      </c>
      <c r="S107" s="14" t="s">
        <v>227</v>
      </c>
      <c r="T107" t="s">
        <v>35</v>
      </c>
      <c r="U107" t="s">
        <v>36</v>
      </c>
      <c r="V107" t="s">
        <v>37</v>
      </c>
      <c r="W107" t="str">
        <f t="shared" si="1"/>
        <v>SFPFC</v>
      </c>
    </row>
    <row r="108">
      <c r="A108" s="101">
        <v>102.0</v>
      </c>
      <c r="B108" s="102" t="s">
        <v>330</v>
      </c>
      <c r="C108" s="103"/>
      <c r="D108" s="103"/>
      <c r="E108" s="113">
        <v>4.7</v>
      </c>
      <c r="F108" s="113">
        <v>0.2</v>
      </c>
      <c r="G108" s="113">
        <v>11.3</v>
      </c>
      <c r="H108" s="113">
        <v>3.8</v>
      </c>
      <c r="I108" s="113">
        <v>1.2</v>
      </c>
      <c r="J108" s="113">
        <v>1.5</v>
      </c>
      <c r="K108" s="113">
        <v>2.5</v>
      </c>
      <c r="L108" s="113">
        <v>15.8</v>
      </c>
      <c r="M108" s="113">
        <v>81.4</v>
      </c>
      <c r="N108" s="114">
        <f>+3.9</f>
        <v>3.9</v>
      </c>
      <c r="O108" t="str">
        <f>IFERROR(__xludf.DUMMYFUNCTION("regexextract(B108,""[\w]* [\w]*"")"),"Donte DiVincenzoO")</f>
        <v>Donte DiVincenzoO</v>
      </c>
      <c r="P108" t="str">
        <f t="shared" si="2"/>
        <v>Donte DiVincenzoO</v>
      </c>
      <c r="Q108" t="str">
        <f t="shared" si="3"/>
        <v>Donte DiVincenzo</v>
      </c>
      <c r="R108" t="s">
        <v>33</v>
      </c>
      <c r="S108" s="14" t="s">
        <v>34</v>
      </c>
      <c r="T108" t="s">
        <v>227</v>
      </c>
      <c r="U108" t="s">
        <v>227</v>
      </c>
      <c r="V108" t="s">
        <v>37</v>
      </c>
      <c r="W108" t="str">
        <f t="shared" si="1"/>
        <v>PGSGC</v>
      </c>
    </row>
    <row r="109">
      <c r="A109" s="98">
        <v>103.0</v>
      </c>
      <c r="B109" s="99" t="s">
        <v>331</v>
      </c>
      <c r="C109" s="100"/>
      <c r="D109" s="100"/>
      <c r="E109" s="112">
        <v>5.9</v>
      </c>
      <c r="F109" s="112">
        <v>1.9</v>
      </c>
      <c r="G109" s="112">
        <v>7.4</v>
      </c>
      <c r="H109" s="112">
        <v>4.1</v>
      </c>
      <c r="I109" s="112">
        <v>1.1</v>
      </c>
      <c r="J109" s="112">
        <v>0.8</v>
      </c>
      <c r="K109" s="112">
        <v>2.4</v>
      </c>
      <c r="L109" s="112">
        <v>24.4</v>
      </c>
      <c r="M109" s="112">
        <v>90.1</v>
      </c>
      <c r="N109" s="116">
        <v>-0.5</v>
      </c>
      <c r="O109" t="str">
        <f>IFERROR(__xludf.DUMMYFUNCTION("regexextract(B109,""[\w]* [\w]*"")"),"Saddiq Bey")</f>
        <v>Saddiq Bey</v>
      </c>
      <c r="P109" t="str">
        <f t="shared" si="2"/>
        <v>Saddiq Bey</v>
      </c>
      <c r="Q109" t="str">
        <f t="shared" si="3"/>
        <v>Saddiq Bey</v>
      </c>
      <c r="R109" t="s">
        <v>227</v>
      </c>
      <c r="S109" s="14" t="s">
        <v>227</v>
      </c>
      <c r="T109" t="s">
        <v>35</v>
      </c>
      <c r="U109" t="s">
        <v>227</v>
      </c>
      <c r="V109" t="s">
        <v>227</v>
      </c>
      <c r="W109" t="str">
        <f t="shared" si="1"/>
        <v>SF</v>
      </c>
    </row>
    <row r="110">
      <c r="A110" s="101">
        <v>104.0</v>
      </c>
      <c r="B110" s="102" t="s">
        <v>332</v>
      </c>
      <c r="C110" s="103"/>
      <c r="D110" s="103"/>
      <c r="E110" s="113">
        <v>1.4</v>
      </c>
      <c r="F110" s="113">
        <v>0.7</v>
      </c>
      <c r="G110" s="113">
        <v>7.3</v>
      </c>
      <c r="H110" s="113">
        <v>8.8</v>
      </c>
      <c r="I110" s="113">
        <v>1.6</v>
      </c>
      <c r="J110" s="113">
        <v>1.0</v>
      </c>
      <c r="K110" s="113">
        <v>2.8</v>
      </c>
      <c r="L110" s="113">
        <v>7.5</v>
      </c>
      <c r="M110" s="113">
        <v>94.4</v>
      </c>
      <c r="N110" s="117">
        <v>-0.6</v>
      </c>
      <c r="O110" t="str">
        <f>IFERROR(__xludf.DUMMYFUNCTION("regexextract(B110,""[\w]* [\w]*"")"),"Joe Ingles")</f>
        <v>Joe Ingles</v>
      </c>
      <c r="P110" t="str">
        <f t="shared" si="2"/>
        <v>Joe Ingles</v>
      </c>
      <c r="Q110" t="str">
        <f t="shared" si="3"/>
        <v>Joe Ingles</v>
      </c>
      <c r="R110" t="s">
        <v>227</v>
      </c>
      <c r="S110" s="14" t="s">
        <v>34</v>
      </c>
      <c r="T110" t="s">
        <v>35</v>
      </c>
      <c r="U110" t="s">
        <v>36</v>
      </c>
      <c r="V110" t="s">
        <v>227</v>
      </c>
      <c r="W110" t="str">
        <f t="shared" si="1"/>
        <v>SGSFPF</v>
      </c>
    </row>
    <row r="111">
      <c r="A111" s="98">
        <v>105.0</v>
      </c>
      <c r="B111" s="99" t="s">
        <v>333</v>
      </c>
      <c r="C111" s="100"/>
      <c r="D111" s="100"/>
      <c r="E111" s="112">
        <v>2.9</v>
      </c>
      <c r="F111" s="112">
        <v>0.0</v>
      </c>
      <c r="G111" s="112">
        <v>9.0</v>
      </c>
      <c r="H111" s="112">
        <v>2.3</v>
      </c>
      <c r="I111" s="112">
        <v>0.8</v>
      </c>
      <c r="J111" s="112">
        <v>2.0</v>
      </c>
      <c r="K111" s="112">
        <v>1.3</v>
      </c>
      <c r="L111" s="112">
        <v>12.4</v>
      </c>
      <c r="M111" s="112">
        <v>71.7</v>
      </c>
      <c r="N111" s="115">
        <f>+5.2</f>
        <v>5.2</v>
      </c>
      <c r="O111" t="str">
        <f>IFERROR(__xludf.DUMMYFUNCTION("regexextract(B111,""[\w]* [\w]*"")"),"Miles Bridges")</f>
        <v>Miles Bridges</v>
      </c>
      <c r="P111" t="str">
        <f t="shared" si="2"/>
        <v>Miles Bridges</v>
      </c>
      <c r="Q111" t="str">
        <f t="shared" si="3"/>
        <v>Miles Bridges</v>
      </c>
      <c r="R111" t="s">
        <v>227</v>
      </c>
      <c r="S111" s="14" t="s">
        <v>227</v>
      </c>
      <c r="T111" t="s">
        <v>35</v>
      </c>
      <c r="U111" t="s">
        <v>36</v>
      </c>
      <c r="V111" t="s">
        <v>37</v>
      </c>
      <c r="W111" t="str">
        <f t="shared" si="1"/>
        <v>SFPFC</v>
      </c>
    </row>
    <row r="112">
      <c r="A112" s="101">
        <v>106.0</v>
      </c>
      <c r="B112" s="102" t="s">
        <v>334</v>
      </c>
      <c r="C112" s="103"/>
      <c r="D112" s="103"/>
      <c r="E112" s="113">
        <v>4.0</v>
      </c>
      <c r="F112" s="113">
        <v>2.6</v>
      </c>
      <c r="G112" s="113">
        <v>4.9</v>
      </c>
      <c r="H112" s="113">
        <v>3.1</v>
      </c>
      <c r="I112" s="113">
        <v>1.2</v>
      </c>
      <c r="J112" s="113">
        <v>0.5</v>
      </c>
      <c r="K112" s="113">
        <v>2.4</v>
      </c>
      <c r="L112" s="113">
        <v>21.2</v>
      </c>
      <c r="M112" s="113">
        <v>91.9</v>
      </c>
      <c r="N112" s="114">
        <f>+0.9</f>
        <v>0.9</v>
      </c>
      <c r="O112" t="str">
        <f>IFERROR(__xludf.DUMMYFUNCTION("regexextract(B112,""[\w]* [\w]*"")"),"Brook Lopez")</f>
        <v>Brook Lopez</v>
      </c>
      <c r="P112" t="str">
        <f t="shared" si="2"/>
        <v>Brook Lopez</v>
      </c>
      <c r="Q112" t="str">
        <f t="shared" si="3"/>
        <v>Brook Lopez</v>
      </c>
      <c r="R112" t="s">
        <v>227</v>
      </c>
      <c r="S112" s="14" t="s">
        <v>227</v>
      </c>
      <c r="T112" t="s">
        <v>227</v>
      </c>
      <c r="U112" t="s">
        <v>227</v>
      </c>
      <c r="V112" t="s">
        <v>37</v>
      </c>
      <c r="W112" t="str">
        <f t="shared" si="1"/>
        <v>C</v>
      </c>
    </row>
    <row r="113">
      <c r="A113" s="98">
        <v>107.0</v>
      </c>
      <c r="B113" s="99" t="s">
        <v>335</v>
      </c>
      <c r="C113" s="100"/>
      <c r="D113" s="100"/>
      <c r="E113" s="112">
        <v>1.8</v>
      </c>
      <c r="F113" s="112">
        <v>0.0</v>
      </c>
      <c r="G113" s="112">
        <v>8.9</v>
      </c>
      <c r="H113" s="112">
        <v>2.3</v>
      </c>
      <c r="I113" s="112">
        <v>1.1</v>
      </c>
      <c r="J113" s="112">
        <v>2.3</v>
      </c>
      <c r="K113" s="112">
        <v>1.3</v>
      </c>
      <c r="L113" s="112">
        <v>10.3</v>
      </c>
      <c r="M113" s="112">
        <v>67.4</v>
      </c>
      <c r="N113" s="115">
        <f>+8.2</f>
        <v>8.2</v>
      </c>
      <c r="O113" t="str">
        <f>IFERROR(__xludf.DUMMYFUNCTION("regexextract(B113,""[\w]* [\w]*"")"),"Daniel Theis")</f>
        <v>Daniel Theis</v>
      </c>
      <c r="P113" t="str">
        <f t="shared" si="2"/>
        <v>Daniel Theis</v>
      </c>
      <c r="Q113" t="str">
        <f t="shared" si="3"/>
        <v>Daniel Theis</v>
      </c>
      <c r="R113" t="s">
        <v>227</v>
      </c>
      <c r="S113" s="14" t="s">
        <v>227</v>
      </c>
      <c r="T113" t="s">
        <v>227</v>
      </c>
      <c r="U113" t="s">
        <v>36</v>
      </c>
      <c r="V113" t="s">
        <v>37</v>
      </c>
      <c r="W113" t="str">
        <f t="shared" si="1"/>
        <v>PFC</v>
      </c>
    </row>
    <row r="114">
      <c r="A114" s="101">
        <v>108.0</v>
      </c>
      <c r="B114" s="102" t="s">
        <v>336</v>
      </c>
      <c r="C114" s="103"/>
      <c r="D114" s="103"/>
      <c r="E114" s="113">
        <v>1.0</v>
      </c>
      <c r="F114" s="113">
        <v>2.4</v>
      </c>
      <c r="G114" s="113">
        <v>3.2</v>
      </c>
      <c r="H114" s="113">
        <v>5.6</v>
      </c>
      <c r="I114" s="113">
        <v>1.4</v>
      </c>
      <c r="J114" s="113">
        <v>0.5</v>
      </c>
      <c r="K114" s="113">
        <v>1.7</v>
      </c>
      <c r="L114" s="113">
        <v>14.1</v>
      </c>
      <c r="M114" s="113">
        <v>80.1</v>
      </c>
      <c r="N114" s="114">
        <f>+2.5</f>
        <v>2.5</v>
      </c>
      <c r="O114" t="str">
        <f>IFERROR(__xludf.DUMMYFUNCTION("regexextract(B114,""[\w]* [\w]*"")"),"Mitchell RobinsonO")</f>
        <v>Mitchell RobinsonO</v>
      </c>
      <c r="P114" t="str">
        <f t="shared" si="2"/>
        <v>Mitchell RobinsonO</v>
      </c>
      <c r="Q114" t="str">
        <f t="shared" si="3"/>
        <v>Mitchell Robinson</v>
      </c>
      <c r="R114" t="s">
        <v>227</v>
      </c>
      <c r="S114" s="14" t="s">
        <v>227</v>
      </c>
      <c r="T114" t="s">
        <v>227</v>
      </c>
      <c r="U114" t="s">
        <v>227</v>
      </c>
      <c r="V114" t="s">
        <v>37</v>
      </c>
      <c r="W114" t="str">
        <f t="shared" si="1"/>
        <v>C</v>
      </c>
    </row>
    <row r="115">
      <c r="A115" s="98">
        <v>109.0</v>
      </c>
      <c r="B115" s="99" t="s">
        <v>337</v>
      </c>
      <c r="C115" s="100"/>
      <c r="D115" s="100"/>
      <c r="E115" s="112">
        <v>3.8</v>
      </c>
      <c r="F115" s="112">
        <v>2.6</v>
      </c>
      <c r="G115" s="112">
        <v>4.8</v>
      </c>
      <c r="H115" s="112">
        <v>7.2</v>
      </c>
      <c r="I115" s="112">
        <v>1.1</v>
      </c>
      <c r="J115" s="112">
        <v>0.3</v>
      </c>
      <c r="K115" s="112">
        <v>2.6</v>
      </c>
      <c r="L115" s="112">
        <v>16.3</v>
      </c>
      <c r="M115" s="112">
        <v>88.2</v>
      </c>
      <c r="N115" s="115">
        <f>+0.9</f>
        <v>0.9</v>
      </c>
      <c r="O115" t="str">
        <f>IFERROR(__xludf.DUMMYFUNCTION("regexextract(B115,""[\w]* [\w]*"")"),"Jordan Clarkson")</f>
        <v>Jordan Clarkson</v>
      </c>
      <c r="P115" t="str">
        <f t="shared" si="2"/>
        <v>Jordan Clarkson</v>
      </c>
      <c r="Q115" t="str">
        <f t="shared" si="3"/>
        <v>Jordan Clarkson</v>
      </c>
      <c r="R115" t="s">
        <v>227</v>
      </c>
      <c r="S115" s="14" t="s">
        <v>34</v>
      </c>
      <c r="T115" t="s">
        <v>227</v>
      </c>
      <c r="U115" t="s">
        <v>227</v>
      </c>
      <c r="V115" t="s">
        <v>37</v>
      </c>
      <c r="W115" t="str">
        <f t="shared" si="1"/>
        <v>SGC</v>
      </c>
    </row>
    <row r="116">
      <c r="A116" s="101">
        <v>110.0</v>
      </c>
      <c r="B116" s="102" t="s">
        <v>338</v>
      </c>
      <c r="C116" s="103"/>
      <c r="D116" s="103"/>
      <c r="E116" s="113">
        <v>4.1</v>
      </c>
      <c r="F116" s="113">
        <v>1.3</v>
      </c>
      <c r="G116" s="113">
        <v>4.8</v>
      </c>
      <c r="H116" s="113">
        <v>5.1</v>
      </c>
      <c r="I116" s="113">
        <v>1.6</v>
      </c>
      <c r="J116" s="113">
        <v>0.8</v>
      </c>
      <c r="K116" s="113">
        <v>2.4</v>
      </c>
      <c r="L116" s="113">
        <v>15.7</v>
      </c>
      <c r="M116" s="113">
        <v>78.6</v>
      </c>
      <c r="N116" s="114">
        <f>+2.5</f>
        <v>2.5</v>
      </c>
      <c r="O116" t="str">
        <f>IFERROR(__xludf.DUMMYFUNCTION("regexextract(B116,""[\w]* [\w]*"")"),"Killian Hayes")</f>
        <v>Killian Hayes</v>
      </c>
      <c r="P116" t="str">
        <f t="shared" si="2"/>
        <v>Killian Hayes</v>
      </c>
      <c r="Q116" t="str">
        <f t="shared" si="3"/>
        <v>Killian Hayes</v>
      </c>
      <c r="R116" t="s">
        <v>33</v>
      </c>
      <c r="S116" s="14" t="s">
        <v>227</v>
      </c>
      <c r="T116" t="s">
        <v>227</v>
      </c>
      <c r="U116" t="s">
        <v>227</v>
      </c>
      <c r="V116" t="s">
        <v>227</v>
      </c>
      <c r="W116" t="str">
        <f t="shared" si="1"/>
        <v>PG</v>
      </c>
    </row>
    <row r="117">
      <c r="A117" s="98">
        <v>111.0</v>
      </c>
      <c r="B117" s="99" t="s">
        <v>339</v>
      </c>
      <c r="C117" s="100"/>
      <c r="D117" s="100"/>
      <c r="E117" s="112">
        <v>4.3</v>
      </c>
      <c r="F117" s="112">
        <v>2.3</v>
      </c>
      <c r="G117" s="112">
        <v>3.9</v>
      </c>
      <c r="H117" s="112">
        <v>4.7</v>
      </c>
      <c r="I117" s="112">
        <v>0.9</v>
      </c>
      <c r="J117" s="112">
        <v>1.1</v>
      </c>
      <c r="K117" s="112">
        <v>1.6</v>
      </c>
      <c r="L117" s="112">
        <v>18.5</v>
      </c>
      <c r="M117" s="112">
        <v>75.5</v>
      </c>
      <c r="N117" s="115">
        <f>+3.3</f>
        <v>3.3</v>
      </c>
      <c r="O117" t="str">
        <f>IFERROR(__xludf.DUMMYFUNCTION("regexextract(B117,""[\w]* [\w]*"")"),"Marvin Bagley")</f>
        <v>Marvin Bagley</v>
      </c>
      <c r="P117" t="str">
        <f t="shared" si="2"/>
        <v>Marvin Bagley</v>
      </c>
      <c r="Q117" t="str">
        <f t="shared" si="3"/>
        <v>Marvin Bagley</v>
      </c>
      <c r="R117" t="s">
        <v>227</v>
      </c>
      <c r="S117" s="14" t="s">
        <v>227</v>
      </c>
      <c r="T117" t="s">
        <v>227</v>
      </c>
      <c r="U117" t="s">
        <v>36</v>
      </c>
      <c r="V117" t="s">
        <v>37</v>
      </c>
      <c r="W117" t="str">
        <f t="shared" si="1"/>
        <v>PFC</v>
      </c>
    </row>
    <row r="118">
      <c r="A118" s="101">
        <v>112.0</v>
      </c>
      <c r="B118" s="102" t="s">
        <v>340</v>
      </c>
      <c r="C118" s="103"/>
      <c r="D118" s="103"/>
      <c r="E118" s="113">
        <v>3.3</v>
      </c>
      <c r="F118" s="113">
        <v>1.5</v>
      </c>
      <c r="G118" s="113">
        <v>5.6</v>
      </c>
      <c r="H118" s="113">
        <v>4.4</v>
      </c>
      <c r="I118" s="113">
        <v>1.3</v>
      </c>
      <c r="J118" s="113">
        <v>0.9</v>
      </c>
      <c r="K118" s="113">
        <v>1.9</v>
      </c>
      <c r="L118" s="113">
        <v>15.0</v>
      </c>
      <c r="M118" s="113">
        <v>89.7</v>
      </c>
      <c r="N118" s="114">
        <f>+0.6</f>
        <v>0.6</v>
      </c>
      <c r="O118" t="str">
        <f>IFERROR(__xludf.DUMMYFUNCTION("regexextract(B118,""[\w]* [\w]*"")"),"Gordon Hayward")</f>
        <v>Gordon Hayward</v>
      </c>
      <c r="P118" t="str">
        <f t="shared" si="2"/>
        <v>Gordon Hayward</v>
      </c>
      <c r="Q118" t="str">
        <f t="shared" si="3"/>
        <v>Gordon Hayward</v>
      </c>
      <c r="R118" t="s">
        <v>227</v>
      </c>
      <c r="S118" s="14" t="s">
        <v>227</v>
      </c>
      <c r="T118" t="s">
        <v>35</v>
      </c>
      <c r="U118" t="s">
        <v>227</v>
      </c>
      <c r="V118" t="s">
        <v>37</v>
      </c>
      <c r="W118" t="str">
        <f t="shared" si="1"/>
        <v>SFC</v>
      </c>
    </row>
    <row r="119">
      <c r="A119" s="98">
        <v>113.0</v>
      </c>
      <c r="B119" s="99" t="s">
        <v>341</v>
      </c>
      <c r="C119" s="100"/>
      <c r="D119" s="100"/>
      <c r="E119" s="112">
        <v>1.8</v>
      </c>
      <c r="F119" s="112">
        <v>3.9</v>
      </c>
      <c r="G119" s="112">
        <v>4.9</v>
      </c>
      <c r="H119" s="112">
        <v>3.3</v>
      </c>
      <c r="I119" s="112">
        <v>0.9</v>
      </c>
      <c r="J119" s="112">
        <v>0.4</v>
      </c>
      <c r="K119" s="112">
        <v>2.0</v>
      </c>
      <c r="L119" s="112">
        <v>18.5</v>
      </c>
      <c r="M119" s="112">
        <v>85.6</v>
      </c>
      <c r="N119" s="115">
        <f>+1.4</f>
        <v>1.4</v>
      </c>
      <c r="O119" t="str">
        <f>IFERROR(__xludf.DUMMYFUNCTION("regexextract(B119,""[\w]* [\w]*"")"),"Evan Fournier")</f>
        <v>Evan Fournier</v>
      </c>
      <c r="P119" t="str">
        <f t="shared" si="2"/>
        <v>Evan Fournier</v>
      </c>
      <c r="Q119" t="str">
        <f t="shared" si="3"/>
        <v>Evan Fournier</v>
      </c>
      <c r="R119" t="s">
        <v>227</v>
      </c>
      <c r="S119" s="14" t="s">
        <v>34</v>
      </c>
      <c r="T119" t="s">
        <v>35</v>
      </c>
      <c r="U119" t="s">
        <v>227</v>
      </c>
      <c r="V119" t="s">
        <v>227</v>
      </c>
      <c r="W119" t="str">
        <f t="shared" si="1"/>
        <v>SGSF</v>
      </c>
    </row>
    <row r="120">
      <c r="A120" s="101">
        <v>114.0</v>
      </c>
      <c r="B120" s="102" t="s">
        <v>342</v>
      </c>
      <c r="C120" s="103"/>
      <c r="D120" s="103"/>
      <c r="E120" s="113">
        <v>4.8</v>
      </c>
      <c r="F120" s="113">
        <v>0.1</v>
      </c>
      <c r="G120" s="113">
        <v>10.6</v>
      </c>
      <c r="H120" s="113">
        <v>1.7</v>
      </c>
      <c r="I120" s="113">
        <v>0.6</v>
      </c>
      <c r="J120" s="113">
        <v>1.5</v>
      </c>
      <c r="K120" s="113">
        <v>1.6</v>
      </c>
      <c r="L120" s="113">
        <v>13.4</v>
      </c>
      <c r="M120" s="113">
        <v>82.5</v>
      </c>
      <c r="N120" s="114">
        <f>+2.2</f>
        <v>2.2</v>
      </c>
      <c r="O120" t="str">
        <f>IFERROR(__xludf.DUMMYFUNCTION("regexextract(B120,""[\w]* [\w]*"")"),"Brandon Clarke")</f>
        <v>Brandon Clarke</v>
      </c>
      <c r="P120" t="str">
        <f t="shared" si="2"/>
        <v>Brandon Clarke</v>
      </c>
      <c r="Q120" t="str">
        <f t="shared" si="3"/>
        <v>Brandon Clarke</v>
      </c>
      <c r="R120" t="s">
        <v>227</v>
      </c>
      <c r="S120" s="14" t="s">
        <v>227</v>
      </c>
      <c r="T120" t="s">
        <v>227</v>
      </c>
      <c r="U120" t="s">
        <v>36</v>
      </c>
      <c r="V120" t="s">
        <v>37</v>
      </c>
      <c r="W120" t="str">
        <f t="shared" si="1"/>
        <v>PFC</v>
      </c>
    </row>
    <row r="121">
      <c r="A121" s="98">
        <v>115.0</v>
      </c>
      <c r="B121" s="99" t="s">
        <v>343</v>
      </c>
      <c r="C121" s="100"/>
      <c r="D121" s="100"/>
      <c r="E121" s="112">
        <v>3.1</v>
      </c>
      <c r="F121" s="112">
        <v>2.1</v>
      </c>
      <c r="G121" s="112">
        <v>5.0</v>
      </c>
      <c r="H121" s="112">
        <v>5.8</v>
      </c>
      <c r="I121" s="112">
        <v>0.8</v>
      </c>
      <c r="J121" s="112">
        <v>0.2</v>
      </c>
      <c r="K121" s="112">
        <v>2.1</v>
      </c>
      <c r="L121" s="112">
        <v>19.1</v>
      </c>
      <c r="M121" s="112">
        <v>89.3</v>
      </c>
      <c r="N121" s="116">
        <v>-0.5</v>
      </c>
      <c r="O121" t="str">
        <f>IFERROR(__xludf.DUMMYFUNCTION("regexextract(B121,""[\w]* [\w]*"")"),"Jonas Valanciunas")</f>
        <v>Jonas Valanciunas</v>
      </c>
      <c r="P121" t="str">
        <f t="shared" si="2"/>
        <v>Jonas Valanciunas</v>
      </c>
      <c r="Q121" t="str">
        <f t="shared" si="3"/>
        <v>Jonas Valanciunas</v>
      </c>
      <c r="R121" t="s">
        <v>227</v>
      </c>
      <c r="S121" s="14" t="s">
        <v>227</v>
      </c>
      <c r="T121" t="s">
        <v>227</v>
      </c>
      <c r="U121" t="s">
        <v>227</v>
      </c>
      <c r="V121" t="s">
        <v>37</v>
      </c>
      <c r="W121" t="str">
        <f t="shared" si="1"/>
        <v>C</v>
      </c>
    </row>
    <row r="122">
      <c r="A122" s="101">
        <v>116.0</v>
      </c>
      <c r="B122" s="102" t="s">
        <v>344</v>
      </c>
      <c r="C122" s="103"/>
      <c r="D122" s="103"/>
      <c r="E122" s="113">
        <v>7.1</v>
      </c>
      <c r="F122" s="113">
        <v>2.1</v>
      </c>
      <c r="G122" s="113">
        <v>3.7</v>
      </c>
      <c r="H122" s="113">
        <v>6.7</v>
      </c>
      <c r="I122" s="113">
        <v>0.7</v>
      </c>
      <c r="J122" s="113">
        <v>0.4</v>
      </c>
      <c r="K122" s="113">
        <v>2.9</v>
      </c>
      <c r="L122" s="113">
        <v>21.4</v>
      </c>
      <c r="M122" s="113">
        <v>86.9</v>
      </c>
      <c r="N122" s="117">
        <v>-0.1</v>
      </c>
      <c r="O122" t="str">
        <f>IFERROR(__xludf.DUMMYFUNCTION("regexextract(B122,""[\w]* [\w]*"")"),"Hassan Whiteside")</f>
        <v>Hassan Whiteside</v>
      </c>
      <c r="P122" t="str">
        <f t="shared" si="2"/>
        <v>Hassan Whiteside</v>
      </c>
      <c r="Q122" t="str">
        <f t="shared" si="3"/>
        <v>Hassan Whiteside</v>
      </c>
      <c r="R122" t="s">
        <v>227</v>
      </c>
      <c r="S122" s="14" t="s">
        <v>227</v>
      </c>
      <c r="T122" t="s">
        <v>227</v>
      </c>
      <c r="U122" t="s">
        <v>227</v>
      </c>
      <c r="V122" t="s">
        <v>37</v>
      </c>
      <c r="W122" t="str">
        <f t="shared" si="1"/>
        <v>C</v>
      </c>
    </row>
    <row r="123">
      <c r="A123" s="98">
        <v>117.0</v>
      </c>
      <c r="B123" s="99" t="s">
        <v>345</v>
      </c>
      <c r="C123" s="100"/>
      <c r="D123" s="100"/>
      <c r="E123" s="112">
        <v>2.4</v>
      </c>
      <c r="F123" s="112">
        <v>1.1</v>
      </c>
      <c r="G123" s="112">
        <v>7.4</v>
      </c>
      <c r="H123" s="112">
        <v>1.5</v>
      </c>
      <c r="I123" s="112">
        <v>1.6</v>
      </c>
      <c r="J123" s="112">
        <v>2.5</v>
      </c>
      <c r="K123" s="112">
        <v>1.6</v>
      </c>
      <c r="L123" s="112">
        <v>13.3</v>
      </c>
      <c r="M123" s="112">
        <v>71.0</v>
      </c>
      <c r="N123" s="115">
        <f>+4.1</f>
        <v>4.1</v>
      </c>
      <c r="O123" t="str">
        <f>IFERROR(__xludf.DUMMYFUNCTION("regexextract(B123,""[\w]* [\w]*"")"),"Joe Harris")</f>
        <v>Joe Harris</v>
      </c>
      <c r="P123" t="str">
        <f t="shared" si="2"/>
        <v>Joe Harris</v>
      </c>
      <c r="Q123" t="str">
        <f t="shared" si="3"/>
        <v>Joe Harris</v>
      </c>
      <c r="R123" t="s">
        <v>227</v>
      </c>
      <c r="S123" s="14" t="s">
        <v>34</v>
      </c>
      <c r="T123" t="s">
        <v>35</v>
      </c>
      <c r="U123" t="s">
        <v>227</v>
      </c>
      <c r="V123" t="s">
        <v>227</v>
      </c>
      <c r="W123" t="str">
        <f t="shared" si="1"/>
        <v>SGSF</v>
      </c>
    </row>
    <row r="124">
      <c r="A124" s="101">
        <v>118.0</v>
      </c>
      <c r="B124" s="102" t="s">
        <v>346</v>
      </c>
      <c r="C124" s="103"/>
      <c r="D124" s="103"/>
      <c r="E124" s="113">
        <v>3.0</v>
      </c>
      <c r="F124" s="113">
        <v>3.4</v>
      </c>
      <c r="G124" s="113">
        <v>3.5</v>
      </c>
      <c r="H124" s="113">
        <v>7.2</v>
      </c>
      <c r="I124" s="113">
        <v>1.1</v>
      </c>
      <c r="J124" s="113">
        <v>0.3</v>
      </c>
      <c r="K124" s="113">
        <v>3.0</v>
      </c>
      <c r="L124" s="113">
        <v>18.5</v>
      </c>
      <c r="M124" s="113">
        <v>85.8</v>
      </c>
      <c r="N124" s="114">
        <f>+1.1</f>
        <v>1.1</v>
      </c>
      <c r="O124" t="str">
        <f>IFERROR(__xludf.DUMMYFUNCTION("regexextract(B124,""[\w]* [\w]*"")"),"Malik Beasley")</f>
        <v>Malik Beasley</v>
      </c>
      <c r="P124" t="str">
        <f t="shared" si="2"/>
        <v>Malik Beasley</v>
      </c>
      <c r="Q124" t="str">
        <f t="shared" si="3"/>
        <v>Malik Beasley</v>
      </c>
      <c r="R124" t="s">
        <v>227</v>
      </c>
      <c r="S124" s="14" t="s">
        <v>34</v>
      </c>
      <c r="T124" t="s">
        <v>35</v>
      </c>
      <c r="U124" t="s">
        <v>227</v>
      </c>
      <c r="V124" t="s">
        <v>227</v>
      </c>
      <c r="W124" t="str">
        <f t="shared" si="1"/>
        <v>SGSF</v>
      </c>
    </row>
    <row r="125">
      <c r="A125" s="98">
        <v>119.0</v>
      </c>
      <c r="B125" s="99" t="s">
        <v>347</v>
      </c>
      <c r="C125" s="100"/>
      <c r="D125" s="100"/>
      <c r="E125" s="112">
        <v>4.1</v>
      </c>
      <c r="F125" s="112">
        <v>3.0</v>
      </c>
      <c r="G125" s="112">
        <v>3.9</v>
      </c>
      <c r="H125" s="112">
        <v>5.0</v>
      </c>
      <c r="I125" s="112">
        <v>1.1</v>
      </c>
      <c r="J125" s="112">
        <v>0.4</v>
      </c>
      <c r="K125" s="112">
        <v>2.1</v>
      </c>
      <c r="L125" s="112">
        <v>20.5</v>
      </c>
      <c r="M125" s="112">
        <v>93.4</v>
      </c>
      <c r="N125" s="116">
        <v>-1.7</v>
      </c>
      <c r="O125" t="str">
        <f>IFERROR(__xludf.DUMMYFUNCTION("regexextract(B125,""[\w]* [\w]*"")"),"Kyle Kuzma")</f>
        <v>Kyle Kuzma</v>
      </c>
      <c r="P125" t="str">
        <f t="shared" si="2"/>
        <v>Kyle Kuzma</v>
      </c>
      <c r="Q125" t="str">
        <f t="shared" si="3"/>
        <v>Kyle Kuzma</v>
      </c>
      <c r="R125" t="s">
        <v>227</v>
      </c>
      <c r="S125" s="14" t="s">
        <v>227</v>
      </c>
      <c r="T125" t="s">
        <v>35</v>
      </c>
      <c r="U125" t="s">
        <v>36</v>
      </c>
      <c r="V125" t="s">
        <v>227</v>
      </c>
      <c r="W125" t="str">
        <f t="shared" si="1"/>
        <v>SFPF</v>
      </c>
    </row>
    <row r="126">
      <c r="A126" s="101">
        <v>120.0</v>
      </c>
      <c r="B126" s="102" t="s">
        <v>348</v>
      </c>
      <c r="C126" s="103"/>
      <c r="D126" s="103"/>
      <c r="E126" s="113">
        <v>3.6</v>
      </c>
      <c r="F126" s="113">
        <v>2.0</v>
      </c>
      <c r="G126" s="113">
        <v>4.9</v>
      </c>
      <c r="H126" s="113">
        <v>2.5</v>
      </c>
      <c r="I126" s="113">
        <v>0.9</v>
      </c>
      <c r="J126" s="113">
        <v>1.0</v>
      </c>
      <c r="K126" s="113">
        <v>1.9</v>
      </c>
      <c r="L126" s="113">
        <v>19.0</v>
      </c>
      <c r="M126" s="113">
        <v>86.0</v>
      </c>
      <c r="N126" s="114">
        <f>+0.5</f>
        <v>0.5</v>
      </c>
      <c r="O126" t="str">
        <f>IFERROR(__xludf.DUMMYFUNCTION("regexextract(B126,""[\w]* [\w]*"")")," McConnell")</f>
        <v> McConnell</v>
      </c>
      <c r="P126" t="str">
        <f t="shared" si="2"/>
        <v> McConnell</v>
      </c>
      <c r="Q126" t="str">
        <f t="shared" si="3"/>
        <v> McConnell</v>
      </c>
      <c r="R126" t="s">
        <v>33</v>
      </c>
      <c r="S126" s="14" t="s">
        <v>227</v>
      </c>
      <c r="T126" t="s">
        <v>227</v>
      </c>
      <c r="U126" t="s">
        <v>227</v>
      </c>
      <c r="V126" t="s">
        <v>37</v>
      </c>
      <c r="W126" t="str">
        <f t="shared" si="1"/>
        <v>PGC</v>
      </c>
    </row>
    <row r="127">
      <c r="A127" s="98">
        <v>121.0</v>
      </c>
      <c r="B127" s="99" t="s">
        <v>349</v>
      </c>
      <c r="C127" s="100"/>
      <c r="D127" s="100"/>
      <c r="E127" s="112">
        <v>2.9</v>
      </c>
      <c r="F127" s="112">
        <v>2.6</v>
      </c>
      <c r="G127" s="112">
        <v>5.5</v>
      </c>
      <c r="H127" s="112">
        <v>2.1</v>
      </c>
      <c r="I127" s="112">
        <v>1.5</v>
      </c>
      <c r="J127" s="112">
        <v>0.7</v>
      </c>
      <c r="K127" s="112">
        <v>1.7</v>
      </c>
      <c r="L127" s="112">
        <v>17.4</v>
      </c>
      <c r="M127" s="112">
        <v>88.2</v>
      </c>
      <c r="N127" s="116">
        <v>-0.7</v>
      </c>
      <c r="O127" t="str">
        <f>IFERROR(__xludf.DUMMYFUNCTION("regexextract(B127,""[\w]* [\w]*"")"),"Lauri Markkanen")</f>
        <v>Lauri Markkanen</v>
      </c>
      <c r="P127" t="str">
        <f t="shared" si="2"/>
        <v>Lauri Markkanen</v>
      </c>
      <c r="Q127" t="str">
        <f t="shared" si="3"/>
        <v>Lauri Markkanen</v>
      </c>
      <c r="R127" t="s">
        <v>227</v>
      </c>
      <c r="S127" s="14" t="s">
        <v>227</v>
      </c>
      <c r="T127" t="s">
        <v>227</v>
      </c>
      <c r="U127" t="s">
        <v>36</v>
      </c>
      <c r="V127" t="s">
        <v>37</v>
      </c>
      <c r="W127" t="str">
        <f t="shared" si="1"/>
        <v>PFC</v>
      </c>
    </row>
    <row r="128">
      <c r="A128" s="101">
        <v>122.0</v>
      </c>
      <c r="B128" s="102" t="s">
        <v>350</v>
      </c>
      <c r="C128" s="103"/>
      <c r="D128" s="103"/>
      <c r="E128" s="113">
        <v>3.3</v>
      </c>
      <c r="F128" s="113">
        <v>1.3</v>
      </c>
      <c r="G128" s="113">
        <v>7.9</v>
      </c>
      <c r="H128" s="113">
        <v>1.3</v>
      </c>
      <c r="I128" s="113">
        <v>0.6</v>
      </c>
      <c r="J128" s="113">
        <v>1.1</v>
      </c>
      <c r="K128" s="113">
        <v>1.4</v>
      </c>
      <c r="L128" s="113">
        <v>18.3</v>
      </c>
      <c r="M128" s="113">
        <v>84.3</v>
      </c>
      <c r="N128" s="114">
        <f>+2</f>
        <v>2</v>
      </c>
      <c r="O128" t="str">
        <f>IFERROR(__xludf.DUMMYFUNCTION("regexextract(B128,""[\w]* [\w]*"")"),"Thomas BryantO")</f>
        <v>Thomas BryantO</v>
      </c>
      <c r="P128" t="str">
        <f t="shared" si="2"/>
        <v>Thomas BryantO</v>
      </c>
      <c r="Q128" t="str">
        <f t="shared" si="3"/>
        <v>Thomas Bryant</v>
      </c>
      <c r="R128" t="s">
        <v>227</v>
      </c>
      <c r="S128" s="14" t="s">
        <v>227</v>
      </c>
      <c r="T128" t="s">
        <v>227</v>
      </c>
      <c r="U128" t="s">
        <v>227</v>
      </c>
      <c r="V128" t="s">
        <v>37</v>
      </c>
      <c r="W128" t="str">
        <f t="shared" si="1"/>
        <v>C</v>
      </c>
    </row>
    <row r="129">
      <c r="A129" s="98">
        <v>123.0</v>
      </c>
      <c r="B129" s="99" t="s">
        <v>351</v>
      </c>
      <c r="C129" s="100"/>
      <c r="D129" s="100"/>
      <c r="E129" s="112">
        <v>3.5</v>
      </c>
      <c r="F129" s="112">
        <v>2.3</v>
      </c>
      <c r="G129" s="112">
        <v>9.0</v>
      </c>
      <c r="H129" s="112">
        <v>1.6</v>
      </c>
      <c r="I129" s="112">
        <v>0.5</v>
      </c>
      <c r="J129" s="112">
        <v>1.5</v>
      </c>
      <c r="K129" s="112">
        <v>1.3</v>
      </c>
      <c r="L129" s="112">
        <v>20.0</v>
      </c>
      <c r="M129" s="112">
        <v>90.0</v>
      </c>
      <c r="N129" s="115">
        <f>+0.5</f>
        <v>0.5</v>
      </c>
      <c r="O129" t="str">
        <f>IFERROR(__xludf.DUMMYFUNCTION("regexextract(B129,""[\w]* [\w]*"")")," WarrenO")</f>
        <v> WarrenO</v>
      </c>
      <c r="P129" t="str">
        <f t="shared" si="2"/>
        <v> WarrenO</v>
      </c>
      <c r="Q129" t="str">
        <f t="shared" si="3"/>
        <v> Warren</v>
      </c>
      <c r="R129" t="s">
        <v>227</v>
      </c>
      <c r="S129" s="14" t="s">
        <v>227</v>
      </c>
      <c r="T129" t="s">
        <v>35</v>
      </c>
      <c r="U129" t="s">
        <v>227</v>
      </c>
      <c r="V129" t="s">
        <v>227</v>
      </c>
      <c r="W129" t="str">
        <f t="shared" si="1"/>
        <v>SF</v>
      </c>
    </row>
    <row r="130">
      <c r="A130" s="101">
        <v>124.0</v>
      </c>
      <c r="B130" s="102" t="s">
        <v>352</v>
      </c>
      <c r="C130" s="103"/>
      <c r="D130" s="103"/>
      <c r="E130" s="113">
        <v>3.4</v>
      </c>
      <c r="F130" s="113">
        <v>1.6</v>
      </c>
      <c r="G130" s="113">
        <v>7.2</v>
      </c>
      <c r="H130" s="113">
        <v>1.1</v>
      </c>
      <c r="I130" s="113">
        <v>0.6</v>
      </c>
      <c r="J130" s="113">
        <v>2.0</v>
      </c>
      <c r="K130" s="113">
        <v>0.8</v>
      </c>
      <c r="L130" s="113">
        <v>14.5</v>
      </c>
      <c r="M130" s="113">
        <v>81.2</v>
      </c>
      <c r="N130" s="114">
        <f>+0.9</f>
        <v>0.9</v>
      </c>
      <c r="O130" t="str">
        <f>IFERROR(__xludf.DUMMYFUNCTION("regexextract(B130,""[\w]* [\w]*"")"),"Bojan BogdanovicDTD")</f>
        <v>Bojan BogdanovicDTD</v>
      </c>
      <c r="P130" t="str">
        <f t="shared" si="2"/>
        <v>Bojan Bogdanovic</v>
      </c>
      <c r="Q130" t="str">
        <f t="shared" si="3"/>
        <v>Bojan Bogdanovic</v>
      </c>
      <c r="R130" t="s">
        <v>227</v>
      </c>
      <c r="S130" s="14" t="s">
        <v>227</v>
      </c>
      <c r="T130" t="s">
        <v>35</v>
      </c>
      <c r="U130" t="s">
        <v>36</v>
      </c>
      <c r="V130" t="s">
        <v>37</v>
      </c>
      <c r="W130" t="str">
        <f t="shared" si="1"/>
        <v>SFPFC</v>
      </c>
    </row>
    <row r="131">
      <c r="A131" s="98">
        <v>125.0</v>
      </c>
      <c r="B131" s="99" t="s">
        <v>353</v>
      </c>
      <c r="C131" s="100"/>
      <c r="D131" s="100"/>
      <c r="E131" s="112">
        <v>5.9</v>
      </c>
      <c r="F131" s="112">
        <v>2.0</v>
      </c>
      <c r="G131" s="112">
        <v>4.6</v>
      </c>
      <c r="H131" s="112">
        <v>2.6</v>
      </c>
      <c r="I131" s="112">
        <v>0.7</v>
      </c>
      <c r="J131" s="112">
        <v>1.1</v>
      </c>
      <c r="K131" s="112">
        <v>1.9</v>
      </c>
      <c r="L131" s="112">
        <v>21.2</v>
      </c>
      <c r="M131" s="112">
        <v>83.6</v>
      </c>
      <c r="N131" s="115">
        <f>+1.7</f>
        <v>1.7</v>
      </c>
      <c r="O131" t="str">
        <f>IFERROR(__xludf.DUMMYFUNCTION("regexextract(B131,""[\w]* [\w]*"")"),"Steven Adams")</f>
        <v>Steven Adams</v>
      </c>
      <c r="P131" t="str">
        <f t="shared" si="2"/>
        <v>Steven Adams</v>
      </c>
      <c r="Q131" t="str">
        <f t="shared" si="3"/>
        <v>Steven Adams</v>
      </c>
      <c r="R131" t="s">
        <v>227</v>
      </c>
      <c r="S131" s="14" t="s">
        <v>227</v>
      </c>
      <c r="T131" t="s">
        <v>227</v>
      </c>
      <c r="U131" t="s">
        <v>227</v>
      </c>
      <c r="V131" t="s">
        <v>37</v>
      </c>
      <c r="W131" t="str">
        <f t="shared" si="1"/>
        <v>C</v>
      </c>
    </row>
    <row r="132">
      <c r="A132" s="101">
        <v>126.0</v>
      </c>
      <c r="B132" s="102" t="s">
        <v>354</v>
      </c>
      <c r="C132" s="103"/>
      <c r="D132" s="103"/>
      <c r="E132" s="113">
        <v>2.3</v>
      </c>
      <c r="F132" s="113">
        <v>0.5</v>
      </c>
      <c r="G132" s="113">
        <v>8.8</v>
      </c>
      <c r="H132" s="113">
        <v>1.1</v>
      </c>
      <c r="I132" s="113">
        <v>0.8</v>
      </c>
      <c r="J132" s="113">
        <v>1.8</v>
      </c>
      <c r="K132" s="113">
        <v>1.3</v>
      </c>
      <c r="L132" s="113">
        <v>11.6</v>
      </c>
      <c r="M132" s="113">
        <v>47.5</v>
      </c>
      <c r="N132" s="114">
        <f>+11.5</f>
        <v>11.5</v>
      </c>
      <c r="O132" t="str">
        <f>IFERROR(__xludf.DUMMYFUNCTION("regexextract(B132,""[\w]* [\w]*"")"),"Bobby Portis")</f>
        <v>Bobby Portis</v>
      </c>
      <c r="P132" t="str">
        <f t="shared" si="2"/>
        <v>Bobby Portis</v>
      </c>
      <c r="Q132" t="str">
        <f t="shared" si="3"/>
        <v>Bobby Portis</v>
      </c>
      <c r="R132" t="s">
        <v>227</v>
      </c>
      <c r="S132" s="14" t="s">
        <v>227</v>
      </c>
      <c r="T132" t="s">
        <v>227</v>
      </c>
      <c r="U132" t="s">
        <v>36</v>
      </c>
      <c r="V132" t="s">
        <v>227</v>
      </c>
      <c r="W132" t="str">
        <f t="shared" si="1"/>
        <v>PF</v>
      </c>
    </row>
    <row r="133">
      <c r="A133" s="98">
        <v>127.0</v>
      </c>
      <c r="B133" s="99" t="s">
        <v>355</v>
      </c>
      <c r="C133" s="100"/>
      <c r="D133" s="100"/>
      <c r="E133" s="112">
        <v>2.8</v>
      </c>
      <c r="F133" s="112">
        <v>0.0</v>
      </c>
      <c r="G133" s="112">
        <v>7.9</v>
      </c>
      <c r="H133" s="112">
        <v>1.4</v>
      </c>
      <c r="I133" s="112">
        <v>0.7</v>
      </c>
      <c r="J133" s="112">
        <v>1.5</v>
      </c>
      <c r="K133" s="112">
        <v>1.2</v>
      </c>
      <c r="L133" s="112">
        <v>13.3</v>
      </c>
      <c r="M133" s="112">
        <v>79.6</v>
      </c>
      <c r="N133" s="115">
        <f>+1.2</f>
        <v>1.2</v>
      </c>
      <c r="O133" t="str">
        <f>IFERROR(__xludf.DUMMYFUNCTION("regexextract(B133,""[\w]* [\w]*"")"),"Mason Plumlee")</f>
        <v>Mason Plumlee</v>
      </c>
      <c r="P133" t="str">
        <f t="shared" si="2"/>
        <v>Mason Plumlee</v>
      </c>
      <c r="Q133" t="str">
        <f t="shared" si="3"/>
        <v>Mason Plumlee</v>
      </c>
      <c r="R133" t="s">
        <v>227</v>
      </c>
      <c r="S133" s="14" t="s">
        <v>227</v>
      </c>
      <c r="T133" t="s">
        <v>227</v>
      </c>
      <c r="U133" t="s">
        <v>227</v>
      </c>
      <c r="V133" t="s">
        <v>37</v>
      </c>
      <c r="W133" t="str">
        <f t="shared" si="1"/>
        <v>C</v>
      </c>
    </row>
    <row r="134">
      <c r="A134" s="101">
        <v>128.0</v>
      </c>
      <c r="B134" s="102" t="s">
        <v>356</v>
      </c>
      <c r="C134" s="103"/>
      <c r="D134" s="103"/>
      <c r="E134" s="113">
        <v>2.7</v>
      </c>
      <c r="F134" s="113">
        <v>2.1</v>
      </c>
      <c r="G134" s="113">
        <v>2.4</v>
      </c>
      <c r="H134" s="113">
        <v>6.0</v>
      </c>
      <c r="I134" s="113">
        <v>1.2</v>
      </c>
      <c r="J134" s="113">
        <v>0.1</v>
      </c>
      <c r="K134" s="113">
        <v>3.1</v>
      </c>
      <c r="L134" s="113">
        <v>18.4</v>
      </c>
      <c r="M134" s="113">
        <v>81.4</v>
      </c>
      <c r="N134" s="114">
        <f>+0.3</f>
        <v>0.3</v>
      </c>
      <c r="O134" t="str">
        <f>IFERROR(__xludf.DUMMYFUNCTION("regexextract(B134,""[\w]* [\w]*"")"),"Ricky Rubio")</f>
        <v>Ricky Rubio</v>
      </c>
      <c r="P134" t="str">
        <f t="shared" si="2"/>
        <v>Ricky Rubio</v>
      </c>
      <c r="Q134" t="str">
        <f t="shared" si="3"/>
        <v>Ricky Rubi</v>
      </c>
      <c r="R134" t="s">
        <v>33</v>
      </c>
      <c r="S134" s="14" t="s">
        <v>227</v>
      </c>
      <c r="T134" t="s">
        <v>227</v>
      </c>
      <c r="U134" t="s">
        <v>227</v>
      </c>
      <c r="V134" t="s">
        <v>37</v>
      </c>
      <c r="W134" t="str">
        <f t="shared" si="1"/>
        <v>PGC</v>
      </c>
    </row>
    <row r="135">
      <c r="A135" s="98">
        <v>129.0</v>
      </c>
      <c r="B135" s="99" t="s">
        <v>357</v>
      </c>
      <c r="C135" s="100"/>
      <c r="D135" s="100"/>
      <c r="E135" s="112">
        <v>2.8</v>
      </c>
      <c r="F135" s="112">
        <v>1.4</v>
      </c>
      <c r="G135" s="112">
        <v>6.6</v>
      </c>
      <c r="H135" s="112">
        <v>1.2</v>
      </c>
      <c r="I135" s="112">
        <v>0.8</v>
      </c>
      <c r="J135" s="112">
        <v>2.9</v>
      </c>
      <c r="K135" s="112">
        <v>1.3</v>
      </c>
      <c r="L135" s="112">
        <v>12.4</v>
      </c>
      <c r="M135" s="112">
        <v>56.4</v>
      </c>
      <c r="N135" s="115">
        <f>+9.7</f>
        <v>9.7</v>
      </c>
      <c r="O135" t="str">
        <f>IFERROR(__xludf.DUMMYFUNCTION("regexextract(B135,""[\w]* [\w]*"")"),"Klay ThompsonO")</f>
        <v>Klay ThompsonO</v>
      </c>
      <c r="P135" t="str">
        <f t="shared" si="2"/>
        <v>Klay ThompsonO</v>
      </c>
      <c r="Q135" t="str">
        <f t="shared" si="3"/>
        <v>Klay Thompson</v>
      </c>
      <c r="R135" t="s">
        <v>227</v>
      </c>
      <c r="S135" s="14" t="s">
        <v>34</v>
      </c>
      <c r="T135" t="s">
        <v>227</v>
      </c>
      <c r="U135" t="s">
        <v>227</v>
      </c>
      <c r="V135" t="s">
        <v>227</v>
      </c>
      <c r="W135" t="str">
        <f t="shared" si="1"/>
        <v>SG</v>
      </c>
    </row>
    <row r="136">
      <c r="A136" s="101">
        <v>130.0</v>
      </c>
      <c r="B136" s="102" t="s">
        <v>358</v>
      </c>
      <c r="C136" s="103"/>
      <c r="D136" s="103"/>
      <c r="E136" s="113">
        <v>2.0</v>
      </c>
      <c r="F136" s="113">
        <v>2.6</v>
      </c>
      <c r="G136" s="113">
        <v>4.4</v>
      </c>
      <c r="H136" s="113">
        <v>3.2</v>
      </c>
      <c r="I136" s="113">
        <v>1.4</v>
      </c>
      <c r="J136" s="113">
        <v>0.7</v>
      </c>
      <c r="K136" s="113">
        <v>2.1</v>
      </c>
      <c r="L136" s="113">
        <v>16.4</v>
      </c>
      <c r="M136" s="113">
        <v>73.5</v>
      </c>
      <c r="N136" s="114">
        <f>+1.7</f>
        <v>1.7</v>
      </c>
      <c r="O136" t="str">
        <f>IFERROR(__xludf.DUMMYFUNCTION("regexextract(B136,""[\w]* [\w]*"")"),"Kelly Olynyk")</f>
        <v>Kelly Olynyk</v>
      </c>
      <c r="P136" t="str">
        <f t="shared" si="2"/>
        <v>Kelly Olynyk</v>
      </c>
      <c r="Q136" t="str">
        <f t="shared" si="3"/>
        <v>Kelly Olynyk</v>
      </c>
      <c r="R136" t="s">
        <v>227</v>
      </c>
      <c r="S136" s="14" t="s">
        <v>227</v>
      </c>
      <c r="T136" t="s">
        <v>227</v>
      </c>
      <c r="U136" t="s">
        <v>36</v>
      </c>
      <c r="V136" t="s">
        <v>37</v>
      </c>
      <c r="W136" t="str">
        <f t="shared" si="1"/>
        <v>PFC</v>
      </c>
    </row>
    <row r="137">
      <c r="A137" s="98">
        <v>131.0</v>
      </c>
      <c r="B137" s="99" t="s">
        <v>359</v>
      </c>
      <c r="C137" s="100"/>
      <c r="D137" s="100"/>
      <c r="E137" s="112">
        <v>3.8</v>
      </c>
      <c r="F137" s="112">
        <v>2.1</v>
      </c>
      <c r="G137" s="112">
        <v>5.6</v>
      </c>
      <c r="H137" s="112">
        <v>1.5</v>
      </c>
      <c r="I137" s="112">
        <v>0.9</v>
      </c>
      <c r="J137" s="112">
        <v>1.8</v>
      </c>
      <c r="K137" s="112">
        <v>1.9</v>
      </c>
      <c r="L137" s="112">
        <v>17.9</v>
      </c>
      <c r="M137" s="112">
        <v>79.1</v>
      </c>
      <c r="N137" s="115">
        <f t="shared" ref="N137:N138" si="7">+1.8</f>
        <v>1.8</v>
      </c>
      <c r="O137" t="str">
        <f>IFERROR(__xludf.DUMMYFUNCTION("regexextract(B137,""[\w]* [\w]*"")"),"Monte Morris")</f>
        <v>Monte Morris</v>
      </c>
      <c r="P137" t="str">
        <f t="shared" si="2"/>
        <v>Monte Morris</v>
      </c>
      <c r="Q137" t="str">
        <f t="shared" si="3"/>
        <v>Monte Morris</v>
      </c>
      <c r="R137" t="s">
        <v>33</v>
      </c>
      <c r="S137" s="14" t="s">
        <v>227</v>
      </c>
      <c r="T137" t="s">
        <v>227</v>
      </c>
      <c r="U137" t="s">
        <v>227</v>
      </c>
      <c r="V137" t="s">
        <v>227</v>
      </c>
      <c r="W137" t="str">
        <f t="shared" si="1"/>
        <v>PG</v>
      </c>
    </row>
    <row r="138">
      <c r="A138" s="101">
        <v>132.0</v>
      </c>
      <c r="B138" s="102" t="s">
        <v>360</v>
      </c>
      <c r="C138" s="103"/>
      <c r="D138" s="103"/>
      <c r="E138" s="113">
        <v>4.4</v>
      </c>
      <c r="F138" s="113">
        <v>1.9</v>
      </c>
      <c r="G138" s="113">
        <v>5.7</v>
      </c>
      <c r="H138" s="113">
        <v>3.0</v>
      </c>
      <c r="I138" s="113">
        <v>0.7</v>
      </c>
      <c r="J138" s="113">
        <v>0.3</v>
      </c>
      <c r="K138" s="113">
        <v>1.9</v>
      </c>
      <c r="L138" s="113">
        <v>18.7</v>
      </c>
      <c r="M138" s="113">
        <v>80.5</v>
      </c>
      <c r="N138" s="114">
        <f t="shared" si="7"/>
        <v>1.8</v>
      </c>
      <c r="O138" t="str">
        <f>IFERROR(__xludf.DUMMYFUNCTION("regexextract(B138,""[\w]* [\w]*"")"),"John WallO")</f>
        <v>John WallO</v>
      </c>
      <c r="P138" t="str">
        <f t="shared" si="2"/>
        <v>John WallO</v>
      </c>
      <c r="Q138" t="str">
        <f t="shared" si="3"/>
        <v>John Wall</v>
      </c>
      <c r="R138" t="s">
        <v>33</v>
      </c>
      <c r="S138" s="14" t="s">
        <v>227</v>
      </c>
      <c r="T138" t="s">
        <v>227</v>
      </c>
      <c r="U138" t="s">
        <v>227</v>
      </c>
      <c r="V138" t="s">
        <v>227</v>
      </c>
      <c r="W138" t="str">
        <f t="shared" si="1"/>
        <v>PG</v>
      </c>
    </row>
    <row r="139">
      <c r="A139" s="98">
        <v>133.0</v>
      </c>
      <c r="B139" s="99" t="s">
        <v>361</v>
      </c>
      <c r="C139" s="100"/>
      <c r="D139" s="100"/>
      <c r="E139" s="112">
        <v>3.5</v>
      </c>
      <c r="F139" s="112">
        <v>2.4</v>
      </c>
      <c r="G139" s="112">
        <v>3.4</v>
      </c>
      <c r="H139" s="112">
        <v>5.7</v>
      </c>
      <c r="I139" s="112">
        <v>1.2</v>
      </c>
      <c r="J139" s="112">
        <v>0.2</v>
      </c>
      <c r="K139" s="112">
        <v>1.9</v>
      </c>
      <c r="L139" s="112">
        <v>16.9</v>
      </c>
      <c r="M139" s="112">
        <v>80.7</v>
      </c>
      <c r="N139" s="115">
        <f>+0.2</f>
        <v>0.2</v>
      </c>
      <c r="O139" t="str">
        <f>IFERROR(__xludf.DUMMYFUNCTION("regexextract(B139,""[\w]* [\w]*"")"),"Kyle Anderson")</f>
        <v>Kyle Anderson</v>
      </c>
      <c r="P139" t="str">
        <f t="shared" si="2"/>
        <v>Kyle Anderson</v>
      </c>
      <c r="Q139" t="str">
        <f t="shared" si="3"/>
        <v>Kyle Anderson</v>
      </c>
      <c r="R139" t="s">
        <v>227</v>
      </c>
      <c r="S139" s="14" t="s">
        <v>227</v>
      </c>
      <c r="T139" t="s">
        <v>35</v>
      </c>
      <c r="U139" t="s">
        <v>36</v>
      </c>
      <c r="V139" t="s">
        <v>227</v>
      </c>
      <c r="W139" t="str">
        <f t="shared" si="1"/>
        <v>SFPF</v>
      </c>
    </row>
    <row r="140">
      <c r="A140" s="101">
        <v>134.0</v>
      </c>
      <c r="B140" s="102" t="s">
        <v>362</v>
      </c>
      <c r="C140" s="103"/>
      <c r="D140" s="103"/>
      <c r="E140" s="113">
        <v>2.3</v>
      </c>
      <c r="F140" s="113">
        <v>1.7</v>
      </c>
      <c r="G140" s="113">
        <v>6.5</v>
      </c>
      <c r="H140" s="113">
        <v>2.5</v>
      </c>
      <c r="I140" s="113">
        <v>1.1</v>
      </c>
      <c r="J140" s="113">
        <v>1.2</v>
      </c>
      <c r="K140" s="113">
        <v>2.0</v>
      </c>
      <c r="L140" s="113">
        <v>13.3</v>
      </c>
      <c r="M140" s="113">
        <v>77.5</v>
      </c>
      <c r="N140" s="114">
        <f>+0.7</f>
        <v>0.7</v>
      </c>
      <c r="O140" t="str">
        <f>IFERROR(__xludf.DUMMYFUNCTION("regexextract(B140,""[\w]* [\w]*"")"),"Kevin Porter")</f>
        <v>Kevin Porter</v>
      </c>
      <c r="P140" t="str">
        <f t="shared" si="2"/>
        <v>Kevin Porter</v>
      </c>
      <c r="Q140" t="str">
        <f t="shared" si="3"/>
        <v>Kevin Porter</v>
      </c>
      <c r="R140" t="s">
        <v>33</v>
      </c>
      <c r="S140" s="14" t="s">
        <v>34</v>
      </c>
      <c r="T140" t="s">
        <v>227</v>
      </c>
      <c r="U140" t="s">
        <v>227</v>
      </c>
      <c r="V140" t="s">
        <v>227</v>
      </c>
      <c r="W140" t="str">
        <f t="shared" si="1"/>
        <v>PGSG</v>
      </c>
    </row>
    <row r="141">
      <c r="A141" s="98">
        <v>135.0</v>
      </c>
      <c r="B141" s="99" t="s">
        <v>363</v>
      </c>
      <c r="C141" s="100"/>
      <c r="D141" s="100"/>
      <c r="E141" s="112">
        <v>4.8</v>
      </c>
      <c r="F141" s="112">
        <v>2.1</v>
      </c>
      <c r="G141" s="112">
        <v>4.3</v>
      </c>
      <c r="H141" s="112">
        <v>2.4</v>
      </c>
      <c r="I141" s="112">
        <v>0.9</v>
      </c>
      <c r="J141" s="112">
        <v>0.5</v>
      </c>
      <c r="K141" s="112">
        <v>1.8</v>
      </c>
      <c r="L141" s="112">
        <v>19.2</v>
      </c>
      <c r="M141" s="112">
        <v>83.8</v>
      </c>
      <c r="N141" s="115">
        <f>+0.9</f>
        <v>0.9</v>
      </c>
      <c r="O141" t="str">
        <f>IFERROR(__xludf.DUMMYFUNCTION("regexextract(B141,""[\w]* [\w]*"")"),"Alperen Sengun")</f>
        <v>Alperen Sengun</v>
      </c>
      <c r="P141" t="str">
        <f t="shared" si="2"/>
        <v>Alperen Sengun</v>
      </c>
      <c r="Q141" t="str">
        <f t="shared" si="3"/>
        <v>Alperen Sengun</v>
      </c>
      <c r="R141" t="s">
        <v>227</v>
      </c>
      <c r="S141" s="14" t="s">
        <v>227</v>
      </c>
      <c r="T141" t="s">
        <v>227</v>
      </c>
      <c r="U141" t="s">
        <v>227</v>
      </c>
      <c r="V141" t="s">
        <v>37</v>
      </c>
      <c r="W141" t="str">
        <f t="shared" si="1"/>
        <v>C</v>
      </c>
    </row>
    <row r="142">
      <c r="A142" s="101">
        <v>136.0</v>
      </c>
      <c r="B142" s="102" t="s">
        <v>364</v>
      </c>
      <c r="C142" s="103"/>
      <c r="D142" s="103"/>
      <c r="E142" s="113">
        <v>3.7</v>
      </c>
      <c r="F142" s="113">
        <v>2.4</v>
      </c>
      <c r="G142" s="113">
        <v>3.5</v>
      </c>
      <c r="H142" s="113">
        <v>2.0</v>
      </c>
      <c r="I142" s="113">
        <v>1.2</v>
      </c>
      <c r="J142" s="113">
        <v>0.3</v>
      </c>
      <c r="K142" s="113">
        <v>1.8</v>
      </c>
      <c r="L142" s="113">
        <v>18.5</v>
      </c>
      <c r="M142" s="113">
        <v>72.9</v>
      </c>
      <c r="N142" s="114">
        <f>+2.8</f>
        <v>2.8</v>
      </c>
      <c r="O142" t="str">
        <f>IFERROR(__xludf.DUMMYFUNCTION("regexextract(B142,""[\w]* [\w]*"")"),"Tyler Herro")</f>
        <v>Tyler Herro</v>
      </c>
      <c r="P142" t="str">
        <f t="shared" si="2"/>
        <v>Tyler Herro</v>
      </c>
      <c r="Q142" t="str">
        <f t="shared" si="3"/>
        <v>Tyler Herr</v>
      </c>
      <c r="R142" t="s">
        <v>33</v>
      </c>
      <c r="S142" s="14" t="s">
        <v>34</v>
      </c>
      <c r="T142" t="s">
        <v>227</v>
      </c>
      <c r="U142" t="s">
        <v>227</v>
      </c>
      <c r="V142" t="s">
        <v>227</v>
      </c>
      <c r="W142" t="str">
        <f t="shared" si="1"/>
        <v>PGSG</v>
      </c>
    </row>
    <row r="143">
      <c r="A143" s="98">
        <v>137.0</v>
      </c>
      <c r="B143" s="99" t="s">
        <v>365</v>
      </c>
      <c r="C143" s="100"/>
      <c r="D143" s="100"/>
      <c r="E143" s="112">
        <v>3.1</v>
      </c>
      <c r="F143" s="112">
        <v>0.0</v>
      </c>
      <c r="G143" s="112">
        <v>9.5</v>
      </c>
      <c r="H143" s="112">
        <v>1.6</v>
      </c>
      <c r="I143" s="112">
        <v>0.4</v>
      </c>
      <c r="J143" s="112">
        <v>1.2</v>
      </c>
      <c r="K143" s="112">
        <v>1.4</v>
      </c>
      <c r="L143" s="112">
        <v>11.8</v>
      </c>
      <c r="M143" s="112">
        <v>20.0</v>
      </c>
      <c r="N143" s="115">
        <f>+18.1</f>
        <v>18.1</v>
      </c>
      <c r="O143" t="str">
        <f>IFERROR(__xludf.DUMMYFUNCTION("regexextract(B143,""[\w]* [\w]*"")"),"Isaiah Roby")</f>
        <v>Isaiah Roby</v>
      </c>
      <c r="P143" t="str">
        <f t="shared" si="2"/>
        <v>Isaiah Roby</v>
      </c>
      <c r="Q143" t="str">
        <f t="shared" si="3"/>
        <v>Isaiah Roby</v>
      </c>
      <c r="R143" t="s">
        <v>227</v>
      </c>
      <c r="S143" s="14" t="s">
        <v>227</v>
      </c>
      <c r="T143" t="s">
        <v>227</v>
      </c>
      <c r="U143" t="s">
        <v>36</v>
      </c>
      <c r="V143" t="s">
        <v>37</v>
      </c>
      <c r="W143" t="str">
        <f t="shared" si="1"/>
        <v>PFC</v>
      </c>
    </row>
    <row r="144">
      <c r="A144" s="101">
        <v>138.0</v>
      </c>
      <c r="B144" s="102" t="s">
        <v>366</v>
      </c>
      <c r="C144" s="103"/>
      <c r="D144" s="103"/>
      <c r="E144" s="113">
        <v>3.2</v>
      </c>
      <c r="F144" s="113">
        <v>3.5</v>
      </c>
      <c r="G144" s="113">
        <v>2.9</v>
      </c>
      <c r="H144" s="113">
        <v>5.6</v>
      </c>
      <c r="I144" s="113">
        <v>0.9</v>
      </c>
      <c r="J144" s="113">
        <v>0.2</v>
      </c>
      <c r="K144" s="113">
        <v>2.1</v>
      </c>
      <c r="L144" s="113">
        <v>16.1</v>
      </c>
      <c r="M144" s="113">
        <v>83.1</v>
      </c>
      <c r="N144" s="117">
        <v>-1.6</v>
      </c>
      <c r="O144" t="str">
        <f>IFERROR(__xludf.DUMMYFUNCTION("regexextract(B144,""[\w]* [\w]*"")"),"Andre Drummond")</f>
        <v>Andre Drummond</v>
      </c>
      <c r="P144" t="str">
        <f t="shared" si="2"/>
        <v>Andre Drummond</v>
      </c>
      <c r="Q144" t="str">
        <f t="shared" si="3"/>
        <v>Andre Drummond</v>
      </c>
      <c r="R144" t="s">
        <v>227</v>
      </c>
      <c r="S144" s="14" t="s">
        <v>227</v>
      </c>
      <c r="T144" t="s">
        <v>227</v>
      </c>
      <c r="U144" t="s">
        <v>227</v>
      </c>
      <c r="V144" t="s">
        <v>37</v>
      </c>
      <c r="W144" t="str">
        <f t="shared" si="1"/>
        <v>C</v>
      </c>
    </row>
    <row r="145">
      <c r="A145" s="98">
        <v>139.0</v>
      </c>
      <c r="B145" s="99" t="s">
        <v>367</v>
      </c>
      <c r="C145" s="100"/>
      <c r="D145" s="100"/>
      <c r="E145" s="112">
        <v>3.1</v>
      </c>
      <c r="F145" s="112">
        <v>1.7</v>
      </c>
      <c r="G145" s="112">
        <v>4.2</v>
      </c>
      <c r="H145" s="112">
        <v>4.7</v>
      </c>
      <c r="I145" s="112">
        <v>1.0</v>
      </c>
      <c r="J145" s="112">
        <v>0.4</v>
      </c>
      <c r="K145" s="112">
        <v>2.0</v>
      </c>
      <c r="L145" s="112">
        <v>14.5</v>
      </c>
      <c r="M145" s="112">
        <v>30.0</v>
      </c>
      <c r="N145" s="115">
        <f>+17.1</f>
        <v>17.1</v>
      </c>
      <c r="O145" t="str">
        <f>IFERROR(__xludf.DUMMYFUNCTION("regexextract(B145,""[\w]* [\w]*"")"),"Isaac OkoroDTD")</f>
        <v>Isaac OkoroDTD</v>
      </c>
      <c r="P145" t="str">
        <f t="shared" si="2"/>
        <v>Isaac Okoro</v>
      </c>
      <c r="Q145" t="str">
        <f t="shared" si="3"/>
        <v>Isaac Okor</v>
      </c>
      <c r="R145" t="s">
        <v>227</v>
      </c>
      <c r="S145" s="14" t="s">
        <v>227</v>
      </c>
      <c r="T145" t="s">
        <v>35</v>
      </c>
      <c r="U145" t="s">
        <v>227</v>
      </c>
      <c r="V145" t="s">
        <v>37</v>
      </c>
      <c r="W145" t="str">
        <f t="shared" si="1"/>
        <v>SFC</v>
      </c>
    </row>
    <row r="146">
      <c r="A146" s="101">
        <v>140.0</v>
      </c>
      <c r="B146" s="102" t="s">
        <v>368</v>
      </c>
      <c r="C146" s="103"/>
      <c r="D146" s="103"/>
      <c r="E146" s="113">
        <v>1.8</v>
      </c>
      <c r="F146" s="113">
        <v>1.5</v>
      </c>
      <c r="G146" s="113">
        <v>4.2</v>
      </c>
      <c r="H146" s="113">
        <v>2.1</v>
      </c>
      <c r="I146" s="113">
        <v>1.3</v>
      </c>
      <c r="J146" s="113">
        <v>0.8</v>
      </c>
      <c r="K146" s="113">
        <v>0.9</v>
      </c>
      <c r="L146" s="113">
        <v>11.7</v>
      </c>
      <c r="M146" s="113">
        <v>61.2</v>
      </c>
      <c r="N146" s="114">
        <f>+8.8</f>
        <v>8.8</v>
      </c>
      <c r="O146" t="str">
        <f>IFERROR(__xludf.DUMMYFUNCTION("regexextract(B146,""[\w]* [\w]*"")"),"Derrick Rose")</f>
        <v>Derrick Rose</v>
      </c>
      <c r="P146" t="str">
        <f t="shared" si="2"/>
        <v>Derrick Rose</v>
      </c>
      <c r="Q146" t="str">
        <f t="shared" si="3"/>
        <v>Derrick Rose</v>
      </c>
      <c r="R146" t="s">
        <v>33</v>
      </c>
      <c r="S146" s="14" t="s">
        <v>227</v>
      </c>
      <c r="T146" t="s">
        <v>227</v>
      </c>
      <c r="U146" t="s">
        <v>227</v>
      </c>
      <c r="V146" t="s">
        <v>37</v>
      </c>
      <c r="W146" t="str">
        <f t="shared" si="1"/>
        <v>PGC</v>
      </c>
    </row>
    <row r="147">
      <c r="A147" s="98">
        <v>141.0</v>
      </c>
      <c r="B147" s="99" t="s">
        <v>369</v>
      </c>
      <c r="C147" s="100"/>
      <c r="D147" s="100"/>
      <c r="E147" s="112">
        <v>4.0</v>
      </c>
      <c r="F147" s="112">
        <v>0.3</v>
      </c>
      <c r="G147" s="112">
        <v>9.9</v>
      </c>
      <c r="H147" s="112">
        <v>2.3</v>
      </c>
      <c r="I147" s="112">
        <v>0.8</v>
      </c>
      <c r="J147" s="112">
        <v>0.9</v>
      </c>
      <c r="K147" s="112">
        <v>1.7</v>
      </c>
      <c r="L147" s="112">
        <v>13.5</v>
      </c>
      <c r="M147" s="112">
        <v>26.8</v>
      </c>
      <c r="N147" s="115">
        <f>+18</f>
        <v>18</v>
      </c>
      <c r="O147" t="str">
        <f>IFERROR(__xludf.DUMMYFUNCTION("regexextract(B147,""[\w]* [\w]*"")"),"Aaron Gordon")</f>
        <v>Aaron Gordon</v>
      </c>
      <c r="P147" t="str">
        <f t="shared" si="2"/>
        <v>Aaron Gordon</v>
      </c>
      <c r="Q147" t="str">
        <f t="shared" si="3"/>
        <v>Aaron Gordon</v>
      </c>
      <c r="R147" t="s">
        <v>227</v>
      </c>
      <c r="S147" s="14" t="s">
        <v>227</v>
      </c>
      <c r="T147" t="s">
        <v>227</v>
      </c>
      <c r="U147" t="s">
        <v>36</v>
      </c>
      <c r="V147" t="s">
        <v>227</v>
      </c>
      <c r="W147" t="str">
        <f t="shared" si="1"/>
        <v>PF</v>
      </c>
    </row>
    <row r="148">
      <c r="A148" s="101">
        <v>142.0</v>
      </c>
      <c r="B148" s="102" t="s">
        <v>370</v>
      </c>
      <c r="C148" s="103"/>
      <c r="D148" s="103"/>
      <c r="E148" s="113">
        <v>1.3</v>
      </c>
      <c r="F148" s="113">
        <v>2.1</v>
      </c>
      <c r="G148" s="113">
        <v>6.5</v>
      </c>
      <c r="H148" s="113">
        <v>1.5</v>
      </c>
      <c r="I148" s="113">
        <v>1.5</v>
      </c>
      <c r="J148" s="113">
        <v>1.2</v>
      </c>
      <c r="K148" s="113">
        <v>1.1</v>
      </c>
      <c r="L148" s="113">
        <v>10.2</v>
      </c>
      <c r="M148" s="113">
        <v>37.8</v>
      </c>
      <c r="N148" s="114">
        <f>+13.7</f>
        <v>13.7</v>
      </c>
      <c r="O148" t="str">
        <f>IFERROR(__xludf.DUMMYFUNCTION("regexextract(B148,""[\w]* [\w]*"")"),"Patrick WilliamsO")</f>
        <v>Patrick WilliamsO</v>
      </c>
      <c r="P148" t="str">
        <f t="shared" si="2"/>
        <v>Patrick WilliamsO</v>
      </c>
      <c r="Q148" t="str">
        <f t="shared" si="3"/>
        <v>Patrick Williams</v>
      </c>
      <c r="R148" t="s">
        <v>227</v>
      </c>
      <c r="S148" s="14" t="s">
        <v>227</v>
      </c>
      <c r="T148" t="s">
        <v>35</v>
      </c>
      <c r="U148" t="s">
        <v>36</v>
      </c>
      <c r="V148" t="s">
        <v>37</v>
      </c>
      <c r="W148" t="str">
        <f t="shared" si="1"/>
        <v>SFPFC</v>
      </c>
    </row>
    <row r="149">
      <c r="A149" s="98">
        <v>143.0</v>
      </c>
      <c r="B149" s="99" t="s">
        <v>371</v>
      </c>
      <c r="C149" s="100"/>
      <c r="D149" s="100"/>
      <c r="E149" s="112">
        <v>1.5</v>
      </c>
      <c r="F149" s="112">
        <v>0.5</v>
      </c>
      <c r="G149" s="112">
        <v>5.9</v>
      </c>
      <c r="H149" s="112">
        <v>3.3</v>
      </c>
      <c r="I149" s="112">
        <v>1.3</v>
      </c>
      <c r="J149" s="112">
        <v>0.5</v>
      </c>
      <c r="K149" s="112">
        <v>1.8</v>
      </c>
      <c r="L149" s="112">
        <v>11.7</v>
      </c>
      <c r="M149" s="112">
        <v>52.5</v>
      </c>
      <c r="N149" s="115">
        <f>+10.2</f>
        <v>10.2</v>
      </c>
      <c r="O149" t="str">
        <f>IFERROR(__xludf.DUMMYFUNCTION("regexextract(B149,""[\w]* [\w]*"")"),"Markelle FultzO")</f>
        <v>Markelle FultzO</v>
      </c>
      <c r="P149" t="str">
        <f t="shared" si="2"/>
        <v>Markelle FultzO</v>
      </c>
      <c r="Q149" t="str">
        <f t="shared" si="3"/>
        <v>Markelle Fultz</v>
      </c>
      <c r="R149" t="s">
        <v>33</v>
      </c>
      <c r="S149" s="14" t="s">
        <v>227</v>
      </c>
      <c r="T149" t="s">
        <v>227</v>
      </c>
      <c r="U149" t="s">
        <v>227</v>
      </c>
      <c r="V149" t="s">
        <v>227</v>
      </c>
      <c r="W149" t="str">
        <f t="shared" si="1"/>
        <v>PG</v>
      </c>
    </row>
    <row r="150">
      <c r="A150" s="101">
        <v>144.0</v>
      </c>
      <c r="B150" s="102" t="s">
        <v>372</v>
      </c>
      <c r="C150" s="103"/>
      <c r="D150" s="103"/>
      <c r="E150" s="113">
        <v>3.1</v>
      </c>
      <c r="F150" s="113">
        <v>2.0</v>
      </c>
      <c r="G150" s="113">
        <v>3.5</v>
      </c>
      <c r="H150" s="113">
        <v>5.5</v>
      </c>
      <c r="I150" s="113">
        <v>1.5</v>
      </c>
      <c r="J150" s="113">
        <v>0.5</v>
      </c>
      <c r="K150" s="113">
        <v>1.9</v>
      </c>
      <c r="L150" s="113">
        <v>12.8</v>
      </c>
      <c r="M150" s="113">
        <v>77.0</v>
      </c>
      <c r="N150" s="114">
        <f>+0.6</f>
        <v>0.6</v>
      </c>
      <c r="O150" t="str">
        <f>IFERROR(__xludf.DUMMYFUNCTION("regexextract(B150,""[\w]* [\w]*"")"),"Darius Bazley")</f>
        <v>Darius Bazley</v>
      </c>
      <c r="P150" t="str">
        <f t="shared" si="2"/>
        <v>Darius Bazley</v>
      </c>
      <c r="Q150" t="str">
        <f t="shared" si="3"/>
        <v>Darius Bazley</v>
      </c>
      <c r="R150" t="s">
        <v>227</v>
      </c>
      <c r="S150" s="14" t="s">
        <v>227</v>
      </c>
      <c r="T150" t="s">
        <v>35</v>
      </c>
      <c r="U150" t="s">
        <v>36</v>
      </c>
      <c r="V150" t="s">
        <v>37</v>
      </c>
      <c r="W150" t="str">
        <f t="shared" si="1"/>
        <v>SFPFC</v>
      </c>
    </row>
    <row r="151">
      <c r="A151" s="98">
        <v>145.0</v>
      </c>
      <c r="B151" s="99" t="s">
        <v>373</v>
      </c>
      <c r="C151" s="100"/>
      <c r="D151" s="100"/>
      <c r="E151" s="112">
        <v>3.8</v>
      </c>
      <c r="F151" s="112">
        <v>1.4</v>
      </c>
      <c r="G151" s="112">
        <v>3.6</v>
      </c>
      <c r="H151" s="112">
        <v>5.3</v>
      </c>
      <c r="I151" s="112">
        <v>1.0</v>
      </c>
      <c r="J151" s="112">
        <v>0.2</v>
      </c>
      <c r="K151" s="112">
        <v>2.6</v>
      </c>
      <c r="L151" s="112">
        <v>16.3</v>
      </c>
      <c r="M151" s="112">
        <v>78.9</v>
      </c>
      <c r="N151" s="116">
        <v>-0.8</v>
      </c>
      <c r="O151" t="str">
        <f>IFERROR(__xludf.DUMMYFUNCTION("regexextract(B151,""[\w]* [\w]*"")"),"Otto Porter")</f>
        <v>Otto Porter</v>
      </c>
      <c r="P151" t="str">
        <f t="shared" si="2"/>
        <v>Otto Porter</v>
      </c>
      <c r="Q151" t="str">
        <f t="shared" si="3"/>
        <v>Otto Porter</v>
      </c>
      <c r="R151" t="s">
        <v>227</v>
      </c>
      <c r="S151" s="14" t="s">
        <v>227</v>
      </c>
      <c r="T151" t="s">
        <v>35</v>
      </c>
      <c r="U151" t="s">
        <v>227</v>
      </c>
      <c r="V151" t="s">
        <v>227</v>
      </c>
      <c r="W151" t="str">
        <f t="shared" si="1"/>
        <v>SF</v>
      </c>
    </row>
    <row r="152">
      <c r="A152" s="101">
        <v>146.0</v>
      </c>
      <c r="B152" s="102" t="s">
        <v>374</v>
      </c>
      <c r="C152" s="103"/>
      <c r="D152" s="103"/>
      <c r="E152" s="113">
        <v>1.3</v>
      </c>
      <c r="F152" s="113">
        <v>3.1</v>
      </c>
      <c r="G152" s="113">
        <v>3.5</v>
      </c>
      <c r="H152" s="113">
        <v>3.3</v>
      </c>
      <c r="I152" s="113">
        <v>1.1</v>
      </c>
      <c r="J152" s="113">
        <v>0.3</v>
      </c>
      <c r="K152" s="113">
        <v>1.3</v>
      </c>
      <c r="L152" s="113">
        <v>15.8</v>
      </c>
      <c r="M152" s="113">
        <v>82.2</v>
      </c>
      <c r="N152" s="117">
        <v>-0.8</v>
      </c>
      <c r="O152" t="str">
        <f>IFERROR(__xludf.DUMMYFUNCTION("regexextract(B152,""[\w]* [\w]*"")"),"Serge IbakaDTD")</f>
        <v>Serge IbakaDTD</v>
      </c>
      <c r="P152" t="str">
        <f t="shared" si="2"/>
        <v>Serge Ibaka</v>
      </c>
      <c r="Q152" t="str">
        <f t="shared" si="3"/>
        <v>Serge Ibaka</v>
      </c>
      <c r="R152" t="s">
        <v>227</v>
      </c>
      <c r="S152" s="14" t="s">
        <v>227</v>
      </c>
      <c r="T152" t="s">
        <v>227</v>
      </c>
      <c r="U152" t="s">
        <v>36</v>
      </c>
      <c r="V152" t="s">
        <v>37</v>
      </c>
      <c r="W152" t="str">
        <f t="shared" si="1"/>
        <v>PFC</v>
      </c>
    </row>
    <row r="153">
      <c r="A153" s="98">
        <v>147.0</v>
      </c>
      <c r="B153" s="99" t="s">
        <v>375</v>
      </c>
      <c r="C153" s="100"/>
      <c r="D153" s="100"/>
      <c r="E153" s="112">
        <v>3.9</v>
      </c>
      <c r="F153" s="112">
        <v>1.7</v>
      </c>
      <c r="G153" s="112">
        <v>5.8</v>
      </c>
      <c r="H153" s="112">
        <v>2.8</v>
      </c>
      <c r="I153" s="112">
        <v>0.7</v>
      </c>
      <c r="J153" s="112">
        <v>0.2</v>
      </c>
      <c r="K153" s="112">
        <v>1.5</v>
      </c>
      <c r="L153" s="112">
        <v>15.8</v>
      </c>
      <c r="M153" s="112">
        <v>78.4</v>
      </c>
      <c r="N153" s="116">
        <v>-0.9</v>
      </c>
      <c r="O153" t="str">
        <f>IFERROR(__xludf.DUMMYFUNCTION("regexextract(B153,""[\w]* [\w]*"")"),"Al Horford")</f>
        <v>Al Horford</v>
      </c>
      <c r="P153" t="str">
        <f t="shared" si="2"/>
        <v>Al Horford</v>
      </c>
      <c r="Q153" t="str">
        <f t="shared" si="3"/>
        <v>Al Horford</v>
      </c>
      <c r="R153" t="s">
        <v>227</v>
      </c>
      <c r="S153" s="14" t="s">
        <v>227</v>
      </c>
      <c r="T153" t="s">
        <v>227</v>
      </c>
      <c r="U153" t="s">
        <v>36</v>
      </c>
      <c r="V153" t="s">
        <v>37</v>
      </c>
      <c r="W153" t="str">
        <f t="shared" si="1"/>
        <v>PFC</v>
      </c>
    </row>
    <row r="154">
      <c r="A154" s="101">
        <v>148.0</v>
      </c>
      <c r="B154" s="102" t="s">
        <v>376</v>
      </c>
      <c r="C154" s="103"/>
      <c r="D154" s="103"/>
      <c r="E154" s="113">
        <v>2.2</v>
      </c>
      <c r="F154" s="113">
        <v>2.5</v>
      </c>
      <c r="G154" s="113">
        <v>3.7</v>
      </c>
      <c r="H154" s="113">
        <v>4.5</v>
      </c>
      <c r="I154" s="113">
        <v>0.8</v>
      </c>
      <c r="J154" s="113">
        <v>0.1</v>
      </c>
      <c r="K154" s="113">
        <v>1.7</v>
      </c>
      <c r="L154" s="113">
        <v>15.5</v>
      </c>
      <c r="M154" s="113">
        <v>32.0</v>
      </c>
      <c r="N154" s="114">
        <f>+15.1</f>
        <v>15.1</v>
      </c>
      <c r="O154" t="str">
        <f>IFERROR(__xludf.DUMMYFUNCTION("regexextract(B154,""[\w]* [\w]*"")"),"Kelly Oubre")</f>
        <v>Kelly Oubre</v>
      </c>
      <c r="P154" t="str">
        <f t="shared" si="2"/>
        <v>Kelly Oubre</v>
      </c>
      <c r="Q154" t="str">
        <f t="shared" si="3"/>
        <v>Kelly Oubre</v>
      </c>
      <c r="R154" t="s">
        <v>227</v>
      </c>
      <c r="S154" s="14" t="s">
        <v>227</v>
      </c>
      <c r="T154" t="s">
        <v>35</v>
      </c>
      <c r="U154" t="s">
        <v>36</v>
      </c>
      <c r="V154" t="s">
        <v>37</v>
      </c>
      <c r="W154" t="str">
        <f t="shared" si="1"/>
        <v>SFPFC</v>
      </c>
    </row>
    <row r="155">
      <c r="A155" s="98">
        <v>149.0</v>
      </c>
      <c r="B155" s="99" t="s">
        <v>377</v>
      </c>
      <c r="C155" s="100"/>
      <c r="D155" s="100"/>
      <c r="E155" s="112">
        <v>4.1</v>
      </c>
      <c r="F155" s="112">
        <v>1.3</v>
      </c>
      <c r="G155" s="112">
        <v>6.8</v>
      </c>
      <c r="H155" s="112">
        <v>2.0</v>
      </c>
      <c r="I155" s="112">
        <v>0.7</v>
      </c>
      <c r="J155" s="112">
        <v>0.4</v>
      </c>
      <c r="K155" s="112">
        <v>1.3</v>
      </c>
      <c r="L155" s="112">
        <v>16.9</v>
      </c>
      <c r="M155" s="112">
        <v>29.4</v>
      </c>
      <c r="N155" s="115">
        <f>+17.4</f>
        <v>17.4</v>
      </c>
      <c r="O155" t="str">
        <f>IFERROR(__xludf.DUMMYFUNCTION("regexextract(B155,""[\w]* [\w]*"")"),"Dillon Brooks")</f>
        <v>Dillon Brooks</v>
      </c>
      <c r="P155" t="str">
        <f t="shared" si="2"/>
        <v>Dillon Brooks</v>
      </c>
      <c r="Q155" t="str">
        <f t="shared" si="3"/>
        <v>Dillon Brooks</v>
      </c>
      <c r="R155" t="s">
        <v>227</v>
      </c>
      <c r="S155" s="14" t="s">
        <v>34</v>
      </c>
      <c r="T155" t="s">
        <v>35</v>
      </c>
      <c r="U155" t="s">
        <v>227</v>
      </c>
      <c r="V155" t="s">
        <v>227</v>
      </c>
      <c r="W155" t="str">
        <f t="shared" si="1"/>
        <v>SGSF</v>
      </c>
    </row>
    <row r="156">
      <c r="A156" s="101">
        <v>150.0</v>
      </c>
      <c r="B156" s="102" t="s">
        <v>378</v>
      </c>
      <c r="C156" s="103"/>
      <c r="D156" s="103"/>
      <c r="E156" s="113">
        <v>2.8</v>
      </c>
      <c r="F156" s="113">
        <v>3.2</v>
      </c>
      <c r="G156" s="113">
        <v>3.6</v>
      </c>
      <c r="H156" s="113">
        <v>2.0</v>
      </c>
      <c r="I156" s="113">
        <v>0.5</v>
      </c>
      <c r="J156" s="113">
        <v>0.2</v>
      </c>
      <c r="K156" s="113">
        <v>1.0</v>
      </c>
      <c r="L156" s="113">
        <v>18.1</v>
      </c>
      <c r="M156" s="113">
        <v>39.4</v>
      </c>
      <c r="N156" s="114">
        <f>+13.5</f>
        <v>13.5</v>
      </c>
      <c r="O156" t="str">
        <f>IFERROR(__xludf.DUMMYFUNCTION("regexextract(B156,""[\w]* [\w]*"")"),"Rui HachimuraDTD")</f>
        <v>Rui HachimuraDTD</v>
      </c>
      <c r="P156" t="str">
        <f t="shared" si="2"/>
        <v>Rui Hachimura</v>
      </c>
      <c r="Q156" t="str">
        <f t="shared" si="3"/>
        <v>Rui Hachimura</v>
      </c>
      <c r="R156" t="s">
        <v>227</v>
      </c>
      <c r="S156" s="14" t="s">
        <v>227</v>
      </c>
      <c r="T156" t="s">
        <v>35</v>
      </c>
      <c r="U156" t="s">
        <v>36</v>
      </c>
      <c r="V156" t="s">
        <v>37</v>
      </c>
      <c r="W156" t="str">
        <f t="shared" si="1"/>
        <v>SFPFC</v>
      </c>
    </row>
    <row r="157">
      <c r="A157" s="90" t="s">
        <v>218</v>
      </c>
      <c r="C157" s="90" t="s">
        <v>219</v>
      </c>
      <c r="E157" s="108"/>
      <c r="F157" s="108"/>
      <c r="G157" s="108"/>
      <c r="H157" s="108"/>
      <c r="I157" s="108"/>
      <c r="J157" s="108"/>
      <c r="K157" s="108"/>
      <c r="L157" s="108"/>
      <c r="M157" s="108" t="s">
        <v>327</v>
      </c>
      <c r="N157" s="108"/>
      <c r="O157" t="str">
        <f>IFERROR(__xludf.DUMMYFUNCTION("regexextract(B157,""[\w]* [\w]*"")"),"#N/A")</f>
        <v>#N/A</v>
      </c>
      <c r="P157" t="str">
        <f t="shared" si="2"/>
        <v>#N/A</v>
      </c>
      <c r="Q157" t="str">
        <f t="shared" si="3"/>
        <v>#N/A</v>
      </c>
      <c r="R157" t="s">
        <v>227</v>
      </c>
      <c r="S157" s="14" t="s">
        <v>227</v>
      </c>
      <c r="T157" t="s">
        <v>227</v>
      </c>
      <c r="U157" t="s">
        <v>227</v>
      </c>
      <c r="V157" t="s">
        <v>227</v>
      </c>
      <c r="W157" t="str">
        <f t="shared" si="1"/>
        <v/>
      </c>
    </row>
    <row r="158">
      <c r="A158" s="93" t="s">
        <v>220</v>
      </c>
      <c r="B158" s="94" t="s">
        <v>221</v>
      </c>
      <c r="C158" s="93" t="s">
        <v>222</v>
      </c>
      <c r="D158" s="95" t="s">
        <v>223</v>
      </c>
      <c r="E158" s="109" t="s">
        <v>215</v>
      </c>
      <c r="F158" s="110">
        <v>0.625</v>
      </c>
      <c r="G158" s="109" t="s">
        <v>5</v>
      </c>
      <c r="H158" s="109" t="s">
        <v>7</v>
      </c>
      <c r="I158" s="109" t="s">
        <v>9</v>
      </c>
      <c r="J158" s="109" t="s">
        <v>10</v>
      </c>
      <c r="K158" s="109" t="s">
        <v>15</v>
      </c>
      <c r="L158" s="109" t="s">
        <v>2</v>
      </c>
      <c r="M158" s="109" t="s">
        <v>328</v>
      </c>
      <c r="N158" s="111" t="str">
        <f>+/-</f>
        <v>#ERROR!</v>
      </c>
      <c r="O158" t="str">
        <f>IFERROR(__xludf.DUMMYFUNCTION("regexextract(B158,""[\w]* [\w]*"")"),"#N/A")</f>
        <v>#N/A</v>
      </c>
      <c r="P158" t="str">
        <f t="shared" si="2"/>
        <v>#N/A</v>
      </c>
      <c r="Q158" t="str">
        <f t="shared" si="3"/>
        <v>#N/A</v>
      </c>
      <c r="R158" t="s">
        <v>227</v>
      </c>
      <c r="S158" s="14" t="s">
        <v>227</v>
      </c>
      <c r="T158" t="s">
        <v>227</v>
      </c>
      <c r="U158" t="s">
        <v>227</v>
      </c>
      <c r="V158" t="s">
        <v>227</v>
      </c>
      <c r="W158" t="str">
        <f t="shared" si="1"/>
        <v/>
      </c>
    </row>
    <row r="159">
      <c r="A159" s="98">
        <v>151.0</v>
      </c>
      <c r="B159" s="99" t="s">
        <v>379</v>
      </c>
      <c r="C159" s="100"/>
      <c r="D159" s="100"/>
      <c r="E159" s="112">
        <v>2.5</v>
      </c>
      <c r="F159" s="112">
        <v>1.4</v>
      </c>
      <c r="G159" s="112">
        <v>5.3</v>
      </c>
      <c r="H159" s="112">
        <v>3.9</v>
      </c>
      <c r="I159" s="112">
        <v>1.2</v>
      </c>
      <c r="J159" s="112">
        <v>0.9</v>
      </c>
      <c r="K159" s="112">
        <v>2.1</v>
      </c>
      <c r="L159" s="112">
        <v>10.5</v>
      </c>
      <c r="M159" s="112">
        <v>31.5</v>
      </c>
      <c r="N159" s="115">
        <f>+15.1</f>
        <v>15.1</v>
      </c>
      <c r="O159" t="str">
        <f>IFERROR(__xludf.DUMMYFUNCTION("regexextract(B159,""[\w]* [\w]*"")"),"Seth Curry")</f>
        <v>Seth Curry</v>
      </c>
      <c r="P159" t="str">
        <f t="shared" si="2"/>
        <v>Seth Curry</v>
      </c>
      <c r="Q159" t="str">
        <f t="shared" si="3"/>
        <v>Seth Curry</v>
      </c>
      <c r="R159" t="s">
        <v>33</v>
      </c>
      <c r="S159" s="14" t="s">
        <v>34</v>
      </c>
      <c r="T159" t="s">
        <v>227</v>
      </c>
      <c r="U159" t="s">
        <v>227</v>
      </c>
      <c r="V159" t="s">
        <v>37</v>
      </c>
      <c r="W159" t="str">
        <f t="shared" si="1"/>
        <v>PGSGC</v>
      </c>
    </row>
    <row r="160">
      <c r="A160" s="101">
        <v>152.0</v>
      </c>
      <c r="B160" s="102" t="s">
        <v>380</v>
      </c>
      <c r="C160" s="103"/>
      <c r="D160" s="103"/>
      <c r="E160" s="113">
        <v>1.3</v>
      </c>
      <c r="F160" s="113">
        <v>2.0</v>
      </c>
      <c r="G160" s="113">
        <v>6.3</v>
      </c>
      <c r="H160" s="113">
        <v>3.3</v>
      </c>
      <c r="I160" s="113">
        <v>1.4</v>
      </c>
      <c r="J160" s="113">
        <v>0.3</v>
      </c>
      <c r="K160" s="113">
        <v>1.6</v>
      </c>
      <c r="L160" s="113">
        <v>11.7</v>
      </c>
      <c r="M160" s="113">
        <v>19.1</v>
      </c>
      <c r="N160" s="114">
        <f>+16.2</f>
        <v>16.2</v>
      </c>
      <c r="O160" t="str">
        <f>IFERROR(__xludf.DUMMYFUNCTION("regexextract(B160,""[\w]* [\w]*"")"),"Marcus Morris")</f>
        <v>Marcus Morris</v>
      </c>
      <c r="P160" t="str">
        <f t="shared" si="2"/>
        <v>Marcus Morris</v>
      </c>
      <c r="Q160" t="str">
        <f t="shared" si="3"/>
        <v>Marcus Morris</v>
      </c>
      <c r="R160" t="s">
        <v>227</v>
      </c>
      <c r="S160" s="14" t="s">
        <v>227</v>
      </c>
      <c r="T160" t="s">
        <v>35</v>
      </c>
      <c r="U160" t="s">
        <v>36</v>
      </c>
      <c r="V160" t="s">
        <v>37</v>
      </c>
      <c r="W160" t="str">
        <f t="shared" si="1"/>
        <v>SFPFC</v>
      </c>
    </row>
    <row r="161">
      <c r="A161" s="98">
        <v>153.0</v>
      </c>
      <c r="B161" s="99" t="s">
        <v>381</v>
      </c>
      <c r="C161" s="100"/>
      <c r="D161" s="100"/>
      <c r="E161" s="112">
        <v>3.1</v>
      </c>
      <c r="F161" s="112">
        <v>3.2</v>
      </c>
      <c r="G161" s="112">
        <v>5.1</v>
      </c>
      <c r="H161" s="112">
        <v>1.5</v>
      </c>
      <c r="I161" s="112">
        <v>0.8</v>
      </c>
      <c r="J161" s="112">
        <v>0.2</v>
      </c>
      <c r="K161" s="112">
        <v>1.0</v>
      </c>
      <c r="L161" s="112">
        <v>15.9</v>
      </c>
      <c r="M161" s="112">
        <v>24.2</v>
      </c>
      <c r="N161" s="115">
        <f>+15.5</f>
        <v>15.5</v>
      </c>
      <c r="O161" t="str">
        <f>IFERROR(__xludf.DUMMYFUNCTION("regexextract(B161,""[\w]* [\w]*"")"),"Doug McDermott")</f>
        <v>Doug McDermott</v>
      </c>
      <c r="P161" t="str">
        <f t="shared" si="2"/>
        <v>Doug McDermott</v>
      </c>
      <c r="Q161" t="str">
        <f t="shared" si="3"/>
        <v>Doug McDermott</v>
      </c>
      <c r="R161" t="s">
        <v>227</v>
      </c>
      <c r="S161" s="14" t="s">
        <v>227</v>
      </c>
      <c r="T161" t="s">
        <v>35</v>
      </c>
      <c r="U161" t="s">
        <v>36</v>
      </c>
      <c r="V161" t="s">
        <v>37</v>
      </c>
      <c r="W161" t="str">
        <f t="shared" si="1"/>
        <v>SFPFC</v>
      </c>
    </row>
    <row r="162">
      <c r="A162" s="101">
        <v>154.0</v>
      </c>
      <c r="B162" s="102" t="s">
        <v>382</v>
      </c>
      <c r="C162" s="103"/>
      <c r="D162" s="103"/>
      <c r="E162" s="113">
        <v>1.4</v>
      </c>
      <c r="F162" s="113">
        <v>2.4</v>
      </c>
      <c r="G162" s="113">
        <v>3.8</v>
      </c>
      <c r="H162" s="113">
        <v>5.0</v>
      </c>
      <c r="I162" s="113">
        <v>0.8</v>
      </c>
      <c r="J162" s="113">
        <v>0.2</v>
      </c>
      <c r="K162" s="113">
        <v>1.9</v>
      </c>
      <c r="L162" s="113">
        <v>11.4</v>
      </c>
      <c r="M162" s="113">
        <v>69.3</v>
      </c>
      <c r="N162" s="114">
        <f>+1.5</f>
        <v>1.5</v>
      </c>
      <c r="O162" t="str">
        <f>IFERROR(__xludf.DUMMYFUNCTION("regexextract(B162,""[\w]* [\w]*"")"),"Nerlens Noel")</f>
        <v>Nerlens Noel</v>
      </c>
      <c r="P162" t="str">
        <f t="shared" si="2"/>
        <v>Nerlens Noel</v>
      </c>
      <c r="Q162" t="str">
        <f t="shared" si="3"/>
        <v>Nerlens Noel</v>
      </c>
      <c r="R162" t="s">
        <v>227</v>
      </c>
      <c r="S162" s="14" t="s">
        <v>227</v>
      </c>
      <c r="T162" t="s">
        <v>227</v>
      </c>
      <c r="U162" t="s">
        <v>227</v>
      </c>
      <c r="V162" t="s">
        <v>37</v>
      </c>
      <c r="W162" t="str">
        <f t="shared" si="1"/>
        <v>C</v>
      </c>
    </row>
    <row r="163">
      <c r="A163" s="98">
        <v>155.0</v>
      </c>
      <c r="B163" s="99" t="s">
        <v>383</v>
      </c>
      <c r="C163" s="100"/>
      <c r="D163" s="100"/>
      <c r="E163" s="112">
        <v>1.7</v>
      </c>
      <c r="F163" s="112">
        <v>1.7</v>
      </c>
      <c r="G163" s="112">
        <v>6.1</v>
      </c>
      <c r="H163" s="112">
        <v>2.2</v>
      </c>
      <c r="I163" s="112">
        <v>0.7</v>
      </c>
      <c r="J163" s="112">
        <v>0.8</v>
      </c>
      <c r="K163" s="112">
        <v>1.6</v>
      </c>
      <c r="L163" s="112">
        <v>12.6</v>
      </c>
      <c r="M163" s="112">
        <v>81.6</v>
      </c>
      <c r="N163" s="116">
        <v>-1.7</v>
      </c>
      <c r="O163" t="str">
        <f>IFERROR(__xludf.DUMMYFUNCTION("regexextract(B163,""[\w]* [\w]*"")"),"LaMarcus Aldridge")</f>
        <v>LaMarcus Aldridge</v>
      </c>
      <c r="P163" t="str">
        <f t="shared" si="2"/>
        <v>LaMarcus Aldridge</v>
      </c>
      <c r="Q163" t="str">
        <f t="shared" si="3"/>
        <v>LaMarcus Aldridge</v>
      </c>
      <c r="R163" t="s">
        <v>227</v>
      </c>
      <c r="S163" s="14" t="s">
        <v>227</v>
      </c>
      <c r="T163" t="s">
        <v>227</v>
      </c>
      <c r="U163" t="s">
        <v>36</v>
      </c>
      <c r="V163" t="s">
        <v>37</v>
      </c>
      <c r="W163" t="str">
        <f t="shared" si="1"/>
        <v>PFC</v>
      </c>
    </row>
    <row r="164">
      <c r="A164" s="101">
        <v>156.0</v>
      </c>
      <c r="B164" s="102" t="s">
        <v>384</v>
      </c>
      <c r="C164" s="103"/>
      <c r="D164" s="103"/>
      <c r="E164" s="113">
        <v>1.9</v>
      </c>
      <c r="F164" s="113">
        <v>1.5</v>
      </c>
      <c r="G164" s="113">
        <v>4.7</v>
      </c>
      <c r="H164" s="113">
        <v>1.0</v>
      </c>
      <c r="I164" s="113">
        <v>0.6</v>
      </c>
      <c r="J164" s="113">
        <v>1.8</v>
      </c>
      <c r="K164" s="113">
        <v>0.9</v>
      </c>
      <c r="L164" s="113">
        <v>11.7</v>
      </c>
      <c r="M164" s="113">
        <v>48.8</v>
      </c>
      <c r="N164" s="114">
        <f>+8.8</f>
        <v>8.8</v>
      </c>
      <c r="O164" t="str">
        <f>IFERROR(__xludf.DUMMYFUNCTION("regexextract(B164,""[\w]* [\w]*"")"),"Moses Brown")</f>
        <v>Moses Brown</v>
      </c>
      <c r="P164" t="str">
        <f t="shared" si="2"/>
        <v>Moses Brown</v>
      </c>
      <c r="Q164" t="str">
        <f t="shared" si="3"/>
        <v>Moses Brown</v>
      </c>
      <c r="R164" t="s">
        <v>227</v>
      </c>
      <c r="S164" s="14" t="s">
        <v>227</v>
      </c>
      <c r="T164" t="s">
        <v>227</v>
      </c>
      <c r="U164" t="s">
        <v>227</v>
      </c>
      <c r="V164" t="s">
        <v>37</v>
      </c>
      <c r="W164" t="str">
        <f t="shared" si="1"/>
        <v>C</v>
      </c>
    </row>
    <row r="165">
      <c r="A165" s="98">
        <v>157.0</v>
      </c>
      <c r="B165" s="99" t="s">
        <v>385</v>
      </c>
      <c r="C165" s="100"/>
      <c r="D165" s="100"/>
      <c r="E165" s="112">
        <v>2.0</v>
      </c>
      <c r="F165" s="112">
        <v>0.7</v>
      </c>
      <c r="G165" s="112">
        <v>6.6</v>
      </c>
      <c r="H165" s="112">
        <v>1.9</v>
      </c>
      <c r="I165" s="112">
        <v>0.7</v>
      </c>
      <c r="J165" s="112">
        <v>1.2</v>
      </c>
      <c r="K165" s="112">
        <v>1.1</v>
      </c>
      <c r="L165" s="112">
        <v>10.8</v>
      </c>
      <c r="M165" s="112">
        <v>55.0</v>
      </c>
      <c r="N165" s="115">
        <f>+2.1</f>
        <v>2.1</v>
      </c>
      <c r="O165" t="str">
        <f>IFERROR(__xludf.DUMMYFUNCTION("regexextract(B165,""[\w]* [\w]*"")"),"Cole Anthony")</f>
        <v>Cole Anthony</v>
      </c>
      <c r="P165" t="str">
        <f t="shared" si="2"/>
        <v>Cole Anthony</v>
      </c>
      <c r="Q165" t="str">
        <f t="shared" si="3"/>
        <v>Cole Anthony</v>
      </c>
      <c r="R165" t="s">
        <v>33</v>
      </c>
      <c r="S165" s="14" t="s">
        <v>227</v>
      </c>
      <c r="T165" t="s">
        <v>227</v>
      </c>
      <c r="U165" t="s">
        <v>227</v>
      </c>
      <c r="V165" t="s">
        <v>37</v>
      </c>
      <c r="W165" t="str">
        <f t="shared" si="1"/>
        <v>PGC</v>
      </c>
    </row>
    <row r="166">
      <c r="A166" s="101">
        <v>158.0</v>
      </c>
      <c r="B166" s="102" t="s">
        <v>386</v>
      </c>
      <c r="C166" s="103"/>
      <c r="D166" s="103"/>
      <c r="E166" s="113">
        <v>2.3</v>
      </c>
      <c r="F166" s="113">
        <v>0.0</v>
      </c>
      <c r="G166" s="113">
        <v>8.3</v>
      </c>
      <c r="H166" s="113">
        <v>0.6</v>
      </c>
      <c r="I166" s="113">
        <v>1.1</v>
      </c>
      <c r="J166" s="113">
        <v>2.1</v>
      </c>
      <c r="K166" s="113">
        <v>0.8</v>
      </c>
      <c r="L166" s="113">
        <v>9.6</v>
      </c>
      <c r="M166" s="113">
        <v>65.4</v>
      </c>
      <c r="N166" s="117">
        <v>-1.3</v>
      </c>
      <c r="O166" t="str">
        <f>IFERROR(__xludf.DUMMYFUNCTION("regexextract(B166,""[\w]* [\w]*"")"),"Duncan Robinson")</f>
        <v>Duncan Robinson</v>
      </c>
      <c r="P166" t="str">
        <f t="shared" si="2"/>
        <v>Duncan Robinson</v>
      </c>
      <c r="Q166" t="str">
        <f t="shared" si="3"/>
        <v>Duncan Robinson</v>
      </c>
      <c r="R166" t="s">
        <v>227</v>
      </c>
      <c r="S166" s="14" t="s">
        <v>34</v>
      </c>
      <c r="T166" t="s">
        <v>35</v>
      </c>
      <c r="U166" t="s">
        <v>227</v>
      </c>
      <c r="V166" t="s">
        <v>37</v>
      </c>
      <c r="W166" t="str">
        <f t="shared" si="1"/>
        <v>SGSFC</v>
      </c>
    </row>
    <row r="167">
      <c r="A167" s="98">
        <v>159.0</v>
      </c>
      <c r="B167" s="99" t="s">
        <v>387</v>
      </c>
      <c r="C167" s="100"/>
      <c r="D167" s="100"/>
      <c r="E167" s="112">
        <v>2.2</v>
      </c>
      <c r="F167" s="112">
        <v>2.5</v>
      </c>
      <c r="G167" s="112">
        <v>3.5</v>
      </c>
      <c r="H167" s="112">
        <v>2.3</v>
      </c>
      <c r="I167" s="112">
        <v>0.8</v>
      </c>
      <c r="J167" s="112">
        <v>0.2</v>
      </c>
      <c r="K167" s="112">
        <v>1.6</v>
      </c>
      <c r="L167" s="112">
        <v>17.3</v>
      </c>
      <c r="M167" s="112">
        <v>74.2</v>
      </c>
      <c r="N167" s="115">
        <f>+1.1</f>
        <v>1.1</v>
      </c>
      <c r="O167" t="str">
        <f>IFERROR(__xludf.DUMMYFUNCTION("regexextract(B167,""[\w]* [\w]*"")"),"Enes Kanter")</f>
        <v>Enes Kanter</v>
      </c>
      <c r="P167" t="str">
        <f t="shared" si="2"/>
        <v>Enes Kanter</v>
      </c>
      <c r="Q167" t="str">
        <f t="shared" si="3"/>
        <v>Enes Kanter</v>
      </c>
      <c r="R167" t="s">
        <v>227</v>
      </c>
      <c r="S167" s="14" t="s">
        <v>227</v>
      </c>
      <c r="T167" t="s">
        <v>227</v>
      </c>
      <c r="U167" t="s">
        <v>227</v>
      </c>
      <c r="V167" t="s">
        <v>37</v>
      </c>
      <c r="W167" t="str">
        <f t="shared" si="1"/>
        <v>C</v>
      </c>
    </row>
    <row r="168">
      <c r="A168" s="101">
        <v>160.0</v>
      </c>
      <c r="B168" s="102" t="s">
        <v>388</v>
      </c>
      <c r="C168" s="103"/>
      <c r="D168" s="103"/>
      <c r="E168" s="113">
        <v>2.2</v>
      </c>
      <c r="F168" s="113">
        <v>1.5</v>
      </c>
      <c r="G168" s="113">
        <v>3.2</v>
      </c>
      <c r="H168" s="113">
        <v>6.5</v>
      </c>
      <c r="I168" s="113">
        <v>1.3</v>
      </c>
      <c r="J168" s="113">
        <v>0.5</v>
      </c>
      <c r="K168" s="113">
        <v>3.9</v>
      </c>
      <c r="L168" s="113">
        <v>14.2</v>
      </c>
      <c r="M168" s="113">
        <v>17.5</v>
      </c>
      <c r="N168" s="114">
        <f>+15.6</f>
        <v>15.6</v>
      </c>
      <c r="O168" t="str">
        <f>IFERROR(__xludf.DUMMYFUNCTION("regexextract(B168,""[\w]* [\w]*"")"),"Talen Horton")</f>
        <v>Talen Horton</v>
      </c>
      <c r="P168" t="str">
        <f t="shared" si="2"/>
        <v>Talen Horton</v>
      </c>
      <c r="Q168" t="str">
        <f t="shared" si="3"/>
        <v>Talen Horton</v>
      </c>
      <c r="R168" t="s">
        <v>227</v>
      </c>
      <c r="S168" s="14" t="s">
        <v>34</v>
      </c>
      <c r="T168" t="s">
        <v>35</v>
      </c>
      <c r="U168" t="s">
        <v>227</v>
      </c>
      <c r="V168" t="s">
        <v>37</v>
      </c>
      <c r="W168" t="str">
        <f t="shared" si="1"/>
        <v>SGSFC</v>
      </c>
    </row>
    <row r="169">
      <c r="A169" s="98">
        <v>161.0</v>
      </c>
      <c r="B169" s="99" t="s">
        <v>389</v>
      </c>
      <c r="C169" s="100"/>
      <c r="D169" s="100"/>
      <c r="E169" s="112">
        <v>4.0</v>
      </c>
      <c r="F169" s="112">
        <v>0.8</v>
      </c>
      <c r="G169" s="112">
        <v>8.9</v>
      </c>
      <c r="H169" s="112">
        <v>1.2</v>
      </c>
      <c r="I169" s="112">
        <v>0.6</v>
      </c>
      <c r="J169" s="112">
        <v>0.8</v>
      </c>
      <c r="K169" s="112">
        <v>1.7</v>
      </c>
      <c r="L169" s="112">
        <v>17.3</v>
      </c>
      <c r="M169" s="112">
        <v>70.3</v>
      </c>
      <c r="N169" s="116">
        <v>-0.3</v>
      </c>
      <c r="O169" t="str">
        <f>IFERROR(__xludf.DUMMYFUNCTION("regexextract(B169,""[\w]* [\w]*"")"),"Jalen Brunson")</f>
        <v>Jalen Brunson</v>
      </c>
      <c r="P169" t="str">
        <f t="shared" si="2"/>
        <v>Jalen Brunson</v>
      </c>
      <c r="Q169" t="str">
        <f t="shared" si="3"/>
        <v>Jalen Brunson</v>
      </c>
      <c r="R169" t="s">
        <v>33</v>
      </c>
      <c r="S169" s="14" t="s">
        <v>227</v>
      </c>
      <c r="T169" t="s">
        <v>227</v>
      </c>
      <c r="U169" t="s">
        <v>227</v>
      </c>
      <c r="V169" t="s">
        <v>227</v>
      </c>
      <c r="W169" t="str">
        <f t="shared" si="1"/>
        <v>PG</v>
      </c>
    </row>
    <row r="170">
      <c r="A170" s="101">
        <v>162.0</v>
      </c>
      <c r="B170" s="102" t="s">
        <v>390</v>
      </c>
      <c r="C170" s="103"/>
      <c r="D170" s="103"/>
      <c r="E170" s="113">
        <v>3.7</v>
      </c>
      <c r="F170" s="113">
        <v>1.7</v>
      </c>
      <c r="G170" s="113">
        <v>5.3</v>
      </c>
      <c r="H170" s="113">
        <v>3.7</v>
      </c>
      <c r="I170" s="113">
        <v>1.0</v>
      </c>
      <c r="J170" s="113">
        <v>0.3</v>
      </c>
      <c r="K170" s="113">
        <v>1.8</v>
      </c>
      <c r="L170" s="113">
        <v>17.3</v>
      </c>
      <c r="M170" s="113">
        <v>83.5</v>
      </c>
      <c r="N170" s="117">
        <v>-2.9</v>
      </c>
      <c r="O170" t="str">
        <f>IFERROR(__xludf.DUMMYFUNCTION("regexextract(B170,""[\w]* [\w]*"")"),"Jae Crowder")</f>
        <v>Jae Crowder</v>
      </c>
      <c r="P170" t="str">
        <f t="shared" si="2"/>
        <v>Jae Crowder</v>
      </c>
      <c r="Q170" t="str">
        <f t="shared" si="3"/>
        <v>Jae Crowder</v>
      </c>
      <c r="R170" t="s">
        <v>227</v>
      </c>
      <c r="S170" s="14" t="s">
        <v>227</v>
      </c>
      <c r="T170" t="s">
        <v>35</v>
      </c>
      <c r="U170" t="s">
        <v>36</v>
      </c>
      <c r="V170" t="s">
        <v>37</v>
      </c>
      <c r="W170" t="str">
        <f t="shared" si="1"/>
        <v>SFPFC</v>
      </c>
    </row>
    <row r="171">
      <c r="A171" s="98">
        <v>163.0</v>
      </c>
      <c r="B171" s="99" t="s">
        <v>391</v>
      </c>
      <c r="C171" s="100"/>
      <c r="D171" s="100"/>
      <c r="E171" s="112">
        <v>2.1</v>
      </c>
      <c r="F171" s="112">
        <v>2.7</v>
      </c>
      <c r="G171" s="112">
        <v>2.9</v>
      </c>
      <c r="H171" s="112">
        <v>3.4</v>
      </c>
      <c r="I171" s="112">
        <v>1.1</v>
      </c>
      <c r="J171" s="112">
        <v>0.3</v>
      </c>
      <c r="K171" s="112">
        <v>1.9</v>
      </c>
      <c r="L171" s="112">
        <v>14.8</v>
      </c>
      <c r="M171" s="112">
        <v>67.8</v>
      </c>
      <c r="N171" s="116">
        <v>-0.2</v>
      </c>
      <c r="O171" t="str">
        <f>IFERROR(__xludf.DUMMYFUNCTION("regexextract(B171,""[\w]* [\w]*"")"),"Danny Green")</f>
        <v>Danny Green</v>
      </c>
      <c r="P171" t="str">
        <f t="shared" si="2"/>
        <v>Danny Green</v>
      </c>
      <c r="Q171" t="str">
        <f t="shared" si="3"/>
        <v>Danny Green</v>
      </c>
      <c r="R171" t="s">
        <v>227</v>
      </c>
      <c r="S171" s="14" t="s">
        <v>34</v>
      </c>
      <c r="T171" t="s">
        <v>35</v>
      </c>
      <c r="U171" t="s">
        <v>227</v>
      </c>
      <c r="V171" t="s">
        <v>227</v>
      </c>
      <c r="W171" t="str">
        <f t="shared" si="1"/>
        <v>SGSF</v>
      </c>
    </row>
    <row r="172">
      <c r="A172" s="101">
        <v>164.0</v>
      </c>
      <c r="B172" s="102" t="s">
        <v>392</v>
      </c>
      <c r="C172" s="103"/>
      <c r="D172" s="103"/>
      <c r="E172" s="113">
        <v>2.1</v>
      </c>
      <c r="F172" s="113">
        <v>0.4</v>
      </c>
      <c r="G172" s="113">
        <v>6.2</v>
      </c>
      <c r="H172" s="113">
        <v>1.7</v>
      </c>
      <c r="I172" s="113">
        <v>1.0</v>
      </c>
      <c r="J172" s="113">
        <v>0.9</v>
      </c>
      <c r="K172" s="113">
        <v>0.7</v>
      </c>
      <c r="L172" s="113">
        <v>11.9</v>
      </c>
      <c r="M172" s="113">
        <v>18.6</v>
      </c>
      <c r="N172" s="114">
        <f>+14</f>
        <v>14</v>
      </c>
      <c r="O172" t="str">
        <f>IFERROR(__xludf.DUMMYFUNCTION("regexextract(B172,""[\w]* [\w]*"")"),"Terrence Ross")</f>
        <v>Terrence Ross</v>
      </c>
      <c r="P172" t="str">
        <f t="shared" si="2"/>
        <v>Terrence Ross</v>
      </c>
      <c r="Q172" t="str">
        <f t="shared" si="3"/>
        <v>Terrence Ross</v>
      </c>
      <c r="R172" t="s">
        <v>227</v>
      </c>
      <c r="S172" s="14" t="s">
        <v>34</v>
      </c>
      <c r="T172" t="s">
        <v>35</v>
      </c>
      <c r="U172" t="s">
        <v>227</v>
      </c>
      <c r="V172" t="s">
        <v>37</v>
      </c>
      <c r="W172" t="str">
        <f t="shared" si="1"/>
        <v>SGSFC</v>
      </c>
    </row>
    <row r="173">
      <c r="A173" s="98">
        <v>165.0</v>
      </c>
      <c r="B173" s="99" t="s">
        <v>393</v>
      </c>
      <c r="C173" s="100"/>
      <c r="D173" s="100"/>
      <c r="E173" s="112">
        <v>2.1</v>
      </c>
      <c r="F173" s="112">
        <v>0.4</v>
      </c>
      <c r="G173" s="112">
        <v>11.9</v>
      </c>
      <c r="H173" s="112">
        <v>1.8</v>
      </c>
      <c r="I173" s="112">
        <v>0.5</v>
      </c>
      <c r="J173" s="112">
        <v>1.0</v>
      </c>
      <c r="K173" s="112">
        <v>1.6</v>
      </c>
      <c r="L173" s="112">
        <v>13.0</v>
      </c>
      <c r="M173" s="112">
        <v>85.9</v>
      </c>
      <c r="N173" s="116">
        <v>-1.6</v>
      </c>
      <c r="O173" t="str">
        <f>IFERROR(__xludf.DUMMYFUNCTION("regexextract(B173,""[\w]* [\w]*"")"),"James WisemanO")</f>
        <v>James WisemanO</v>
      </c>
      <c r="P173" t="str">
        <f t="shared" si="2"/>
        <v>James WisemanO</v>
      </c>
      <c r="Q173" t="str">
        <f t="shared" si="3"/>
        <v>James Wiseman</v>
      </c>
      <c r="R173" t="s">
        <v>227</v>
      </c>
      <c r="S173" s="14" t="s">
        <v>227</v>
      </c>
      <c r="T173" t="s">
        <v>227</v>
      </c>
      <c r="U173" t="s">
        <v>227</v>
      </c>
      <c r="V173" t="s">
        <v>37</v>
      </c>
      <c r="W173" t="str">
        <f t="shared" si="1"/>
        <v>C</v>
      </c>
    </row>
    <row r="174">
      <c r="A174" s="101">
        <v>166.0</v>
      </c>
      <c r="B174" s="102" t="s">
        <v>394</v>
      </c>
      <c r="C174" s="103"/>
      <c r="D174" s="103"/>
      <c r="E174" s="113">
        <v>3.0</v>
      </c>
      <c r="F174" s="113">
        <v>0.0</v>
      </c>
      <c r="G174" s="113">
        <v>10.2</v>
      </c>
      <c r="H174" s="113">
        <v>0.8</v>
      </c>
      <c r="I174" s="113">
        <v>0.4</v>
      </c>
      <c r="J174" s="113">
        <v>2.1</v>
      </c>
      <c r="K174" s="113">
        <v>1.5</v>
      </c>
      <c r="L174" s="113">
        <v>12.0</v>
      </c>
      <c r="M174" s="113">
        <v>15.7</v>
      </c>
      <c r="N174" s="114">
        <f>+14.2</f>
        <v>14.2</v>
      </c>
      <c r="O174" t="str">
        <f>IFERROR(__xludf.DUMMYFUNCTION("regexextract(B174,""[\w]* [\w]*"")"),"Daniel Gafford")</f>
        <v>Daniel Gafford</v>
      </c>
      <c r="P174" t="str">
        <f t="shared" si="2"/>
        <v>Daniel Gafford</v>
      </c>
      <c r="Q174" t="str">
        <f t="shared" si="3"/>
        <v>Daniel Gafford</v>
      </c>
      <c r="R174" t="s">
        <v>227</v>
      </c>
      <c r="S174" s="14" t="s">
        <v>227</v>
      </c>
      <c r="T174" t="s">
        <v>227</v>
      </c>
      <c r="U174" t="s">
        <v>36</v>
      </c>
      <c r="V174" t="s">
        <v>37</v>
      </c>
      <c r="W174" t="str">
        <f t="shared" si="1"/>
        <v>PFC</v>
      </c>
    </row>
    <row r="175">
      <c r="A175" s="98">
        <v>167.0</v>
      </c>
      <c r="B175" s="99" t="s">
        <v>395</v>
      </c>
      <c r="C175" s="100"/>
      <c r="D175" s="100"/>
      <c r="E175" s="112">
        <v>1.0</v>
      </c>
      <c r="F175" s="112">
        <v>3.0</v>
      </c>
      <c r="G175" s="112">
        <v>3.7</v>
      </c>
      <c r="H175" s="112">
        <v>1.9</v>
      </c>
      <c r="I175" s="112">
        <v>0.7</v>
      </c>
      <c r="J175" s="112">
        <v>0.2</v>
      </c>
      <c r="K175" s="112">
        <v>1.0</v>
      </c>
      <c r="L175" s="112">
        <v>14.1</v>
      </c>
      <c r="M175" s="112">
        <v>50.2</v>
      </c>
      <c r="N175" s="115">
        <f>+4.4</f>
        <v>4.4</v>
      </c>
      <c r="O175" t="str">
        <f>IFERROR(__xludf.DUMMYFUNCTION("regexextract(B175,""[\w]* [\w]*"")"),"Goran Dragic")</f>
        <v>Goran Dragic</v>
      </c>
      <c r="P175" t="str">
        <f t="shared" si="2"/>
        <v>Goran Dragic</v>
      </c>
      <c r="Q175" t="str">
        <f t="shared" si="3"/>
        <v>Goran Dragic</v>
      </c>
      <c r="R175" t="s">
        <v>33</v>
      </c>
      <c r="S175" s="14" t="s">
        <v>227</v>
      </c>
      <c r="T175" t="s">
        <v>227</v>
      </c>
      <c r="U175" t="s">
        <v>227</v>
      </c>
      <c r="V175" t="s">
        <v>37</v>
      </c>
      <c r="W175" t="str">
        <f t="shared" si="1"/>
        <v>PGC</v>
      </c>
    </row>
    <row r="176">
      <c r="A176" s="101">
        <v>168.0</v>
      </c>
      <c r="B176" s="102" t="s">
        <v>396</v>
      </c>
      <c r="C176" s="103"/>
      <c r="D176" s="103"/>
      <c r="E176" s="113">
        <v>1.9</v>
      </c>
      <c r="F176" s="113">
        <v>3.0</v>
      </c>
      <c r="G176" s="113">
        <v>3.9</v>
      </c>
      <c r="H176" s="113">
        <v>2.1</v>
      </c>
      <c r="I176" s="113">
        <v>0.8</v>
      </c>
      <c r="J176" s="113">
        <v>0.2</v>
      </c>
      <c r="K176" s="113">
        <v>1.5</v>
      </c>
      <c r="L176" s="113">
        <v>17.2</v>
      </c>
      <c r="M176" s="113">
        <v>69.7</v>
      </c>
      <c r="N176" s="117">
        <v>-2.6</v>
      </c>
      <c r="O176" t="str">
        <f>IFERROR(__xludf.DUMMYFUNCTION("regexextract(B176,""[\w]* [\w]*"")"),"Kevin Huerter")</f>
        <v>Kevin Huerter</v>
      </c>
      <c r="P176" t="str">
        <f t="shared" si="2"/>
        <v>Kevin Huerter</v>
      </c>
      <c r="Q176" t="str">
        <f t="shared" si="3"/>
        <v>Kevin Huerter</v>
      </c>
      <c r="R176" t="s">
        <v>227</v>
      </c>
      <c r="S176" s="14" t="s">
        <v>34</v>
      </c>
      <c r="T176" t="s">
        <v>35</v>
      </c>
      <c r="U176" t="s">
        <v>227</v>
      </c>
      <c r="V176" t="s">
        <v>227</v>
      </c>
      <c r="W176" t="str">
        <f t="shared" si="1"/>
        <v>SGSF</v>
      </c>
    </row>
    <row r="177">
      <c r="A177" s="98">
        <v>169.0</v>
      </c>
      <c r="B177" s="99" t="s">
        <v>397</v>
      </c>
      <c r="C177" s="100"/>
      <c r="D177" s="100"/>
      <c r="E177" s="112">
        <v>2.2</v>
      </c>
      <c r="F177" s="112">
        <v>2.0</v>
      </c>
      <c r="G177" s="112">
        <v>6.1</v>
      </c>
      <c r="H177" s="112">
        <v>2.0</v>
      </c>
      <c r="I177" s="112">
        <v>0.5</v>
      </c>
      <c r="J177" s="112">
        <v>0.6</v>
      </c>
      <c r="K177" s="112">
        <v>1.8</v>
      </c>
      <c r="L177" s="112">
        <v>15.0</v>
      </c>
      <c r="M177" s="112">
        <v>74.3</v>
      </c>
      <c r="N177" s="116">
        <v>-1.8</v>
      </c>
      <c r="O177" t="str">
        <f>IFERROR(__xludf.DUMMYFUNCTION("regexextract(B177,""[\w]* [\w]*"")"),"Alec Burks")</f>
        <v>Alec Burks</v>
      </c>
      <c r="P177" t="str">
        <f t="shared" si="2"/>
        <v>Alec Burks</v>
      </c>
      <c r="Q177" t="str">
        <f t="shared" si="3"/>
        <v>Alec Burks</v>
      </c>
      <c r="R177" t="s">
        <v>227</v>
      </c>
      <c r="S177" s="14" t="s">
        <v>34</v>
      </c>
      <c r="T177" t="s">
        <v>227</v>
      </c>
      <c r="U177" t="s">
        <v>227</v>
      </c>
      <c r="V177" t="s">
        <v>37</v>
      </c>
      <c r="W177" t="str">
        <f t="shared" si="1"/>
        <v>SGC</v>
      </c>
    </row>
    <row r="178">
      <c r="A178" s="101">
        <v>170.0</v>
      </c>
      <c r="B178" s="102" t="s">
        <v>398</v>
      </c>
      <c r="C178" s="103"/>
      <c r="D178" s="103"/>
      <c r="E178" s="113">
        <v>0.6</v>
      </c>
      <c r="F178" s="113">
        <v>0.2</v>
      </c>
      <c r="G178" s="113">
        <v>3.1</v>
      </c>
      <c r="H178" s="113">
        <v>5.5</v>
      </c>
      <c r="I178" s="113">
        <v>1.4</v>
      </c>
      <c r="J178" s="113">
        <v>0.3</v>
      </c>
      <c r="K178" s="113">
        <v>1.6</v>
      </c>
      <c r="L178" s="113">
        <v>7.5</v>
      </c>
      <c r="M178" s="113">
        <v>65.3</v>
      </c>
      <c r="N178" s="117">
        <v>-5.6</v>
      </c>
      <c r="O178" t="str">
        <f>IFERROR(__xludf.DUMMYFUNCTION("regexextract(B178,""[\w]* [\w]*"")"),"Aleksej Pokusevski")</f>
        <v>Aleksej Pokusevski</v>
      </c>
      <c r="P178" t="str">
        <f t="shared" si="2"/>
        <v>Aleksej Pokusevski</v>
      </c>
      <c r="Q178" t="str">
        <f t="shared" si="3"/>
        <v>Aleksej Pokusevski</v>
      </c>
      <c r="R178" t="s">
        <v>227</v>
      </c>
      <c r="S178" s="14" t="s">
        <v>227</v>
      </c>
      <c r="T178" t="s">
        <v>227</v>
      </c>
      <c r="U178" t="s">
        <v>36</v>
      </c>
      <c r="V178" t="s">
        <v>37</v>
      </c>
      <c r="W178" t="str">
        <f t="shared" si="1"/>
        <v>PFC</v>
      </c>
    </row>
    <row r="179">
      <c r="A179" s="98">
        <v>171.0</v>
      </c>
      <c r="B179" s="99" t="s">
        <v>399</v>
      </c>
      <c r="C179" s="100"/>
      <c r="D179" s="100"/>
      <c r="E179" s="112">
        <v>3.1</v>
      </c>
      <c r="F179" s="112">
        <v>2.8</v>
      </c>
      <c r="G179" s="112">
        <v>6.5</v>
      </c>
      <c r="H179" s="112">
        <v>1.2</v>
      </c>
      <c r="I179" s="112">
        <v>0.7</v>
      </c>
      <c r="J179" s="112">
        <v>0.4</v>
      </c>
      <c r="K179" s="112">
        <v>1.4</v>
      </c>
      <c r="L179" s="112">
        <v>17.8</v>
      </c>
      <c r="M179" s="112">
        <v>23.9</v>
      </c>
      <c r="N179" s="115">
        <f>+11.6</f>
        <v>11.6</v>
      </c>
      <c r="O179" t="str">
        <f>IFERROR(__xludf.DUMMYFUNCTION("regexextract(B179,""[\w]* [\w]*"")"),"Evan Mobley")</f>
        <v>Evan Mobley</v>
      </c>
      <c r="P179" t="str">
        <f t="shared" si="2"/>
        <v>Evan Mobley</v>
      </c>
      <c r="Q179" t="str">
        <f t="shared" si="3"/>
        <v>Evan Mobley</v>
      </c>
      <c r="R179" t="s">
        <v>227</v>
      </c>
      <c r="S179" s="14" t="s">
        <v>227</v>
      </c>
      <c r="T179" t="s">
        <v>227</v>
      </c>
      <c r="U179" t="s">
        <v>36</v>
      </c>
      <c r="V179" t="s">
        <v>37</v>
      </c>
      <c r="W179" t="str">
        <f t="shared" si="1"/>
        <v>PFC</v>
      </c>
    </row>
    <row r="180">
      <c r="A180" s="101">
        <v>172.0</v>
      </c>
      <c r="B180" s="102" t="s">
        <v>400</v>
      </c>
      <c r="C180" s="103"/>
      <c r="D180" s="103"/>
      <c r="E180" s="113">
        <v>2.8</v>
      </c>
      <c r="F180" s="113">
        <v>0.7</v>
      </c>
      <c r="G180" s="113">
        <v>8.0</v>
      </c>
      <c r="H180" s="113">
        <v>1.9</v>
      </c>
      <c r="I180" s="113">
        <v>0.4</v>
      </c>
      <c r="J180" s="113">
        <v>1.1</v>
      </c>
      <c r="K180" s="113">
        <v>1.3</v>
      </c>
      <c r="L180" s="113">
        <v>14.9</v>
      </c>
      <c r="M180" s="113">
        <v>49.2</v>
      </c>
      <c r="N180" s="117">
        <v>-7.5</v>
      </c>
      <c r="O180" t="str">
        <f>IFERROR(__xludf.DUMMYFUNCTION("regexextract(B180,""[\w]* [\w]*"")"),"Dorian Finney")</f>
        <v>Dorian Finney</v>
      </c>
      <c r="P180" t="str">
        <f t="shared" si="2"/>
        <v>Dorian Finney</v>
      </c>
      <c r="Q180" t="str">
        <f t="shared" si="3"/>
        <v>Dorian Finney</v>
      </c>
      <c r="R180" t="s">
        <v>227</v>
      </c>
      <c r="S180" s="14" t="s">
        <v>227</v>
      </c>
      <c r="T180" t="s">
        <v>35</v>
      </c>
      <c r="U180" t="s">
        <v>36</v>
      </c>
      <c r="V180" t="s">
        <v>227</v>
      </c>
      <c r="W180" t="str">
        <f t="shared" si="1"/>
        <v>SFPF</v>
      </c>
    </row>
    <row r="181">
      <c r="A181" s="98">
        <v>173.0</v>
      </c>
      <c r="B181" s="99" t="s">
        <v>401</v>
      </c>
      <c r="C181" s="100"/>
      <c r="D181" s="100"/>
      <c r="E181" s="112">
        <v>2.9</v>
      </c>
      <c r="F181" s="112">
        <v>1.2</v>
      </c>
      <c r="G181" s="112">
        <v>3.8</v>
      </c>
      <c r="H181" s="112">
        <v>1.4</v>
      </c>
      <c r="I181" s="112">
        <v>1.1</v>
      </c>
      <c r="J181" s="112">
        <v>0.5</v>
      </c>
      <c r="K181" s="112">
        <v>1.2</v>
      </c>
      <c r="L181" s="112">
        <v>17.6</v>
      </c>
      <c r="M181" s="112">
        <v>50.9</v>
      </c>
      <c r="N181" s="116">
        <v>-7.1</v>
      </c>
      <c r="O181" t="str">
        <f>IFERROR(__xludf.DUMMYFUNCTION("regexextract(B181,""[\w]* [\w]*"")"),"Chuma OkekeDTD")</f>
        <v>Chuma OkekeDTD</v>
      </c>
      <c r="P181" t="str">
        <f t="shared" si="2"/>
        <v>Chuma Okeke</v>
      </c>
      <c r="Q181" t="str">
        <f t="shared" si="3"/>
        <v>Chuma Okeke</v>
      </c>
      <c r="R181" t="s">
        <v>227</v>
      </c>
      <c r="S181" s="14" t="s">
        <v>227</v>
      </c>
      <c r="T181" t="s">
        <v>227</v>
      </c>
      <c r="U181" t="s">
        <v>36</v>
      </c>
      <c r="V181" t="s">
        <v>37</v>
      </c>
      <c r="W181" t="str">
        <f t="shared" si="1"/>
        <v>PFC</v>
      </c>
    </row>
    <row r="182">
      <c r="A182" s="101">
        <v>174.0</v>
      </c>
      <c r="B182" s="102" t="s">
        <v>402</v>
      </c>
      <c r="C182" s="103"/>
      <c r="D182" s="103"/>
      <c r="E182" s="113">
        <v>3.9</v>
      </c>
      <c r="F182" s="113">
        <v>2.6</v>
      </c>
      <c r="G182" s="113">
        <v>4.0</v>
      </c>
      <c r="H182" s="113">
        <v>2.0</v>
      </c>
      <c r="I182" s="113">
        <v>0.6</v>
      </c>
      <c r="J182" s="113">
        <v>0.1</v>
      </c>
      <c r="K182" s="113">
        <v>2.0</v>
      </c>
      <c r="L182" s="113">
        <v>18.1</v>
      </c>
      <c r="M182" s="113">
        <v>55.7</v>
      </c>
      <c r="N182" s="117">
        <v>-0.2</v>
      </c>
      <c r="O182" t="str">
        <f>IFERROR(__xludf.DUMMYFUNCTION("regexextract(B182,""[\w]* [\w]*"")"),"Khem Birch")</f>
        <v>Khem Birch</v>
      </c>
      <c r="P182" t="str">
        <f t="shared" si="2"/>
        <v>Khem Birch</v>
      </c>
      <c r="Q182" t="str">
        <f t="shared" si="3"/>
        <v>Khem Birch</v>
      </c>
      <c r="R182" t="s">
        <v>227</v>
      </c>
      <c r="S182" s="14" t="s">
        <v>227</v>
      </c>
      <c r="T182" t="s">
        <v>227</v>
      </c>
      <c r="U182" t="s">
        <v>227</v>
      </c>
      <c r="V182" t="s">
        <v>37</v>
      </c>
      <c r="W182" t="str">
        <f t="shared" si="1"/>
        <v>C</v>
      </c>
    </row>
    <row r="183">
      <c r="A183" s="98">
        <v>175.0</v>
      </c>
      <c r="B183" s="99" t="s">
        <v>403</v>
      </c>
      <c r="C183" s="100"/>
      <c r="D183" s="100"/>
      <c r="E183" s="112">
        <v>2.8</v>
      </c>
      <c r="F183" s="112">
        <v>0.0</v>
      </c>
      <c r="G183" s="112">
        <v>9.1</v>
      </c>
      <c r="H183" s="112">
        <v>2.0</v>
      </c>
      <c r="I183" s="112">
        <v>1.0</v>
      </c>
      <c r="J183" s="112">
        <v>0.8</v>
      </c>
      <c r="K183" s="112">
        <v>1.5</v>
      </c>
      <c r="L183" s="112">
        <v>9.7</v>
      </c>
      <c r="M183" s="112">
        <v>17.5</v>
      </c>
      <c r="N183" s="115">
        <f>+7.4</f>
        <v>7.4</v>
      </c>
      <c r="O183" t="str">
        <f>IFERROR(__xludf.DUMMYFUNCTION("regexextract(B183,""[\w]* [\w]*"")"),"Terance Mann")</f>
        <v>Terance Mann</v>
      </c>
      <c r="P183" t="str">
        <f t="shared" si="2"/>
        <v>Terance Mann</v>
      </c>
      <c r="Q183" t="str">
        <f t="shared" si="3"/>
        <v>Terance Mann</v>
      </c>
      <c r="R183" t="s">
        <v>227</v>
      </c>
      <c r="S183" s="14" t="s">
        <v>227</v>
      </c>
      <c r="T183" t="s">
        <v>35</v>
      </c>
      <c r="U183" t="s">
        <v>227</v>
      </c>
      <c r="V183" t="s">
        <v>37</v>
      </c>
      <c r="W183" t="str">
        <f t="shared" si="1"/>
        <v>SFC</v>
      </c>
    </row>
    <row r="184">
      <c r="A184" s="101">
        <v>176.0</v>
      </c>
      <c r="B184" s="102" t="s">
        <v>404</v>
      </c>
      <c r="C184" s="103"/>
      <c r="D184" s="103"/>
      <c r="E184" s="113">
        <v>1.5</v>
      </c>
      <c r="F184" s="113">
        <v>1.3</v>
      </c>
      <c r="G184" s="113">
        <v>7.6</v>
      </c>
      <c r="H184" s="113">
        <v>1.4</v>
      </c>
      <c r="I184" s="113">
        <v>0.8</v>
      </c>
      <c r="J184" s="113">
        <v>0.4</v>
      </c>
      <c r="K184" s="113">
        <v>1.2</v>
      </c>
      <c r="L184" s="113">
        <v>13.0</v>
      </c>
      <c r="M184" s="113">
        <v>13.8</v>
      </c>
      <c r="N184" s="114">
        <f>+4.6</f>
        <v>4.6</v>
      </c>
      <c r="O184" t="str">
        <f>IFERROR(__xludf.DUMMYFUNCTION("regexextract(B184,""[\w]* [\w]*"")"),"Larry Nance")</f>
        <v>Larry Nance</v>
      </c>
      <c r="P184" t="str">
        <f t="shared" si="2"/>
        <v>Larry Nance</v>
      </c>
      <c r="Q184" t="str">
        <f t="shared" si="3"/>
        <v>Larry Nance</v>
      </c>
      <c r="R184" t="s">
        <v>227</v>
      </c>
      <c r="S184" s="14" t="s">
        <v>227</v>
      </c>
      <c r="T184" t="s">
        <v>227</v>
      </c>
      <c r="U184" t="s">
        <v>36</v>
      </c>
      <c r="V184" t="s">
        <v>37</v>
      </c>
      <c r="W184" t="str">
        <f t="shared" si="1"/>
        <v>PFC</v>
      </c>
    </row>
    <row r="185">
      <c r="A185" s="98">
        <v>177.0</v>
      </c>
      <c r="B185" s="99" t="s">
        <v>405</v>
      </c>
      <c r="C185" s="100"/>
      <c r="D185" s="100"/>
      <c r="E185" s="112">
        <v>2.8</v>
      </c>
      <c r="F185" s="112">
        <v>0.0</v>
      </c>
      <c r="G185" s="112">
        <v>8.4</v>
      </c>
      <c r="H185" s="112">
        <v>3.3</v>
      </c>
      <c r="I185" s="112">
        <v>0.7</v>
      </c>
      <c r="J185" s="112">
        <v>0.8</v>
      </c>
      <c r="K185" s="112">
        <v>1.7</v>
      </c>
      <c r="L185" s="112">
        <v>9.6</v>
      </c>
      <c r="M185" s="112">
        <v>59.5</v>
      </c>
      <c r="N185" s="116">
        <v>-13.6</v>
      </c>
      <c r="O185" t="str">
        <f>IFERROR(__xludf.DUMMYFUNCTION("regexextract(B185,""[\w]* [\w]*"")"),"Franz Wagner")</f>
        <v>Franz Wagner</v>
      </c>
      <c r="P185" t="str">
        <f t="shared" si="2"/>
        <v>Franz Wagner</v>
      </c>
      <c r="Q185" t="str">
        <f t="shared" si="3"/>
        <v>Franz Wagner</v>
      </c>
      <c r="R185" t="s">
        <v>227</v>
      </c>
      <c r="S185" s="14" t="s">
        <v>227</v>
      </c>
      <c r="T185" t="s">
        <v>35</v>
      </c>
      <c r="U185" t="s">
        <v>227</v>
      </c>
      <c r="V185" t="s">
        <v>227</v>
      </c>
      <c r="W185" t="str">
        <f t="shared" si="1"/>
        <v>SF</v>
      </c>
    </row>
    <row r="186">
      <c r="A186" s="101">
        <v>178.0</v>
      </c>
      <c r="B186" s="102" t="s">
        <v>406</v>
      </c>
      <c r="C186" s="103"/>
      <c r="D186" s="103"/>
      <c r="E186" s="113">
        <v>2.5</v>
      </c>
      <c r="F186" s="113">
        <v>1.0</v>
      </c>
      <c r="G186" s="113">
        <v>3.4</v>
      </c>
      <c r="H186" s="113">
        <v>6.4</v>
      </c>
      <c r="I186" s="113">
        <v>1.3</v>
      </c>
      <c r="J186" s="113">
        <v>0.1</v>
      </c>
      <c r="K186" s="113">
        <v>1.9</v>
      </c>
      <c r="L186" s="113">
        <v>9.5</v>
      </c>
      <c r="M186" s="113">
        <v>8.7</v>
      </c>
      <c r="N186" s="114">
        <f>+2.9</f>
        <v>2.9</v>
      </c>
      <c r="O186" t="str">
        <f>IFERROR(__xludf.DUMMYFUNCTION("regexextract(B186,""[\w]* [\w]*"")"),"Coby WhiteO")</f>
        <v>Coby WhiteO</v>
      </c>
      <c r="P186" t="str">
        <f t="shared" si="2"/>
        <v>Coby WhiteO</v>
      </c>
      <c r="Q186" t="str">
        <f t="shared" si="3"/>
        <v>Coby White</v>
      </c>
      <c r="R186" t="s">
        <v>33</v>
      </c>
      <c r="S186" s="14" t="s">
        <v>227</v>
      </c>
      <c r="T186" t="s">
        <v>227</v>
      </c>
      <c r="U186" t="s">
        <v>227</v>
      </c>
      <c r="V186" t="s">
        <v>37</v>
      </c>
      <c r="W186" t="str">
        <f t="shared" si="1"/>
        <v>PGC</v>
      </c>
    </row>
    <row r="187">
      <c r="A187" s="98">
        <v>179.0</v>
      </c>
      <c r="B187" s="99" t="s">
        <v>407</v>
      </c>
      <c r="C187" s="100"/>
      <c r="D187" s="100"/>
      <c r="E187" s="112">
        <v>1.8</v>
      </c>
      <c r="F187" s="112">
        <v>2.7</v>
      </c>
      <c r="G187" s="112">
        <v>3.4</v>
      </c>
      <c r="H187" s="112">
        <v>2.1</v>
      </c>
      <c r="I187" s="112">
        <v>1.0</v>
      </c>
      <c r="J187" s="112">
        <v>0.5</v>
      </c>
      <c r="K187" s="112">
        <v>1.3</v>
      </c>
      <c r="L187" s="112">
        <v>18.8</v>
      </c>
      <c r="M187" s="112">
        <v>88.5</v>
      </c>
      <c r="N187" s="116">
        <v>-2.1</v>
      </c>
      <c r="O187" t="str">
        <f>IFERROR(__xludf.DUMMYFUNCTION("regexextract(B187,""[\w]* [\w]*"")"),"Blake Griffin")</f>
        <v>Blake Griffin</v>
      </c>
      <c r="P187" t="str">
        <f t="shared" si="2"/>
        <v>Blake Griffin</v>
      </c>
      <c r="Q187" t="str">
        <f t="shared" si="3"/>
        <v>Blake Griffin</v>
      </c>
      <c r="R187" t="s">
        <v>227</v>
      </c>
      <c r="S187" s="14" t="s">
        <v>227</v>
      </c>
      <c r="T187" t="s">
        <v>227</v>
      </c>
      <c r="U187" t="s">
        <v>36</v>
      </c>
      <c r="V187" t="s">
        <v>227</v>
      </c>
      <c r="W187" t="str">
        <f t="shared" si="1"/>
        <v>PF</v>
      </c>
    </row>
    <row r="188">
      <c r="A188" s="101">
        <v>180.0</v>
      </c>
      <c r="B188" s="102" t="s">
        <v>408</v>
      </c>
      <c r="C188" s="103"/>
      <c r="D188" s="103"/>
      <c r="E188" s="113">
        <v>2.2</v>
      </c>
      <c r="F188" s="113">
        <v>1.6</v>
      </c>
      <c r="G188" s="113">
        <v>5.9</v>
      </c>
      <c r="H188" s="113">
        <v>2.4</v>
      </c>
      <c r="I188" s="113">
        <v>0.9</v>
      </c>
      <c r="J188" s="113">
        <v>0.5</v>
      </c>
      <c r="K188" s="113">
        <v>1.5</v>
      </c>
      <c r="L188" s="113">
        <v>11.4</v>
      </c>
      <c r="M188" s="113">
        <v>62.7</v>
      </c>
      <c r="N188" s="117">
        <v>-10.5</v>
      </c>
      <c r="O188" t="str">
        <f>IFERROR(__xludf.DUMMYFUNCTION("regexextract(B188,""[\w]* [\w]*"")"),"Rudy GayO")</f>
        <v>Rudy GayO</v>
      </c>
      <c r="P188" t="str">
        <f t="shared" si="2"/>
        <v>Rudy GayO</v>
      </c>
      <c r="Q188" t="str">
        <f t="shared" si="3"/>
        <v>Rudy Gay</v>
      </c>
      <c r="R188" t="s">
        <v>227</v>
      </c>
      <c r="S188" s="14" t="s">
        <v>227</v>
      </c>
      <c r="T188" t="s">
        <v>227</v>
      </c>
      <c r="U188" t="s">
        <v>36</v>
      </c>
      <c r="V188" t="s">
        <v>227</v>
      </c>
      <c r="W188" t="str">
        <f t="shared" si="1"/>
        <v>PF</v>
      </c>
    </row>
    <row r="189">
      <c r="A189" s="98">
        <v>181.0</v>
      </c>
      <c r="B189" s="99" t="s">
        <v>409</v>
      </c>
      <c r="C189" s="100"/>
      <c r="D189" s="100"/>
      <c r="E189" s="112">
        <v>1.8</v>
      </c>
      <c r="F189" s="112">
        <v>1.3</v>
      </c>
      <c r="G189" s="112">
        <v>2.6</v>
      </c>
      <c r="H189" s="112">
        <v>4.1</v>
      </c>
      <c r="I189" s="112">
        <v>0.9</v>
      </c>
      <c r="J189" s="112">
        <v>0.3</v>
      </c>
      <c r="K189" s="112">
        <v>0.9</v>
      </c>
      <c r="L189" s="112">
        <v>12.6</v>
      </c>
      <c r="M189" s="112">
        <v>3.9</v>
      </c>
      <c r="N189" s="115">
        <f>+2</f>
        <v>2</v>
      </c>
      <c r="O189" t="str">
        <f>IFERROR(__xludf.DUMMYFUNCTION("regexextract(B189,""[\w]* [\w]*"")"),"Josh Hart")</f>
        <v>Josh Hart</v>
      </c>
      <c r="P189" t="str">
        <f t="shared" si="2"/>
        <v>Josh Hart</v>
      </c>
      <c r="Q189" t="str">
        <f t="shared" si="3"/>
        <v>Josh Hart</v>
      </c>
      <c r="R189" t="s">
        <v>227</v>
      </c>
      <c r="S189" s="14" t="s">
        <v>34</v>
      </c>
      <c r="T189" t="s">
        <v>35</v>
      </c>
      <c r="U189" t="s">
        <v>227</v>
      </c>
      <c r="V189" t="s">
        <v>227</v>
      </c>
      <c r="W189" t="str">
        <f t="shared" si="1"/>
        <v>SGSF</v>
      </c>
    </row>
    <row r="190">
      <c r="A190" s="101">
        <v>182.0</v>
      </c>
      <c r="B190" s="102" t="s">
        <v>410</v>
      </c>
      <c r="C190" s="103"/>
      <c r="D190" s="103"/>
      <c r="E190" s="113">
        <v>4.9</v>
      </c>
      <c r="F190" s="113">
        <v>1.7</v>
      </c>
      <c r="G190" s="113">
        <v>3.1</v>
      </c>
      <c r="H190" s="113">
        <v>6.8</v>
      </c>
      <c r="I190" s="113">
        <v>1.1</v>
      </c>
      <c r="J190" s="113">
        <v>0.7</v>
      </c>
      <c r="K190" s="113">
        <v>3.3</v>
      </c>
      <c r="L190" s="113">
        <v>18.8</v>
      </c>
      <c r="M190" s="113">
        <v>63.9</v>
      </c>
      <c r="N190" s="117">
        <v>-11.4</v>
      </c>
      <c r="O190" t="str">
        <f>IFERROR(__xludf.DUMMYFUNCTION("regexextract(B190,""[\w]* [\w]*"")"),"Kenrich Williams")</f>
        <v>Kenrich Williams</v>
      </c>
      <c r="P190" t="str">
        <f t="shared" si="2"/>
        <v>Kenrich Williams</v>
      </c>
      <c r="Q190" t="str">
        <f t="shared" si="3"/>
        <v>Kenrich Williams</v>
      </c>
      <c r="R190" t="s">
        <v>227</v>
      </c>
      <c r="S190" s="14" t="s">
        <v>227</v>
      </c>
      <c r="T190" t="s">
        <v>35</v>
      </c>
      <c r="U190" t="s">
        <v>227</v>
      </c>
      <c r="V190" t="s">
        <v>37</v>
      </c>
      <c r="W190" t="str">
        <f t="shared" si="1"/>
        <v>SFC</v>
      </c>
    </row>
    <row r="191">
      <c r="A191" s="98">
        <v>183.0</v>
      </c>
      <c r="B191" s="99" t="s">
        <v>411</v>
      </c>
      <c r="C191" s="100"/>
      <c r="D191" s="100"/>
      <c r="E191" s="112">
        <v>2.1</v>
      </c>
      <c r="F191" s="112">
        <v>0.9</v>
      </c>
      <c r="G191" s="112">
        <v>5.4</v>
      </c>
      <c r="H191" s="112">
        <v>3.2</v>
      </c>
      <c r="I191" s="112">
        <v>1.1</v>
      </c>
      <c r="J191" s="112">
        <v>0.7</v>
      </c>
      <c r="K191" s="112">
        <v>1.2</v>
      </c>
      <c r="L191" s="112">
        <v>10.1</v>
      </c>
      <c r="M191" s="112">
        <v>63.1</v>
      </c>
      <c r="N191" s="116">
        <v>-12.7</v>
      </c>
      <c r="O191" t="str">
        <f>IFERROR(__xludf.DUMMYFUNCTION("regexextract(B191,""[\w]* [\w]*"")"),"Terence Davis")</f>
        <v>Terence Davis</v>
      </c>
      <c r="P191" t="str">
        <f t="shared" si="2"/>
        <v>Terence Davis</v>
      </c>
      <c r="Q191" t="str">
        <f t="shared" si="3"/>
        <v>Terence Davis</v>
      </c>
      <c r="R191" t="s">
        <v>227</v>
      </c>
      <c r="S191" s="14" t="s">
        <v>34</v>
      </c>
      <c r="T191" t="s">
        <v>227</v>
      </c>
      <c r="U191" t="s">
        <v>227</v>
      </c>
      <c r="V191" t="s">
        <v>37</v>
      </c>
      <c r="W191" t="str">
        <f t="shared" si="1"/>
        <v>SGC</v>
      </c>
    </row>
    <row r="192">
      <c r="A192" s="101">
        <v>184.0</v>
      </c>
      <c r="B192" s="102" t="s">
        <v>412</v>
      </c>
      <c r="C192" s="103"/>
      <c r="D192" s="103"/>
      <c r="E192" s="113">
        <v>3.5</v>
      </c>
      <c r="F192" s="113">
        <v>1.8</v>
      </c>
      <c r="G192" s="113">
        <v>3.9</v>
      </c>
      <c r="H192" s="113">
        <v>5.1</v>
      </c>
      <c r="I192" s="113">
        <v>0.8</v>
      </c>
      <c r="J192" s="113">
        <v>0.3</v>
      </c>
      <c r="K192" s="113">
        <v>3.3</v>
      </c>
      <c r="L192" s="113">
        <v>16.1</v>
      </c>
      <c r="M192" s="113">
        <v>70.7</v>
      </c>
      <c r="N192" s="117">
        <v>-3.2</v>
      </c>
      <c r="O192" t="str">
        <f>IFERROR(__xludf.DUMMYFUNCTION("regexextract(B192,""[\w]* [\w]*"")"),"Tomas Satoransky")</f>
        <v>Tomas Satoransky</v>
      </c>
      <c r="P192" t="str">
        <f t="shared" si="2"/>
        <v>Tomas Satoransky</v>
      </c>
      <c r="Q192" t="str">
        <f t="shared" si="3"/>
        <v>Tomas Satoransky</v>
      </c>
      <c r="R192" t="s">
        <v>33</v>
      </c>
      <c r="S192" s="14" t="s">
        <v>34</v>
      </c>
      <c r="T192" t="s">
        <v>227</v>
      </c>
      <c r="U192" t="s">
        <v>227</v>
      </c>
      <c r="V192" t="s">
        <v>227</v>
      </c>
      <c r="W192" t="str">
        <f t="shared" si="1"/>
        <v>PGSG</v>
      </c>
    </row>
    <row r="193">
      <c r="A193" s="98">
        <v>185.0</v>
      </c>
      <c r="B193" s="99" t="s">
        <v>413</v>
      </c>
      <c r="C193" s="100"/>
      <c r="D193" s="100"/>
      <c r="E193" s="112">
        <v>2.4</v>
      </c>
      <c r="F193" s="112">
        <v>0.6</v>
      </c>
      <c r="G193" s="112">
        <v>6.3</v>
      </c>
      <c r="H193" s="112">
        <v>2.7</v>
      </c>
      <c r="I193" s="112">
        <v>0.6</v>
      </c>
      <c r="J193" s="112">
        <v>1.2</v>
      </c>
      <c r="K193" s="112">
        <v>1.6</v>
      </c>
      <c r="L193" s="112">
        <v>9.7</v>
      </c>
      <c r="M193" s="112">
        <v>7.2</v>
      </c>
      <c r="N193" s="115">
        <f>+1</f>
        <v>1</v>
      </c>
      <c r="O193" t="str">
        <f>IFERROR(__xludf.DUMMYFUNCTION("regexextract(B193,""[\w]* [\w]*"")"),"Kendrick Nunn")</f>
        <v>Kendrick Nunn</v>
      </c>
      <c r="P193" t="str">
        <f t="shared" si="2"/>
        <v>Kendrick Nunn</v>
      </c>
      <c r="Q193" t="str">
        <f t="shared" si="3"/>
        <v>Kendrick Nunn</v>
      </c>
      <c r="R193" t="s">
        <v>227</v>
      </c>
      <c r="S193" s="14" t="s">
        <v>34</v>
      </c>
      <c r="T193" t="s">
        <v>227</v>
      </c>
      <c r="U193" t="s">
        <v>227</v>
      </c>
      <c r="V193" t="s">
        <v>37</v>
      </c>
      <c r="W193" t="str">
        <f t="shared" si="1"/>
        <v>SGC</v>
      </c>
    </row>
    <row r="194">
      <c r="A194" s="101">
        <v>186.0</v>
      </c>
      <c r="B194" s="102" t="s">
        <v>414</v>
      </c>
      <c r="C194" s="103"/>
      <c r="D194" s="103"/>
      <c r="E194" s="113">
        <v>2.1</v>
      </c>
      <c r="F194" s="113">
        <v>2.1</v>
      </c>
      <c r="G194" s="113">
        <v>4.8</v>
      </c>
      <c r="H194" s="113">
        <v>3.0</v>
      </c>
      <c r="I194" s="113">
        <v>0.7</v>
      </c>
      <c r="J194" s="113">
        <v>0.3</v>
      </c>
      <c r="K194" s="113">
        <v>1.8</v>
      </c>
      <c r="L194" s="113">
        <v>14.8</v>
      </c>
      <c r="M194" s="113">
        <v>44.5</v>
      </c>
      <c r="N194" s="114">
        <f>+0.7</f>
        <v>0.7</v>
      </c>
      <c r="O194" t="str">
        <f>IFERROR(__xludf.DUMMYFUNCTION("regexextract(B194,""[\w]* [\w]*"")"),"Luguentz Dort")</f>
        <v>Luguentz Dort</v>
      </c>
      <c r="P194" t="str">
        <f t="shared" si="2"/>
        <v>Luguentz Dort</v>
      </c>
      <c r="Q194" t="str">
        <f t="shared" si="3"/>
        <v>Luguentz Dort</v>
      </c>
      <c r="R194" t="s">
        <v>227</v>
      </c>
      <c r="S194" s="14" t="s">
        <v>34</v>
      </c>
      <c r="T194" t="s">
        <v>35</v>
      </c>
      <c r="U194" t="s">
        <v>227</v>
      </c>
      <c r="V194" t="s">
        <v>37</v>
      </c>
      <c r="W194" t="str">
        <f t="shared" si="1"/>
        <v>SGSFC</v>
      </c>
    </row>
    <row r="195">
      <c r="A195" s="98">
        <v>187.0</v>
      </c>
      <c r="B195" s="99" t="s">
        <v>415</v>
      </c>
      <c r="C195" s="100"/>
      <c r="D195" s="100"/>
      <c r="E195" s="112">
        <v>2.5</v>
      </c>
      <c r="F195" s="112">
        <v>0.7</v>
      </c>
      <c r="G195" s="112">
        <v>7.3</v>
      </c>
      <c r="H195" s="112">
        <v>2.3</v>
      </c>
      <c r="I195" s="112">
        <v>1.1</v>
      </c>
      <c r="J195" s="112">
        <v>0.8</v>
      </c>
      <c r="K195" s="112">
        <v>2.4</v>
      </c>
      <c r="L195" s="112">
        <v>11.6</v>
      </c>
      <c r="M195" s="112">
        <v>2.8</v>
      </c>
      <c r="N195" s="115">
        <f>+1.3</f>
        <v>1.3</v>
      </c>
      <c r="O195" t="str">
        <f>IFERROR(__xludf.DUMMYFUNCTION("regexextract(B195,""[\w]* [\w]*"")"),"Shake Milton")</f>
        <v>Shake Milton</v>
      </c>
      <c r="P195" t="str">
        <f t="shared" si="2"/>
        <v>Shake Milton</v>
      </c>
      <c r="Q195" t="str">
        <f t="shared" si="3"/>
        <v>Shake Milton</v>
      </c>
      <c r="R195" t="s">
        <v>33</v>
      </c>
      <c r="S195" s="14" t="s">
        <v>34</v>
      </c>
      <c r="T195" t="s">
        <v>227</v>
      </c>
      <c r="U195" t="s">
        <v>227</v>
      </c>
      <c r="V195" t="s">
        <v>227</v>
      </c>
      <c r="W195" t="str">
        <f t="shared" si="1"/>
        <v>PGSG</v>
      </c>
    </row>
    <row r="196">
      <c r="A196" s="101">
        <v>188.0</v>
      </c>
      <c r="B196" s="102" t="s">
        <v>416</v>
      </c>
      <c r="C196" s="103"/>
      <c r="D196" s="103"/>
      <c r="E196" s="113">
        <v>2.7</v>
      </c>
      <c r="F196" s="113">
        <v>0.0</v>
      </c>
      <c r="G196" s="113">
        <v>9.4</v>
      </c>
      <c r="H196" s="113">
        <v>1.4</v>
      </c>
      <c r="I196" s="113">
        <v>1.1</v>
      </c>
      <c r="J196" s="113">
        <v>0.9</v>
      </c>
      <c r="K196" s="113">
        <v>1.9</v>
      </c>
      <c r="L196" s="113">
        <v>9.9</v>
      </c>
      <c r="M196" s="113">
        <v>52.2</v>
      </c>
      <c r="N196" s="117">
        <v>-6.2</v>
      </c>
      <c r="O196" t="str">
        <f>IFERROR(__xludf.DUMMYFUNCTION("regexextract(B196,""[\w]* [\w]*"")"),"Nicolas Batum")</f>
        <v>Nicolas Batum</v>
      </c>
      <c r="P196" t="str">
        <f t="shared" si="2"/>
        <v>Nicolas Batum</v>
      </c>
      <c r="Q196" t="str">
        <f t="shared" si="3"/>
        <v>Nicolas Batum</v>
      </c>
      <c r="R196" t="s">
        <v>227</v>
      </c>
      <c r="S196" s="14" t="s">
        <v>34</v>
      </c>
      <c r="T196" t="s">
        <v>35</v>
      </c>
      <c r="U196" t="s">
        <v>227</v>
      </c>
      <c r="V196" t="s">
        <v>37</v>
      </c>
      <c r="W196" t="str">
        <f t="shared" si="1"/>
        <v>SGSFC</v>
      </c>
    </row>
    <row r="197">
      <c r="A197" s="98">
        <v>189.0</v>
      </c>
      <c r="B197" s="99" t="s">
        <v>417</v>
      </c>
      <c r="C197" s="100"/>
      <c r="D197" s="100"/>
      <c r="E197" s="112">
        <v>3.1</v>
      </c>
      <c r="F197" s="112">
        <v>1.3</v>
      </c>
      <c r="G197" s="112">
        <v>4.4</v>
      </c>
      <c r="H197" s="112">
        <v>2.2</v>
      </c>
      <c r="I197" s="112">
        <v>1.1</v>
      </c>
      <c r="J197" s="112">
        <v>0.6</v>
      </c>
      <c r="K197" s="112">
        <v>1.4</v>
      </c>
      <c r="L197" s="112">
        <v>12.3</v>
      </c>
      <c r="M197" s="112">
        <v>3.3</v>
      </c>
      <c r="N197" s="115">
        <f>+1.5</f>
        <v>1.5</v>
      </c>
      <c r="O197" t="str">
        <f>IFERROR(__xludf.DUMMYFUNCTION("regexextract(B197,""[\w]* [\w]*"")"),"Jaxson Hayes")</f>
        <v>Jaxson Hayes</v>
      </c>
      <c r="P197" t="str">
        <f t="shared" si="2"/>
        <v>Jaxson Hayes</v>
      </c>
      <c r="Q197" t="str">
        <f t="shared" si="3"/>
        <v>Jaxson Hayes</v>
      </c>
      <c r="R197" t="s">
        <v>227</v>
      </c>
      <c r="S197" s="14" t="s">
        <v>227</v>
      </c>
      <c r="T197" t="s">
        <v>227</v>
      </c>
      <c r="U197" t="s">
        <v>227</v>
      </c>
      <c r="V197" t="s">
        <v>37</v>
      </c>
      <c r="W197" t="str">
        <f t="shared" si="1"/>
        <v>C</v>
      </c>
    </row>
    <row r="198">
      <c r="A198" s="101">
        <v>190.0</v>
      </c>
      <c r="B198" s="102" t="s">
        <v>418</v>
      </c>
      <c r="C198" s="103"/>
      <c r="D198" s="103"/>
      <c r="E198" s="113">
        <v>2.6</v>
      </c>
      <c r="F198" s="113">
        <v>1.0</v>
      </c>
      <c r="G198" s="113">
        <v>2.6</v>
      </c>
      <c r="H198" s="113">
        <v>4.4</v>
      </c>
      <c r="I198" s="113">
        <v>0.9</v>
      </c>
      <c r="J198" s="113">
        <v>0.4</v>
      </c>
      <c r="K198" s="113">
        <v>1.7</v>
      </c>
      <c r="L198" s="113">
        <v>15.3</v>
      </c>
      <c r="M198" s="113">
        <v>67.5</v>
      </c>
      <c r="N198" s="117">
        <v>-9.7</v>
      </c>
      <c r="O198" t="str">
        <f>IFERROR(__xludf.DUMMYFUNCTION("regexextract(B198,""[\w]* [\w]*"")"),"Matisse Thybulle")</f>
        <v>Matisse Thybulle</v>
      </c>
      <c r="P198" t="str">
        <f t="shared" si="2"/>
        <v>Matisse Thybulle</v>
      </c>
      <c r="Q198" t="str">
        <f t="shared" si="3"/>
        <v>Matisse Thybulle</v>
      </c>
      <c r="R198" t="s">
        <v>227</v>
      </c>
      <c r="S198" s="14" t="s">
        <v>34</v>
      </c>
      <c r="T198" t="s">
        <v>35</v>
      </c>
      <c r="U198" t="s">
        <v>227</v>
      </c>
      <c r="V198" t="s">
        <v>227</v>
      </c>
      <c r="W198" t="str">
        <f t="shared" si="1"/>
        <v>SGSF</v>
      </c>
    </row>
    <row r="199">
      <c r="A199" s="98">
        <v>191.0</v>
      </c>
      <c r="B199" s="99" t="s">
        <v>419</v>
      </c>
      <c r="C199" s="100"/>
      <c r="D199" s="100"/>
      <c r="E199" s="112">
        <v>3.0</v>
      </c>
      <c r="F199" s="112">
        <v>1.2</v>
      </c>
      <c r="G199" s="112">
        <v>5.9</v>
      </c>
      <c r="H199" s="112">
        <v>3.3</v>
      </c>
      <c r="I199" s="112">
        <v>0.7</v>
      </c>
      <c r="J199" s="112">
        <v>0.7</v>
      </c>
      <c r="K199" s="112">
        <v>1.9</v>
      </c>
      <c r="L199" s="112">
        <v>12.6</v>
      </c>
      <c r="M199" s="112">
        <v>18.9</v>
      </c>
      <c r="N199" s="115">
        <f>+2.5</f>
        <v>2.5</v>
      </c>
      <c r="O199" t="str">
        <f>IFERROR(__xludf.DUMMYFUNCTION("regexextract(B199,""[\w]* [\w]*"")"),"Royce O")</f>
        <v>Royce O</v>
      </c>
      <c r="P199" t="str">
        <f t="shared" si="2"/>
        <v>Royce O</v>
      </c>
      <c r="Q199" t="str">
        <f t="shared" si="3"/>
        <v>Royce </v>
      </c>
      <c r="R199" t="s">
        <v>227</v>
      </c>
      <c r="S199" s="14" t="s">
        <v>227</v>
      </c>
      <c r="T199" t="s">
        <v>35</v>
      </c>
      <c r="U199" t="s">
        <v>36</v>
      </c>
      <c r="V199" t="s">
        <v>37</v>
      </c>
      <c r="W199" t="str">
        <f t="shared" si="1"/>
        <v>SFPFC</v>
      </c>
    </row>
    <row r="200">
      <c r="A200" s="101">
        <v>192.0</v>
      </c>
      <c r="B200" s="102" t="s">
        <v>420</v>
      </c>
      <c r="C200" s="103"/>
      <c r="D200" s="103"/>
      <c r="E200" s="113">
        <v>2.0</v>
      </c>
      <c r="F200" s="113">
        <v>1.5</v>
      </c>
      <c r="G200" s="113">
        <v>5.1</v>
      </c>
      <c r="H200" s="113">
        <v>1.6</v>
      </c>
      <c r="I200" s="113">
        <v>1.0</v>
      </c>
      <c r="J200" s="113">
        <v>0.7</v>
      </c>
      <c r="K200" s="113">
        <v>1.5</v>
      </c>
      <c r="L200" s="113">
        <v>10.9</v>
      </c>
      <c r="M200" s="113">
        <v>5.8</v>
      </c>
      <c r="N200" s="114">
        <f>+1.5</f>
        <v>1.5</v>
      </c>
      <c r="O200" t="str">
        <f>IFERROR(__xludf.DUMMYFUNCTION("regexextract(B200,""[\w]* [\w]*"")"),"Devin Vassell")</f>
        <v>Devin Vassell</v>
      </c>
      <c r="P200" t="str">
        <f t="shared" si="2"/>
        <v>Devin Vassell</v>
      </c>
      <c r="Q200" t="str">
        <f t="shared" si="3"/>
        <v>Devin Vassell</v>
      </c>
      <c r="R200" t="s">
        <v>227</v>
      </c>
      <c r="S200" s="14" t="s">
        <v>34</v>
      </c>
      <c r="T200" t="s">
        <v>35</v>
      </c>
      <c r="U200" t="s">
        <v>227</v>
      </c>
      <c r="V200" t="s">
        <v>227</v>
      </c>
      <c r="W200" t="str">
        <f t="shared" si="1"/>
        <v>SGSF</v>
      </c>
    </row>
    <row r="201">
      <c r="A201" s="98">
        <v>193.0</v>
      </c>
      <c r="B201" s="99" t="s">
        <v>421</v>
      </c>
      <c r="C201" s="100"/>
      <c r="D201" s="100"/>
      <c r="E201" s="112">
        <v>2.4</v>
      </c>
      <c r="F201" s="112">
        <v>0.6</v>
      </c>
      <c r="G201" s="112">
        <v>3.5</v>
      </c>
      <c r="H201" s="112">
        <v>5.5</v>
      </c>
      <c r="I201" s="112">
        <v>1.2</v>
      </c>
      <c r="J201" s="112">
        <v>0.2</v>
      </c>
      <c r="K201" s="112">
        <v>2.3</v>
      </c>
      <c r="L201" s="112">
        <v>13.7</v>
      </c>
      <c r="M201" s="112">
        <v>39.4</v>
      </c>
      <c r="N201" s="116">
        <v>-12.1</v>
      </c>
      <c r="O201" t="str">
        <f>IFERROR(__xludf.DUMMYFUNCTION("regexextract(B201,""[\w]* [\w]*"")"),"Victor OladipoO")</f>
        <v>Victor OladipoO</v>
      </c>
      <c r="P201" t="str">
        <f t="shared" si="2"/>
        <v>Victor OladipoO</v>
      </c>
      <c r="Q201" t="str">
        <f t="shared" si="3"/>
        <v>Victor Oladipo</v>
      </c>
      <c r="R201" t="s">
        <v>227</v>
      </c>
      <c r="S201" s="14" t="s">
        <v>34</v>
      </c>
      <c r="T201" t="s">
        <v>227</v>
      </c>
      <c r="U201" t="s">
        <v>227</v>
      </c>
      <c r="V201" t="s">
        <v>37</v>
      </c>
      <c r="W201" t="str">
        <f t="shared" si="1"/>
        <v>SGC</v>
      </c>
    </row>
    <row r="202">
      <c r="A202" s="101">
        <v>194.0</v>
      </c>
      <c r="B202" s="102" t="s">
        <v>422</v>
      </c>
      <c r="C202" s="103"/>
      <c r="D202" s="103"/>
      <c r="E202" s="113">
        <v>3.3</v>
      </c>
      <c r="F202" s="113">
        <v>1.7</v>
      </c>
      <c r="G202" s="113">
        <v>7.5</v>
      </c>
      <c r="H202" s="113">
        <v>1.8</v>
      </c>
      <c r="I202" s="113">
        <v>0.6</v>
      </c>
      <c r="J202" s="113">
        <v>0.5</v>
      </c>
      <c r="K202" s="113">
        <v>2.3</v>
      </c>
      <c r="L202" s="113">
        <v>14.9</v>
      </c>
      <c r="M202" s="113">
        <v>5.8</v>
      </c>
      <c r="N202" s="114">
        <f t="shared" ref="N202:N203" si="8">+1.4</f>
        <v>1.4</v>
      </c>
      <c r="O202" t="str">
        <f>IFERROR(__xludf.DUMMYFUNCTION("regexextract(B202,""[\w]* [\w]*"")"),"Davis Bertans")</f>
        <v>Davis Bertans</v>
      </c>
      <c r="P202" t="str">
        <f t="shared" si="2"/>
        <v>Davis Bertans</v>
      </c>
      <c r="Q202" t="str">
        <f t="shared" si="3"/>
        <v>Davis Bertans</v>
      </c>
      <c r="R202" t="s">
        <v>227</v>
      </c>
      <c r="S202" s="14" t="s">
        <v>227</v>
      </c>
      <c r="T202" t="s">
        <v>227</v>
      </c>
      <c r="U202" t="s">
        <v>36</v>
      </c>
      <c r="V202" t="s">
        <v>227</v>
      </c>
      <c r="W202" t="str">
        <f t="shared" si="1"/>
        <v>PF</v>
      </c>
    </row>
    <row r="203">
      <c r="A203" s="98">
        <v>195.0</v>
      </c>
      <c r="B203" s="99" t="s">
        <v>423</v>
      </c>
      <c r="C203" s="100"/>
      <c r="D203" s="100"/>
      <c r="E203" s="112">
        <v>1.9</v>
      </c>
      <c r="F203" s="112">
        <v>1.8</v>
      </c>
      <c r="G203" s="112">
        <v>6.0</v>
      </c>
      <c r="H203" s="112">
        <v>2.3</v>
      </c>
      <c r="I203" s="112">
        <v>1.0</v>
      </c>
      <c r="J203" s="112">
        <v>0.4</v>
      </c>
      <c r="K203" s="112">
        <v>1.1</v>
      </c>
      <c r="L203" s="112">
        <v>13.0</v>
      </c>
      <c r="M203" s="112">
        <v>2.9</v>
      </c>
      <c r="N203" s="115">
        <f t="shared" si="8"/>
        <v>1.4</v>
      </c>
      <c r="O203" t="str">
        <f>IFERROR(__xludf.DUMMYFUNCTION("regexextract(B203,""[\w]* [\w]*"")"),"Kevin Love")</f>
        <v>Kevin Love</v>
      </c>
      <c r="P203" t="str">
        <f t="shared" si="2"/>
        <v>Kevin Love</v>
      </c>
      <c r="Q203" t="str">
        <f t="shared" si="3"/>
        <v>Kevin Love</v>
      </c>
      <c r="R203" t="s">
        <v>227</v>
      </c>
      <c r="S203" s="14" t="s">
        <v>227</v>
      </c>
      <c r="T203" t="s">
        <v>227</v>
      </c>
      <c r="U203" t="s">
        <v>36</v>
      </c>
      <c r="V203" t="s">
        <v>37</v>
      </c>
      <c r="W203" t="str">
        <f t="shared" si="1"/>
        <v>PFC</v>
      </c>
    </row>
    <row r="204">
      <c r="A204" s="101">
        <v>196.0</v>
      </c>
      <c r="B204" s="102" t="s">
        <v>424</v>
      </c>
      <c r="C204" s="103"/>
      <c r="D204" s="103"/>
      <c r="E204" s="113">
        <v>1.9</v>
      </c>
      <c r="F204" s="113">
        <v>1.0</v>
      </c>
      <c r="G204" s="113">
        <v>7.5</v>
      </c>
      <c r="H204" s="113">
        <v>1.6</v>
      </c>
      <c r="I204" s="113">
        <v>0.3</v>
      </c>
      <c r="J204" s="113">
        <v>1.1</v>
      </c>
      <c r="K204" s="113">
        <v>1.4</v>
      </c>
      <c r="L204" s="113">
        <v>13.4</v>
      </c>
      <c r="M204" s="113">
        <v>7.3</v>
      </c>
      <c r="N204" s="114">
        <f>+0.2</f>
        <v>0.2</v>
      </c>
      <c r="O204" t="str">
        <f>IFERROR(__xludf.DUMMYFUNCTION("regexextract(B204,""[\w]* [\w]*"")"),"Jeremy Lamb")</f>
        <v>Jeremy Lamb</v>
      </c>
      <c r="P204" t="str">
        <f t="shared" si="2"/>
        <v>Jeremy Lamb</v>
      </c>
      <c r="Q204" t="str">
        <f t="shared" si="3"/>
        <v>Jeremy Lamb</v>
      </c>
      <c r="R204" t="s">
        <v>227</v>
      </c>
      <c r="S204" s="14" t="s">
        <v>34</v>
      </c>
      <c r="T204" t="s">
        <v>35</v>
      </c>
      <c r="U204" t="s">
        <v>227</v>
      </c>
      <c r="V204" t="s">
        <v>227</v>
      </c>
      <c r="W204" t="str">
        <f t="shared" si="1"/>
        <v>SGSF</v>
      </c>
    </row>
    <row r="205">
      <c r="A205" s="98">
        <v>197.0</v>
      </c>
      <c r="B205" s="99" t="s">
        <v>425</v>
      </c>
      <c r="C205" s="100"/>
      <c r="D205" s="100"/>
      <c r="E205" s="112">
        <v>0.8</v>
      </c>
      <c r="F205" s="112">
        <v>1.5</v>
      </c>
      <c r="G205" s="112">
        <v>5.5</v>
      </c>
      <c r="H205" s="112">
        <v>2.9</v>
      </c>
      <c r="I205" s="112">
        <v>0.7</v>
      </c>
      <c r="J205" s="112">
        <v>0.8</v>
      </c>
      <c r="K205" s="112">
        <v>0.9</v>
      </c>
      <c r="L205" s="112">
        <v>11.3</v>
      </c>
      <c r="M205" s="112">
        <v>57.1</v>
      </c>
      <c r="N205" s="116">
        <v>-14.7</v>
      </c>
      <c r="O205" t="str">
        <f>IFERROR(__xludf.DUMMYFUNCTION("regexextract(B205,""[\w]* [\w]*"")"),"Bruce Brown")</f>
        <v>Bruce Brown</v>
      </c>
      <c r="P205" t="str">
        <f t="shared" si="2"/>
        <v>Bruce Brown</v>
      </c>
      <c r="Q205" t="str">
        <f t="shared" si="3"/>
        <v>Bruce Brown</v>
      </c>
      <c r="R205" t="s">
        <v>227</v>
      </c>
      <c r="S205" s="14" t="s">
        <v>34</v>
      </c>
      <c r="T205" t="s">
        <v>227</v>
      </c>
      <c r="U205" t="s">
        <v>227</v>
      </c>
      <c r="V205" t="s">
        <v>37</v>
      </c>
      <c r="W205" t="str">
        <f t="shared" si="1"/>
        <v>SGC</v>
      </c>
    </row>
    <row r="206">
      <c r="A206" s="101">
        <v>198.0</v>
      </c>
      <c r="B206" s="102" t="s">
        <v>426</v>
      </c>
      <c r="C206" s="103"/>
      <c r="D206" s="103"/>
      <c r="E206" s="113">
        <v>3.1</v>
      </c>
      <c r="F206" s="113">
        <v>1.5</v>
      </c>
      <c r="G206" s="113">
        <v>5.1</v>
      </c>
      <c r="H206" s="113">
        <v>1.2</v>
      </c>
      <c r="I206" s="113">
        <v>1.0</v>
      </c>
      <c r="J206" s="113">
        <v>0.7</v>
      </c>
      <c r="K206" s="113">
        <v>1.2</v>
      </c>
      <c r="L206" s="113">
        <v>14.1</v>
      </c>
      <c r="M206" s="113">
        <v>46.8</v>
      </c>
      <c r="N206" s="117">
        <v>-7.8</v>
      </c>
      <c r="O206" t="str">
        <f>IFERROR(__xludf.DUMMYFUNCTION("regexextract(B206,""[\w]* [\w]*"")"),"Derrick Favors")</f>
        <v>Derrick Favors</v>
      </c>
      <c r="P206" t="str">
        <f t="shared" si="2"/>
        <v>Derrick Favors</v>
      </c>
      <c r="Q206" t="str">
        <f t="shared" si="3"/>
        <v>Derrick Favors</v>
      </c>
      <c r="R206" t="s">
        <v>227</v>
      </c>
      <c r="S206" s="14" t="s">
        <v>227</v>
      </c>
      <c r="T206" t="s">
        <v>227</v>
      </c>
      <c r="U206" t="s">
        <v>36</v>
      </c>
      <c r="V206" t="s">
        <v>37</v>
      </c>
      <c r="W206" t="str">
        <f t="shared" si="1"/>
        <v>PFC</v>
      </c>
    </row>
    <row r="207">
      <c r="A207" s="98">
        <v>199.0</v>
      </c>
      <c r="B207" s="99" t="s">
        <v>427</v>
      </c>
      <c r="C207" s="100"/>
      <c r="D207" s="100"/>
      <c r="E207" s="112">
        <v>3.0</v>
      </c>
      <c r="F207" s="112">
        <v>2.0</v>
      </c>
      <c r="G207" s="112">
        <v>3.2</v>
      </c>
      <c r="H207" s="112">
        <v>2.3</v>
      </c>
      <c r="I207" s="112">
        <v>1.1</v>
      </c>
      <c r="J207" s="112">
        <v>0.4</v>
      </c>
      <c r="K207" s="112">
        <v>1.8</v>
      </c>
      <c r="L207" s="112">
        <v>17.4</v>
      </c>
      <c r="M207" s="112">
        <v>44.4</v>
      </c>
      <c r="N207" s="116">
        <v>-7.4</v>
      </c>
      <c r="O207" t="str">
        <f>IFERROR(__xludf.DUMMYFUNCTION("regexextract(B207,""[\w]* [\w]*"")"),"Ish Smith")</f>
        <v>Ish Smith</v>
      </c>
      <c r="P207" t="str">
        <f t="shared" si="2"/>
        <v>Ish Smith</v>
      </c>
      <c r="Q207" t="str">
        <f t="shared" si="3"/>
        <v>Ish Smith</v>
      </c>
      <c r="R207" t="s">
        <v>33</v>
      </c>
      <c r="S207" s="14" t="s">
        <v>227</v>
      </c>
      <c r="T207" t="s">
        <v>227</v>
      </c>
      <c r="U207" t="s">
        <v>227</v>
      </c>
      <c r="V207" t="s">
        <v>37</v>
      </c>
      <c r="W207" t="str">
        <f t="shared" si="1"/>
        <v>PGC</v>
      </c>
    </row>
    <row r="208">
      <c r="A208" s="101">
        <v>200.0</v>
      </c>
      <c r="B208" s="102" t="s">
        <v>428</v>
      </c>
      <c r="C208" s="103"/>
      <c r="D208" s="103"/>
      <c r="E208" s="113">
        <v>3.0</v>
      </c>
      <c r="F208" s="113">
        <v>0.8</v>
      </c>
      <c r="G208" s="113">
        <v>6.1</v>
      </c>
      <c r="H208" s="113">
        <v>1.6</v>
      </c>
      <c r="I208" s="113">
        <v>0.9</v>
      </c>
      <c r="J208" s="113">
        <v>0.1</v>
      </c>
      <c r="K208" s="113">
        <v>1.2</v>
      </c>
      <c r="L208" s="113">
        <v>14.9</v>
      </c>
      <c r="M208" s="113">
        <v>10.2</v>
      </c>
      <c r="N208" s="114">
        <f>+1</f>
        <v>1</v>
      </c>
      <c r="O208" t="str">
        <f>IFERROR(__xludf.DUMMYFUNCTION("regexextract(B208,""[\w]* [\w]*"")"),"Cedi Osman")</f>
        <v>Cedi Osman</v>
      </c>
      <c r="P208" t="str">
        <f t="shared" si="2"/>
        <v>Cedi Osman</v>
      </c>
      <c r="Q208" t="str">
        <f t="shared" si="3"/>
        <v>Cedi Osman</v>
      </c>
      <c r="R208" t="s">
        <v>227</v>
      </c>
      <c r="S208" s="14" t="s">
        <v>227</v>
      </c>
      <c r="T208" t="s">
        <v>35</v>
      </c>
      <c r="U208" t="s">
        <v>227</v>
      </c>
      <c r="V208" t="s">
        <v>37</v>
      </c>
      <c r="W208" t="str">
        <f t="shared" si="1"/>
        <v>SFC</v>
      </c>
    </row>
    <row r="209">
      <c r="A209" s="90" t="s">
        <v>218</v>
      </c>
      <c r="C209" s="90" t="s">
        <v>219</v>
      </c>
      <c r="E209" s="108"/>
      <c r="F209" s="108"/>
      <c r="G209" s="108"/>
      <c r="H209" s="108"/>
      <c r="I209" s="108"/>
      <c r="J209" s="108"/>
      <c r="K209" s="108"/>
      <c r="L209" s="108"/>
      <c r="M209" s="108" t="s">
        <v>327</v>
      </c>
      <c r="N209" s="108"/>
      <c r="O209" t="str">
        <f>IFERROR(__xludf.DUMMYFUNCTION("regexextract(B209,""[\w]* [\w]*"")"),"#N/A")</f>
        <v>#N/A</v>
      </c>
      <c r="P209" t="str">
        <f t="shared" si="2"/>
        <v>#N/A</v>
      </c>
      <c r="Q209" t="str">
        <f t="shared" si="3"/>
        <v>#N/A</v>
      </c>
      <c r="R209" t="s">
        <v>227</v>
      </c>
      <c r="S209" s="14" t="s">
        <v>227</v>
      </c>
      <c r="T209" t="s">
        <v>227</v>
      </c>
      <c r="U209" t="s">
        <v>227</v>
      </c>
      <c r="V209" t="s">
        <v>227</v>
      </c>
      <c r="W209" t="str">
        <f t="shared" si="1"/>
        <v/>
      </c>
    </row>
    <row r="210">
      <c r="A210" s="93" t="s">
        <v>220</v>
      </c>
      <c r="B210" s="94" t="s">
        <v>221</v>
      </c>
      <c r="C210" s="93" t="s">
        <v>222</v>
      </c>
      <c r="D210" s="95" t="s">
        <v>223</v>
      </c>
      <c r="E210" s="109" t="s">
        <v>215</v>
      </c>
      <c r="F210" s="110">
        <v>0.625</v>
      </c>
      <c r="G210" s="109" t="s">
        <v>5</v>
      </c>
      <c r="H210" s="109" t="s">
        <v>7</v>
      </c>
      <c r="I210" s="109" t="s">
        <v>9</v>
      </c>
      <c r="J210" s="109" t="s">
        <v>10</v>
      </c>
      <c r="K210" s="109" t="s">
        <v>15</v>
      </c>
      <c r="L210" s="109" t="s">
        <v>2</v>
      </c>
      <c r="M210" s="109" t="s">
        <v>328</v>
      </c>
      <c r="N210" s="111" t="str">
        <f>+/-</f>
        <v>#ERROR!</v>
      </c>
      <c r="O210" t="str">
        <f>IFERROR(__xludf.DUMMYFUNCTION("regexextract(B210,""[\w]* [\w]*"")"),"#N/A")</f>
        <v>#N/A</v>
      </c>
      <c r="P210" t="str">
        <f t="shared" si="2"/>
        <v>#N/A</v>
      </c>
      <c r="Q210" t="str">
        <f t="shared" si="3"/>
        <v>#N/A</v>
      </c>
      <c r="R210" t="s">
        <v>227</v>
      </c>
      <c r="S210" s="14" t="s">
        <v>227</v>
      </c>
      <c r="T210" t="s">
        <v>227</v>
      </c>
      <c r="U210" t="s">
        <v>227</v>
      </c>
      <c r="V210" t="s">
        <v>227</v>
      </c>
      <c r="W210" t="str">
        <f t="shared" si="1"/>
        <v/>
      </c>
    </row>
    <row r="211">
      <c r="A211" s="98">
        <v>201.0</v>
      </c>
      <c r="B211" s="99" t="s">
        <v>429</v>
      </c>
      <c r="C211" s="100"/>
      <c r="D211" s="100"/>
      <c r="E211" s="112">
        <v>1.4</v>
      </c>
      <c r="F211" s="112">
        <v>2.3</v>
      </c>
      <c r="G211" s="112">
        <v>2.5</v>
      </c>
      <c r="H211" s="112">
        <v>2.8</v>
      </c>
      <c r="I211" s="112">
        <v>0.8</v>
      </c>
      <c r="J211" s="112">
        <v>0.2</v>
      </c>
      <c r="K211" s="112">
        <v>1.2</v>
      </c>
      <c r="L211" s="112">
        <v>13.1</v>
      </c>
      <c r="M211" s="112">
        <v>33.4</v>
      </c>
      <c r="N211" s="116">
        <v>-1.1</v>
      </c>
      <c r="O211" t="str">
        <f>IFERROR(__xludf.DUMMYFUNCTION("regexextract(B211,""[\w]* [\w]*"")"),"Cameron Johnson")</f>
        <v>Cameron Johnson</v>
      </c>
      <c r="P211" t="str">
        <f t="shared" si="2"/>
        <v>Cameron Johnson</v>
      </c>
      <c r="Q211" t="str">
        <f t="shared" si="3"/>
        <v>Cameron Johnson</v>
      </c>
      <c r="R211" t="s">
        <v>227</v>
      </c>
      <c r="S211" s="14" t="s">
        <v>227</v>
      </c>
      <c r="T211" t="s">
        <v>35</v>
      </c>
      <c r="U211" t="s">
        <v>227</v>
      </c>
      <c r="V211" t="s">
        <v>37</v>
      </c>
      <c r="W211" t="str">
        <f t="shared" si="1"/>
        <v>SFC</v>
      </c>
    </row>
    <row r="212">
      <c r="A212" s="101">
        <v>202.0</v>
      </c>
      <c r="B212" s="102" t="s">
        <v>430</v>
      </c>
      <c r="C212" s="103"/>
      <c r="D212" s="103"/>
      <c r="E212" s="113">
        <v>2.3</v>
      </c>
      <c r="F212" s="113">
        <v>2.3</v>
      </c>
      <c r="G212" s="113">
        <v>4.8</v>
      </c>
      <c r="H212" s="113">
        <v>1.2</v>
      </c>
      <c r="I212" s="113">
        <v>0.6</v>
      </c>
      <c r="J212" s="113">
        <v>0.3</v>
      </c>
      <c r="K212" s="113">
        <v>1.2</v>
      </c>
      <c r="L212" s="113">
        <v>14.6</v>
      </c>
      <c r="M212" s="113">
        <v>18.9</v>
      </c>
      <c r="N212" s="117">
        <v>-3.9</v>
      </c>
      <c r="O212" t="str">
        <f>IFERROR(__xludf.DUMMYFUNCTION("regexextract(B212,""[\w]* [\w]*"")"),"Tyus Jones")</f>
        <v>Tyus Jones</v>
      </c>
      <c r="P212" t="str">
        <f t="shared" si="2"/>
        <v>Tyus Jones</v>
      </c>
      <c r="Q212" t="str">
        <f t="shared" si="3"/>
        <v>Tyus Jones</v>
      </c>
      <c r="R212" t="s">
        <v>33</v>
      </c>
      <c r="S212" s="14" t="s">
        <v>227</v>
      </c>
      <c r="T212" t="s">
        <v>227</v>
      </c>
      <c r="U212" t="s">
        <v>227</v>
      </c>
      <c r="V212" t="s">
        <v>227</v>
      </c>
      <c r="W212" t="str">
        <f t="shared" si="1"/>
        <v>PG</v>
      </c>
    </row>
    <row r="213">
      <c r="A213" s="98">
        <v>203.0</v>
      </c>
      <c r="B213" s="99" t="s">
        <v>431</v>
      </c>
      <c r="C213" s="100"/>
      <c r="D213" s="100"/>
      <c r="E213" s="112">
        <v>1.6</v>
      </c>
      <c r="F213" s="112">
        <v>2.1</v>
      </c>
      <c r="G213" s="112">
        <v>3.5</v>
      </c>
      <c r="H213" s="112">
        <v>1.5</v>
      </c>
      <c r="I213" s="112">
        <v>0.3</v>
      </c>
      <c r="J213" s="112">
        <v>0.1</v>
      </c>
      <c r="K213" s="112">
        <v>0.9</v>
      </c>
      <c r="L213" s="112">
        <v>14.9</v>
      </c>
      <c r="M213" s="112">
        <v>5.2</v>
      </c>
      <c r="N213" s="112">
        <v>0.0</v>
      </c>
      <c r="O213" t="str">
        <f>IFERROR(__xludf.DUMMYFUNCTION("regexextract(B213,""[\w]* [\w]*"")"),"Gary Trent")</f>
        <v>Gary Trent</v>
      </c>
      <c r="P213" t="str">
        <f t="shared" si="2"/>
        <v>Gary Trent</v>
      </c>
      <c r="Q213" t="str">
        <f t="shared" si="3"/>
        <v>Gary Trent</v>
      </c>
      <c r="R213" t="s">
        <v>227</v>
      </c>
      <c r="S213" s="14" t="s">
        <v>34</v>
      </c>
      <c r="T213" t="s">
        <v>35</v>
      </c>
      <c r="U213" t="s">
        <v>227</v>
      </c>
      <c r="V213" t="s">
        <v>227</v>
      </c>
      <c r="W213" t="str">
        <f t="shared" si="1"/>
        <v>SGSF</v>
      </c>
    </row>
    <row r="214">
      <c r="A214" s="101">
        <v>204.0</v>
      </c>
      <c r="B214" s="102" t="s">
        <v>432</v>
      </c>
      <c r="C214" s="103"/>
      <c r="D214" s="103"/>
      <c r="E214" s="113">
        <v>1.2</v>
      </c>
      <c r="F214" s="113">
        <v>0.0</v>
      </c>
      <c r="G214" s="113">
        <v>6.1</v>
      </c>
      <c r="H214" s="113">
        <v>0.7</v>
      </c>
      <c r="I214" s="113">
        <v>1.1</v>
      </c>
      <c r="J214" s="113">
        <v>2.1</v>
      </c>
      <c r="K214" s="113">
        <v>1.0</v>
      </c>
      <c r="L214" s="113">
        <v>5.4</v>
      </c>
      <c r="M214" s="113">
        <v>4.0</v>
      </c>
      <c r="N214" s="114">
        <f>+1.6</f>
        <v>1.6</v>
      </c>
      <c r="O214" t="str">
        <f>IFERROR(__xludf.DUMMYFUNCTION("regexextract(B214,""[\w]* [\w]*"")"),"Reggie BullockO")</f>
        <v>Reggie BullockO</v>
      </c>
      <c r="P214" t="str">
        <f t="shared" si="2"/>
        <v>Reggie BullockO</v>
      </c>
      <c r="Q214" t="str">
        <f t="shared" si="3"/>
        <v>Reggie Bullock</v>
      </c>
      <c r="R214" t="s">
        <v>227</v>
      </c>
      <c r="S214" s="14" t="s">
        <v>34</v>
      </c>
      <c r="T214" t="s">
        <v>35</v>
      </c>
      <c r="U214" t="s">
        <v>227</v>
      </c>
      <c r="V214" t="s">
        <v>37</v>
      </c>
      <c r="W214" t="str">
        <f t="shared" si="1"/>
        <v>SGSFC</v>
      </c>
    </row>
    <row r="215">
      <c r="A215" s="98">
        <v>205.0</v>
      </c>
      <c r="B215" s="99" t="s">
        <v>433</v>
      </c>
      <c r="C215" s="100"/>
      <c r="D215" s="100"/>
      <c r="E215" s="112">
        <v>2.2</v>
      </c>
      <c r="F215" s="112">
        <v>0.9</v>
      </c>
      <c r="G215" s="112">
        <v>5.0</v>
      </c>
      <c r="H215" s="112">
        <v>1.8</v>
      </c>
      <c r="I215" s="112">
        <v>0.4</v>
      </c>
      <c r="J215" s="112">
        <v>1.1</v>
      </c>
      <c r="K215" s="112">
        <v>1.1</v>
      </c>
      <c r="L215" s="112">
        <v>13.6</v>
      </c>
      <c r="M215" s="112">
        <v>4.3</v>
      </c>
      <c r="N215" s="115">
        <f>+1.8</f>
        <v>1.8</v>
      </c>
      <c r="O215" t="str">
        <f>IFERROR(__xludf.DUMMYFUNCTION("regexextract(B215,""[\w]* [\w]*"")"),"Willie Cauley")</f>
        <v>Willie Cauley</v>
      </c>
      <c r="P215" t="str">
        <f t="shared" si="2"/>
        <v>Willie Cauley</v>
      </c>
      <c r="Q215" t="str">
        <f t="shared" si="3"/>
        <v>Willie Cauley</v>
      </c>
      <c r="R215" t="s">
        <v>227</v>
      </c>
      <c r="S215" s="14" t="s">
        <v>227</v>
      </c>
      <c r="T215" t="s">
        <v>227</v>
      </c>
      <c r="U215" t="s">
        <v>227</v>
      </c>
      <c r="V215" t="s">
        <v>37</v>
      </c>
      <c r="W215" t="str">
        <f t="shared" si="1"/>
        <v>C</v>
      </c>
    </row>
    <row r="216">
      <c r="A216" s="101">
        <v>206.0</v>
      </c>
      <c r="B216" s="102" t="s">
        <v>434</v>
      </c>
      <c r="C216" s="103"/>
      <c r="D216" s="103"/>
      <c r="E216" s="113">
        <v>3.1</v>
      </c>
      <c r="F216" s="113">
        <v>0.0</v>
      </c>
      <c r="G216" s="113">
        <v>9.4</v>
      </c>
      <c r="H216" s="113">
        <v>0.2</v>
      </c>
      <c r="I216" s="113">
        <v>0.8</v>
      </c>
      <c r="J216" s="113">
        <v>1.2</v>
      </c>
      <c r="K216" s="113">
        <v>1.1</v>
      </c>
      <c r="L216" s="113">
        <v>9.1</v>
      </c>
      <c r="M216" s="113">
        <v>3.3</v>
      </c>
      <c r="N216" s="114">
        <f>+1.1</f>
        <v>1.1</v>
      </c>
      <c r="O216" t="str">
        <f>IFERROR(__xludf.DUMMYFUNCTION("regexextract(B216,""[\w]* [\w]*"")"),"Hamidou Diallo")</f>
        <v>Hamidou Diallo</v>
      </c>
      <c r="P216" t="str">
        <f t="shared" si="2"/>
        <v>Hamidou Diallo</v>
      </c>
      <c r="Q216" t="str">
        <f t="shared" si="3"/>
        <v>Hamidou Diall</v>
      </c>
      <c r="R216" t="s">
        <v>227</v>
      </c>
      <c r="S216" s="14" t="s">
        <v>34</v>
      </c>
      <c r="T216" t="s">
        <v>227</v>
      </c>
      <c r="U216" t="s">
        <v>227</v>
      </c>
      <c r="V216" t="s">
        <v>227</v>
      </c>
      <c r="W216" t="str">
        <f t="shared" si="1"/>
        <v>SG</v>
      </c>
    </row>
    <row r="217">
      <c r="A217" s="98">
        <v>207.0</v>
      </c>
      <c r="B217" s="99" t="s">
        <v>435</v>
      </c>
      <c r="C217" s="100"/>
      <c r="D217" s="100"/>
      <c r="E217" s="112">
        <v>2.8</v>
      </c>
      <c r="F217" s="112">
        <v>1.3</v>
      </c>
      <c r="G217" s="112">
        <v>4.6</v>
      </c>
      <c r="H217" s="112">
        <v>4.0</v>
      </c>
      <c r="I217" s="112">
        <v>0.6</v>
      </c>
      <c r="J217" s="112">
        <v>0.4</v>
      </c>
      <c r="K217" s="112">
        <v>2.2</v>
      </c>
      <c r="L217" s="112">
        <v>13.3</v>
      </c>
      <c r="M217" s="112">
        <v>15.7</v>
      </c>
      <c r="N217" s="116">
        <v>-2.0</v>
      </c>
      <c r="O217" t="str">
        <f>IFERROR(__xludf.DUMMYFUNCTION("regexextract(B217,""[\w]* [\w]*"")"),"Carmelo AnthonyO")</f>
        <v>Carmelo AnthonyO</v>
      </c>
      <c r="P217" t="str">
        <f t="shared" si="2"/>
        <v>Carmelo AnthonyO</v>
      </c>
      <c r="Q217" t="str">
        <f t="shared" si="3"/>
        <v>Carmelo Anthony</v>
      </c>
      <c r="R217" t="s">
        <v>227</v>
      </c>
      <c r="S217" s="14" t="s">
        <v>227</v>
      </c>
      <c r="T217" t="s">
        <v>35</v>
      </c>
      <c r="U217" t="s">
        <v>36</v>
      </c>
      <c r="V217" t="s">
        <v>37</v>
      </c>
      <c r="W217" t="str">
        <f t="shared" si="1"/>
        <v>SFPFC</v>
      </c>
    </row>
    <row r="218">
      <c r="A218" s="101">
        <v>208.0</v>
      </c>
      <c r="B218" s="102" t="s">
        <v>436</v>
      </c>
      <c r="C218" s="103"/>
      <c r="D218" s="103"/>
      <c r="E218" s="113">
        <v>1.0</v>
      </c>
      <c r="F218" s="113">
        <v>3.6</v>
      </c>
      <c r="G218" s="113">
        <v>3.4</v>
      </c>
      <c r="H218" s="113">
        <v>1.6</v>
      </c>
      <c r="I218" s="113">
        <v>0.6</v>
      </c>
      <c r="J218" s="113">
        <v>0.3</v>
      </c>
      <c r="K218" s="113">
        <v>1.1</v>
      </c>
      <c r="L218" s="113">
        <v>13.2</v>
      </c>
      <c r="M218" s="113">
        <v>13.9</v>
      </c>
      <c r="N218" s="114">
        <f>+0.3</f>
        <v>0.3</v>
      </c>
      <c r="O218" t="str">
        <f>IFERROR(__xludf.DUMMYFUNCTION("regexextract(B218,""[\w]* [\w]*"")"),"Naz Reid")</f>
        <v>Naz Reid</v>
      </c>
      <c r="P218" t="str">
        <f t="shared" si="2"/>
        <v>Naz Reid</v>
      </c>
      <c r="Q218" t="str">
        <f t="shared" si="3"/>
        <v>Naz Reid</v>
      </c>
      <c r="R218" t="s">
        <v>227</v>
      </c>
      <c r="S218" s="14" t="s">
        <v>227</v>
      </c>
      <c r="T218" t="s">
        <v>227</v>
      </c>
      <c r="U218" t="s">
        <v>227</v>
      </c>
      <c r="V218" t="s">
        <v>37</v>
      </c>
      <c r="W218" t="str">
        <f t="shared" si="1"/>
        <v>C</v>
      </c>
    </row>
    <row r="219">
      <c r="A219" s="98">
        <v>209.0</v>
      </c>
      <c r="B219" s="99" t="s">
        <v>437</v>
      </c>
      <c r="C219" s="100"/>
      <c r="D219" s="100"/>
      <c r="E219" s="112">
        <v>2.0</v>
      </c>
      <c r="F219" s="112">
        <v>0.0</v>
      </c>
      <c r="G219" s="112">
        <v>9.4</v>
      </c>
      <c r="H219" s="112">
        <v>1.1</v>
      </c>
      <c r="I219" s="112">
        <v>0.4</v>
      </c>
      <c r="J219" s="112">
        <v>0.6</v>
      </c>
      <c r="K219" s="112">
        <v>1.0</v>
      </c>
      <c r="L219" s="112">
        <v>9.7</v>
      </c>
      <c r="M219" s="112">
        <v>12.9</v>
      </c>
      <c r="N219" s="116">
        <v>-1.7</v>
      </c>
      <c r="O219" t="str">
        <f>IFERROR(__xludf.DUMMYFUNCTION("regexextract(B219,""[\w]* [\w]*"")"),"Anthony Melton")</f>
        <v>Anthony Melton</v>
      </c>
      <c r="P219" t="str">
        <f t="shared" si="2"/>
        <v>Anthony Melton</v>
      </c>
      <c r="Q219" t="str">
        <f t="shared" si="3"/>
        <v>Anthony Melton</v>
      </c>
      <c r="R219" t="s">
        <v>33</v>
      </c>
      <c r="S219" s="14" t="s">
        <v>227</v>
      </c>
      <c r="T219" t="s">
        <v>227</v>
      </c>
      <c r="U219" t="s">
        <v>227</v>
      </c>
      <c r="V219" t="s">
        <v>227</v>
      </c>
      <c r="W219" t="str">
        <f t="shared" si="1"/>
        <v>PG</v>
      </c>
    </row>
    <row r="220">
      <c r="A220" s="101">
        <v>210.0</v>
      </c>
      <c r="B220" s="102" t="s">
        <v>438</v>
      </c>
      <c r="C220" s="103"/>
      <c r="D220" s="103"/>
      <c r="E220" s="113">
        <v>2.5</v>
      </c>
      <c r="F220" s="113">
        <v>0.7</v>
      </c>
      <c r="G220" s="113">
        <v>3.2</v>
      </c>
      <c r="H220" s="113">
        <v>3.5</v>
      </c>
      <c r="I220" s="113">
        <v>1.2</v>
      </c>
      <c r="J220" s="113">
        <v>0.4</v>
      </c>
      <c r="K220" s="113">
        <v>2.0</v>
      </c>
      <c r="L220" s="113">
        <v>11.2</v>
      </c>
      <c r="M220" s="113">
        <v>4.0</v>
      </c>
      <c r="N220" s="114">
        <f>+1.3</f>
        <v>1.3</v>
      </c>
      <c r="O220" t="str">
        <f>IFERROR(__xludf.DUMMYFUNCTION("regexextract(B220,""[\w]* [\w]*"")"),"Nicolas Claxton")</f>
        <v>Nicolas Claxton</v>
      </c>
      <c r="P220" t="str">
        <f t="shared" si="2"/>
        <v>Nicolas Claxton</v>
      </c>
      <c r="Q220" t="str">
        <f t="shared" si="3"/>
        <v>Nicolas Claxton</v>
      </c>
      <c r="R220" t="s">
        <v>227</v>
      </c>
      <c r="S220" s="14" t="s">
        <v>227</v>
      </c>
      <c r="T220" t="s">
        <v>227</v>
      </c>
      <c r="U220" t="s">
        <v>36</v>
      </c>
      <c r="V220" t="s">
        <v>37</v>
      </c>
      <c r="W220" t="str">
        <f t="shared" si="1"/>
        <v>PFC</v>
      </c>
    </row>
    <row r="221">
      <c r="A221" s="98">
        <v>211.0</v>
      </c>
      <c r="B221" s="99" t="s">
        <v>439</v>
      </c>
      <c r="C221" s="100"/>
      <c r="D221" s="100"/>
      <c r="E221" s="112">
        <v>2.0</v>
      </c>
      <c r="F221" s="112">
        <v>1.1</v>
      </c>
      <c r="G221" s="112">
        <v>3.1</v>
      </c>
      <c r="H221" s="112">
        <v>3.3</v>
      </c>
      <c r="I221" s="112">
        <v>0.5</v>
      </c>
      <c r="J221" s="112">
        <v>0.0</v>
      </c>
      <c r="K221" s="112">
        <v>1.1</v>
      </c>
      <c r="L221" s="112">
        <v>11.5</v>
      </c>
      <c r="M221" s="112">
        <v>2.6</v>
      </c>
      <c r="N221" s="115">
        <f>+0.3</f>
        <v>0.3</v>
      </c>
      <c r="O221" t="str">
        <f>IFERROR(__xludf.DUMMYFUNCTION("regexextract(B221,""[\w]* [\w]*"")"),"Andre Hunter")</f>
        <v>Andre Hunter</v>
      </c>
      <c r="P221" t="str">
        <f t="shared" si="2"/>
        <v>Andre Hunter</v>
      </c>
      <c r="Q221" t="str">
        <f t="shared" si="3"/>
        <v>Andre Hunter</v>
      </c>
      <c r="R221" t="s">
        <v>227</v>
      </c>
      <c r="S221" s="14" t="s">
        <v>227</v>
      </c>
      <c r="T221" t="s">
        <v>35</v>
      </c>
      <c r="U221" t="s">
        <v>36</v>
      </c>
      <c r="V221" t="s">
        <v>227</v>
      </c>
      <c r="W221" t="str">
        <f t="shared" si="1"/>
        <v>SFPF</v>
      </c>
    </row>
    <row r="222">
      <c r="A222" s="101">
        <v>212.0</v>
      </c>
      <c r="B222" s="102" t="s">
        <v>440</v>
      </c>
      <c r="C222" s="103"/>
      <c r="D222" s="103"/>
      <c r="E222" s="113">
        <v>1.7</v>
      </c>
      <c r="F222" s="113">
        <v>2.2</v>
      </c>
      <c r="G222" s="113">
        <v>4.9</v>
      </c>
      <c r="H222" s="113">
        <v>2.1</v>
      </c>
      <c r="I222" s="113">
        <v>0.9</v>
      </c>
      <c r="J222" s="113">
        <v>0.4</v>
      </c>
      <c r="K222" s="113">
        <v>1.0</v>
      </c>
      <c r="L222" s="113">
        <v>10.2</v>
      </c>
      <c r="M222" s="113">
        <v>6.1</v>
      </c>
      <c r="N222" s="114">
        <f>+1.2</f>
        <v>1.2</v>
      </c>
      <c r="O222" t="str">
        <f>IFERROR(__xludf.DUMMYFUNCTION("regexextract(B222,""[\w]* [\w]*"")"),"Josh Jackson")</f>
        <v>Josh Jackson</v>
      </c>
      <c r="P222" t="str">
        <f t="shared" si="2"/>
        <v>Josh Jackson</v>
      </c>
      <c r="Q222" t="str">
        <f t="shared" si="3"/>
        <v>Josh Jackson</v>
      </c>
      <c r="R222" t="s">
        <v>227</v>
      </c>
      <c r="S222" s="14" t="s">
        <v>34</v>
      </c>
      <c r="T222" t="s">
        <v>35</v>
      </c>
      <c r="U222" t="s">
        <v>227</v>
      </c>
      <c r="V222" t="s">
        <v>37</v>
      </c>
      <c r="W222" t="str">
        <f t="shared" si="1"/>
        <v>SGSFC</v>
      </c>
    </row>
    <row r="223">
      <c r="A223" s="98">
        <v>213.0</v>
      </c>
      <c r="B223" s="99" t="s">
        <v>441</v>
      </c>
      <c r="C223" s="100"/>
      <c r="D223" s="100"/>
      <c r="E223" s="112">
        <v>0.6</v>
      </c>
      <c r="F223" s="112">
        <v>2.4</v>
      </c>
      <c r="G223" s="112">
        <v>3.7</v>
      </c>
      <c r="H223" s="112">
        <v>1.6</v>
      </c>
      <c r="I223" s="112">
        <v>1.2</v>
      </c>
      <c r="J223" s="112">
        <v>0.7</v>
      </c>
      <c r="K223" s="112">
        <v>0.9</v>
      </c>
      <c r="L223" s="112">
        <v>9.3</v>
      </c>
      <c r="M223" s="112">
        <v>15.5</v>
      </c>
      <c r="N223" s="116">
        <v>-3.3</v>
      </c>
      <c r="O223" t="str">
        <f>IFERROR(__xludf.DUMMYFUNCTION("regexextract(B223,""[\w]* [\w]*"")"),"Marc Gasol")</f>
        <v>Marc Gasol</v>
      </c>
      <c r="P223" t="str">
        <f t="shared" si="2"/>
        <v>Marc Gasol</v>
      </c>
      <c r="Q223" t="str">
        <f t="shared" si="3"/>
        <v>Marc Gasol</v>
      </c>
      <c r="R223" t="s">
        <v>227</v>
      </c>
      <c r="S223" s="14" t="s">
        <v>227</v>
      </c>
      <c r="T223" t="s">
        <v>227</v>
      </c>
      <c r="U223" t="s">
        <v>227</v>
      </c>
      <c r="V223" t="s">
        <v>37</v>
      </c>
      <c r="W223" t="str">
        <f t="shared" si="1"/>
        <v>C</v>
      </c>
    </row>
    <row r="224">
      <c r="A224" s="101">
        <v>214.0</v>
      </c>
      <c r="B224" s="102" t="s">
        <v>442</v>
      </c>
      <c r="C224" s="103"/>
      <c r="D224" s="103"/>
      <c r="E224" s="113">
        <v>2.7</v>
      </c>
      <c r="F224" s="113">
        <v>1.9</v>
      </c>
      <c r="G224" s="113">
        <v>3.2</v>
      </c>
      <c r="H224" s="113">
        <v>2.0</v>
      </c>
      <c r="I224" s="113">
        <v>1.0</v>
      </c>
      <c r="J224" s="113">
        <v>0.4</v>
      </c>
      <c r="K224" s="113">
        <v>1.4</v>
      </c>
      <c r="L224" s="113">
        <v>14.4</v>
      </c>
      <c r="M224" s="113">
        <v>3.1</v>
      </c>
      <c r="N224" s="114">
        <f>+0.5</f>
        <v>0.5</v>
      </c>
      <c r="O224" t="str">
        <f>IFERROR(__xludf.DUMMYFUNCTION("regexextract(B224,""[\w]* [\w]*"")"),"Bryn Forbes")</f>
        <v>Bryn Forbes</v>
      </c>
      <c r="P224" t="str">
        <f t="shared" si="2"/>
        <v>Bryn Forbes</v>
      </c>
      <c r="Q224" t="str">
        <f t="shared" si="3"/>
        <v>Bryn Forbes</v>
      </c>
      <c r="R224" t="s">
        <v>33</v>
      </c>
      <c r="S224" s="14" t="s">
        <v>34</v>
      </c>
      <c r="T224" t="s">
        <v>227</v>
      </c>
      <c r="U224" t="s">
        <v>227</v>
      </c>
      <c r="V224" t="s">
        <v>227</v>
      </c>
      <c r="W224" t="str">
        <f t="shared" si="1"/>
        <v>PGSG</v>
      </c>
    </row>
    <row r="225">
      <c r="A225" s="98">
        <v>215.0</v>
      </c>
      <c r="B225" s="99" t="s">
        <v>443</v>
      </c>
      <c r="C225" s="100"/>
      <c r="D225" s="100"/>
      <c r="E225" s="112">
        <v>2.3</v>
      </c>
      <c r="F225" s="112">
        <v>0.4</v>
      </c>
      <c r="G225" s="112">
        <v>7.0</v>
      </c>
      <c r="H225" s="112">
        <v>0.9</v>
      </c>
      <c r="I225" s="112">
        <v>0.4</v>
      </c>
      <c r="J225" s="112">
        <v>1.2</v>
      </c>
      <c r="K225" s="112">
        <v>1.8</v>
      </c>
      <c r="L225" s="112">
        <v>12.6</v>
      </c>
      <c r="M225" s="112">
        <v>15.8</v>
      </c>
      <c r="N225" s="116">
        <v>-1.1</v>
      </c>
      <c r="O225" t="str">
        <f>IFERROR(__xludf.DUMMYFUNCTION("regexextract(B225,""[\w]* [\w]*"")"),"Lou Williams")</f>
        <v>Lou Williams</v>
      </c>
      <c r="P225" t="str">
        <f t="shared" si="2"/>
        <v>Lou Williams</v>
      </c>
      <c r="Q225" t="str">
        <f t="shared" si="3"/>
        <v>Lou Williams</v>
      </c>
      <c r="R225" t="s">
        <v>227</v>
      </c>
      <c r="S225" s="14" t="s">
        <v>34</v>
      </c>
      <c r="T225" t="s">
        <v>227</v>
      </c>
      <c r="U225" t="s">
        <v>227</v>
      </c>
      <c r="V225" t="s">
        <v>227</v>
      </c>
      <c r="W225" t="str">
        <f t="shared" si="1"/>
        <v>SG</v>
      </c>
    </row>
    <row r="226">
      <c r="A226" s="101">
        <v>216.0</v>
      </c>
      <c r="B226" s="102" t="s">
        <v>444</v>
      </c>
      <c r="C226" s="103"/>
      <c r="D226" s="103"/>
      <c r="E226" s="113">
        <v>2.4</v>
      </c>
      <c r="F226" s="113">
        <v>0.0</v>
      </c>
      <c r="G226" s="113">
        <v>4.9</v>
      </c>
      <c r="H226" s="113">
        <v>0.7</v>
      </c>
      <c r="I226" s="113">
        <v>0.6</v>
      </c>
      <c r="J226" s="113">
        <v>1.8</v>
      </c>
      <c r="K226" s="113">
        <v>0.9</v>
      </c>
      <c r="L226" s="113">
        <v>8.4</v>
      </c>
      <c r="M226" s="113">
        <v>4.6</v>
      </c>
      <c r="N226" s="114">
        <f>+0.6</f>
        <v>0.6</v>
      </c>
      <c r="O226" t="str">
        <f>IFERROR(__xludf.DUMMYFUNCTION("regexextract(B226,""[\w]* [\w]*"")"),"Josh Richardson")</f>
        <v>Josh Richardson</v>
      </c>
      <c r="P226" t="str">
        <f t="shared" si="2"/>
        <v>Josh Richardson</v>
      </c>
      <c r="Q226" t="str">
        <f t="shared" si="3"/>
        <v>Josh Richardson</v>
      </c>
      <c r="R226" t="s">
        <v>227</v>
      </c>
      <c r="S226" s="14" t="s">
        <v>34</v>
      </c>
      <c r="T226" t="s">
        <v>35</v>
      </c>
      <c r="U226" t="s">
        <v>227</v>
      </c>
      <c r="V226" t="s">
        <v>37</v>
      </c>
      <c r="W226" t="str">
        <f t="shared" si="1"/>
        <v>SGSFC</v>
      </c>
    </row>
    <row r="227">
      <c r="A227" s="98">
        <v>217.0</v>
      </c>
      <c r="B227" s="99" t="s">
        <v>445</v>
      </c>
      <c r="C227" s="100"/>
      <c r="D227" s="100"/>
      <c r="E227" s="112">
        <v>3.0</v>
      </c>
      <c r="F227" s="112">
        <v>2.2</v>
      </c>
      <c r="G227" s="112">
        <v>3.2</v>
      </c>
      <c r="H227" s="112">
        <v>4.3</v>
      </c>
      <c r="I227" s="112">
        <v>0.6</v>
      </c>
      <c r="J227" s="112">
        <v>0.1</v>
      </c>
      <c r="K227" s="112">
        <v>2.3</v>
      </c>
      <c r="L227" s="112">
        <v>14.7</v>
      </c>
      <c r="M227" s="112">
        <v>11.6</v>
      </c>
      <c r="N227" s="116">
        <v>-2.1</v>
      </c>
      <c r="O227" t="str">
        <f>IFERROR(__xludf.DUMMYFUNCTION("regexextract(B227,""[\w]* [\w]*"")"),"Paul Millsap")</f>
        <v>Paul Millsap</v>
      </c>
      <c r="P227" t="str">
        <f t="shared" si="2"/>
        <v>Paul Millsap</v>
      </c>
      <c r="Q227" t="str">
        <f t="shared" si="3"/>
        <v>Paul Millsap</v>
      </c>
      <c r="R227" t="s">
        <v>227</v>
      </c>
      <c r="S227" s="14" t="s">
        <v>227</v>
      </c>
      <c r="T227" t="s">
        <v>227</v>
      </c>
      <c r="U227" t="s">
        <v>36</v>
      </c>
      <c r="V227" t="s">
        <v>227</v>
      </c>
      <c r="W227" t="str">
        <f t="shared" si="1"/>
        <v>PF</v>
      </c>
    </row>
    <row r="228">
      <c r="A228" s="101">
        <v>218.0</v>
      </c>
      <c r="B228" s="102" t="s">
        <v>446</v>
      </c>
      <c r="C228" s="103"/>
      <c r="D228" s="103"/>
      <c r="E228" s="113">
        <v>0.9</v>
      </c>
      <c r="F228" s="113">
        <v>1.9</v>
      </c>
      <c r="G228" s="113">
        <v>3.2</v>
      </c>
      <c r="H228" s="113">
        <v>3.1</v>
      </c>
      <c r="I228" s="113">
        <v>1.0</v>
      </c>
      <c r="J228" s="113">
        <v>0.3</v>
      </c>
      <c r="K228" s="113">
        <v>1.2</v>
      </c>
      <c r="L228" s="113">
        <v>10.6</v>
      </c>
      <c r="M228" s="113">
        <v>41.0</v>
      </c>
      <c r="N228" s="117">
        <v>-12.2</v>
      </c>
      <c r="O228" t="str">
        <f>IFERROR(__xludf.DUMMYFUNCTION("regexextract(B228,""[\w]* [\w]*"")"),"Maxi Kleber")</f>
        <v>Maxi Kleber</v>
      </c>
      <c r="P228" t="str">
        <f t="shared" si="2"/>
        <v>Maxi Kleber</v>
      </c>
      <c r="Q228" t="str">
        <f t="shared" si="3"/>
        <v>Maxi Kleber</v>
      </c>
      <c r="R228" t="s">
        <v>227</v>
      </c>
      <c r="S228" s="14" t="s">
        <v>227</v>
      </c>
      <c r="T228" t="s">
        <v>227</v>
      </c>
      <c r="U228" t="s">
        <v>36</v>
      </c>
      <c r="V228" t="s">
        <v>227</v>
      </c>
      <c r="W228" t="str">
        <f t="shared" si="1"/>
        <v>PF</v>
      </c>
    </row>
    <row r="229">
      <c r="A229" s="98">
        <v>219.0</v>
      </c>
      <c r="B229" s="99" t="s">
        <v>447</v>
      </c>
      <c r="C229" s="100"/>
      <c r="D229" s="100"/>
      <c r="E229" s="112">
        <v>2.9</v>
      </c>
      <c r="F229" s="112">
        <v>1.7</v>
      </c>
      <c r="G229" s="112">
        <v>4.3</v>
      </c>
      <c r="H229" s="112">
        <v>2.3</v>
      </c>
      <c r="I229" s="112">
        <v>0.7</v>
      </c>
      <c r="J229" s="112">
        <v>0.3</v>
      </c>
      <c r="K229" s="112">
        <v>1.1</v>
      </c>
      <c r="L229" s="112">
        <v>12.4</v>
      </c>
      <c r="M229" s="112">
        <v>1.2</v>
      </c>
      <c r="N229" s="115">
        <f>+0.5</f>
        <v>0.5</v>
      </c>
      <c r="O229" t="str">
        <f>IFERROR(__xludf.DUMMYFUNCTION("regexextract(B229,""[\w]* [\w]*"")"),"Danilo Gallinari")</f>
        <v>Danilo Gallinari</v>
      </c>
      <c r="P229" t="str">
        <f t="shared" si="2"/>
        <v>Danilo Gallinari</v>
      </c>
      <c r="Q229" t="str">
        <f t="shared" si="3"/>
        <v>Danilo Gallinari</v>
      </c>
      <c r="R229" t="s">
        <v>227</v>
      </c>
      <c r="S229" s="14" t="s">
        <v>227</v>
      </c>
      <c r="T229" t="s">
        <v>35</v>
      </c>
      <c r="U229" t="s">
        <v>36</v>
      </c>
      <c r="V229" t="s">
        <v>227</v>
      </c>
      <c r="W229" t="str">
        <f t="shared" si="1"/>
        <v>SFPF</v>
      </c>
    </row>
    <row r="230">
      <c r="A230" s="101">
        <v>220.0</v>
      </c>
      <c r="B230" s="102" t="s">
        <v>448</v>
      </c>
      <c r="C230" s="103"/>
      <c r="D230" s="103"/>
      <c r="E230" s="113">
        <v>1.1</v>
      </c>
      <c r="F230" s="113">
        <v>1.8</v>
      </c>
      <c r="G230" s="113">
        <v>5.7</v>
      </c>
      <c r="H230" s="113">
        <v>2.6</v>
      </c>
      <c r="I230" s="113">
        <v>0.5</v>
      </c>
      <c r="J230" s="113">
        <v>1.1</v>
      </c>
      <c r="K230" s="113">
        <v>2.7</v>
      </c>
      <c r="L230" s="113">
        <v>11.7</v>
      </c>
      <c r="M230" s="113">
        <v>3.0</v>
      </c>
      <c r="N230" s="114">
        <f>+0.7</f>
        <v>0.7</v>
      </c>
      <c r="O230" t="str">
        <f>IFERROR(__xludf.DUMMYFUNCTION("regexextract(B230,""[\w]* [\w]*"")"),"Dwight Howard")</f>
        <v>Dwight Howard</v>
      </c>
      <c r="P230" t="str">
        <f t="shared" si="2"/>
        <v>Dwight Howard</v>
      </c>
      <c r="Q230" t="str">
        <f t="shared" si="3"/>
        <v>Dwight Howard</v>
      </c>
      <c r="R230" t="s">
        <v>227</v>
      </c>
      <c r="S230" s="14" t="s">
        <v>227</v>
      </c>
      <c r="T230" t="s">
        <v>227</v>
      </c>
      <c r="U230" t="s">
        <v>227</v>
      </c>
      <c r="V230" t="s">
        <v>37</v>
      </c>
      <c r="W230" t="str">
        <f t="shared" si="1"/>
        <v>C</v>
      </c>
    </row>
    <row r="231">
      <c r="A231" s="98">
        <v>221.0</v>
      </c>
      <c r="B231" s="99" t="s">
        <v>449</v>
      </c>
      <c r="C231" s="100"/>
      <c r="D231" s="100"/>
      <c r="E231" s="112">
        <v>3.1</v>
      </c>
      <c r="F231" s="112">
        <v>0.9</v>
      </c>
      <c r="G231" s="112">
        <v>5.9</v>
      </c>
      <c r="H231" s="112">
        <v>0.9</v>
      </c>
      <c r="I231" s="112">
        <v>0.6</v>
      </c>
      <c r="J231" s="112">
        <v>1.2</v>
      </c>
      <c r="K231" s="112">
        <v>1.1</v>
      </c>
      <c r="L231" s="112">
        <v>10.8</v>
      </c>
      <c r="M231" s="112">
        <v>61.5</v>
      </c>
      <c r="N231" s="116">
        <v>-12.0</v>
      </c>
      <c r="O231" t="str">
        <f>IFERROR(__xludf.DUMMYFUNCTION("regexextract(B231,""[\w]* [\w]*"")"),"Kentavious Caldwell")</f>
        <v>Kentavious Caldwell</v>
      </c>
      <c r="P231" t="str">
        <f t="shared" si="2"/>
        <v>Kentavious Caldwell</v>
      </c>
      <c r="Q231" t="str">
        <f t="shared" si="3"/>
        <v>Kentavious Caldwell</v>
      </c>
      <c r="R231" t="s">
        <v>227</v>
      </c>
      <c r="S231" s="14" t="s">
        <v>34</v>
      </c>
      <c r="T231" t="s">
        <v>35</v>
      </c>
      <c r="U231" t="s">
        <v>227</v>
      </c>
      <c r="V231" t="s">
        <v>37</v>
      </c>
      <c r="W231" t="str">
        <f t="shared" si="1"/>
        <v>SGSFC</v>
      </c>
    </row>
    <row r="232">
      <c r="A232" s="101">
        <v>222.0</v>
      </c>
      <c r="B232" s="102" t="s">
        <v>450</v>
      </c>
      <c r="C232" s="103"/>
      <c r="D232" s="103"/>
      <c r="E232" s="113">
        <v>1.0</v>
      </c>
      <c r="F232" s="113">
        <v>1.7</v>
      </c>
      <c r="G232" s="113">
        <v>5.3</v>
      </c>
      <c r="H232" s="113">
        <v>1.6</v>
      </c>
      <c r="I232" s="113">
        <v>0.8</v>
      </c>
      <c r="J232" s="113">
        <v>0.5</v>
      </c>
      <c r="K232" s="113">
        <v>0.9</v>
      </c>
      <c r="L232" s="113">
        <v>9.1</v>
      </c>
      <c r="M232" s="113">
        <v>28.5</v>
      </c>
      <c r="N232" s="117">
        <v>-9.3</v>
      </c>
      <c r="O232" t="str">
        <f>IFERROR(__xludf.DUMMYFUNCTION("regexextract(B232,""[\w]* [\w]*"")"),"Dwight Powell")</f>
        <v>Dwight Powell</v>
      </c>
      <c r="P232" t="str">
        <f t="shared" si="2"/>
        <v>Dwight Powell</v>
      </c>
      <c r="Q232" t="str">
        <f t="shared" si="3"/>
        <v>Dwight Powell</v>
      </c>
      <c r="R232" t="s">
        <v>227</v>
      </c>
      <c r="S232" s="14" t="s">
        <v>227</v>
      </c>
      <c r="T232" t="s">
        <v>227</v>
      </c>
      <c r="U232" t="s">
        <v>227</v>
      </c>
      <c r="V232" t="s">
        <v>37</v>
      </c>
      <c r="W232" t="str">
        <f t="shared" si="1"/>
        <v>C</v>
      </c>
    </row>
    <row r="233">
      <c r="A233" s="98">
        <v>223.0</v>
      </c>
      <c r="B233" s="99" t="s">
        <v>451</v>
      </c>
      <c r="C233" s="100"/>
      <c r="D233" s="100"/>
      <c r="E233" s="112">
        <v>0.9</v>
      </c>
      <c r="F233" s="112">
        <v>1.2</v>
      </c>
      <c r="G233" s="112">
        <v>4.3</v>
      </c>
      <c r="H233" s="112">
        <v>2.4</v>
      </c>
      <c r="I233" s="112">
        <v>1.1</v>
      </c>
      <c r="J233" s="112">
        <v>0.5</v>
      </c>
      <c r="K233" s="112">
        <v>0.9</v>
      </c>
      <c r="L233" s="112">
        <v>8.8</v>
      </c>
      <c r="M233" s="112">
        <v>1.1</v>
      </c>
      <c r="N233" s="115">
        <f>+0.5</f>
        <v>0.5</v>
      </c>
      <c r="O233" t="str">
        <f>IFERROR(__xludf.DUMMYFUNCTION("regexextract(B233,""[\w]* [\w]*"")"),"Onyeka OkongwuO")</f>
        <v>Onyeka OkongwuO</v>
      </c>
      <c r="P233" t="str">
        <f t="shared" si="2"/>
        <v>Onyeka OkongwuO</v>
      </c>
      <c r="Q233" t="str">
        <f t="shared" si="3"/>
        <v>Onyeka Okongwu</v>
      </c>
      <c r="R233" t="s">
        <v>227</v>
      </c>
      <c r="S233" s="14" t="s">
        <v>227</v>
      </c>
      <c r="T233" t="s">
        <v>227</v>
      </c>
      <c r="U233" t="s">
        <v>227</v>
      </c>
      <c r="V233" t="s">
        <v>37</v>
      </c>
      <c r="W233" t="str">
        <f t="shared" si="1"/>
        <v>C</v>
      </c>
    </row>
    <row r="234">
      <c r="A234" s="101">
        <v>224.0</v>
      </c>
      <c r="B234" s="102" t="s">
        <v>452</v>
      </c>
      <c r="C234" s="103"/>
      <c r="D234" s="103"/>
      <c r="E234" s="113">
        <v>2.1</v>
      </c>
      <c r="F234" s="113">
        <v>0.2</v>
      </c>
      <c r="G234" s="113">
        <v>6.3</v>
      </c>
      <c r="H234" s="113">
        <v>1.4</v>
      </c>
      <c r="I234" s="113">
        <v>0.8</v>
      </c>
      <c r="J234" s="113">
        <v>0.8</v>
      </c>
      <c r="K234" s="113">
        <v>0.7</v>
      </c>
      <c r="L234" s="113">
        <v>7.7</v>
      </c>
      <c r="M234" s="113">
        <v>3.2</v>
      </c>
      <c r="N234" s="113">
        <v>0.0</v>
      </c>
      <c r="O234" t="str">
        <f>IFERROR(__xludf.DUMMYFUNCTION("regexextract(B234,""[\w]* [\w]*"")"),"Justin Holiday")</f>
        <v>Justin Holiday</v>
      </c>
      <c r="P234" t="str">
        <f t="shared" si="2"/>
        <v>Justin Holiday</v>
      </c>
      <c r="Q234" t="str">
        <f t="shared" si="3"/>
        <v>Justin Holiday</v>
      </c>
      <c r="R234" t="s">
        <v>227</v>
      </c>
      <c r="S234" s="14" t="s">
        <v>34</v>
      </c>
      <c r="T234" t="s">
        <v>35</v>
      </c>
      <c r="U234" t="s">
        <v>227</v>
      </c>
      <c r="V234" t="s">
        <v>227</v>
      </c>
      <c r="W234" t="str">
        <f t="shared" si="1"/>
        <v>SGSF</v>
      </c>
    </row>
    <row r="235">
      <c r="A235" s="98">
        <v>225.0</v>
      </c>
      <c r="B235" s="99" t="s">
        <v>453</v>
      </c>
      <c r="C235" s="100"/>
      <c r="D235" s="100"/>
      <c r="E235" s="112">
        <v>1.8</v>
      </c>
      <c r="F235" s="112">
        <v>1.7</v>
      </c>
      <c r="G235" s="112">
        <v>4.7</v>
      </c>
      <c r="H235" s="112">
        <v>2.3</v>
      </c>
      <c r="I235" s="112">
        <v>0.6</v>
      </c>
      <c r="J235" s="112">
        <v>0.3</v>
      </c>
      <c r="K235" s="112">
        <v>0.9</v>
      </c>
      <c r="L235" s="112">
        <v>10.1</v>
      </c>
      <c r="M235" s="112">
        <v>2.7</v>
      </c>
      <c r="N235" s="115">
        <f>+0.7</f>
        <v>0.7</v>
      </c>
      <c r="O235" t="str">
        <f>IFERROR(__xludf.DUMMYFUNCTION("regexextract(B235,""[\w]* [\w]*"")"),"Taurean PrinceO")</f>
        <v>Taurean PrinceO</v>
      </c>
      <c r="P235" t="str">
        <f t="shared" si="2"/>
        <v>Taurean PrinceO</v>
      </c>
      <c r="Q235" t="str">
        <f t="shared" si="3"/>
        <v>Taurean Prince</v>
      </c>
      <c r="R235" t="s">
        <v>227</v>
      </c>
      <c r="S235" s="14" t="s">
        <v>227</v>
      </c>
      <c r="T235" t="s">
        <v>35</v>
      </c>
      <c r="U235" t="s">
        <v>36</v>
      </c>
      <c r="V235" t="s">
        <v>37</v>
      </c>
      <c r="W235" t="str">
        <f t="shared" si="1"/>
        <v>SFPFC</v>
      </c>
    </row>
    <row r="236">
      <c r="A236" s="101">
        <v>226.0</v>
      </c>
      <c r="B236" s="102" t="s">
        <v>454</v>
      </c>
      <c r="C236" s="103"/>
      <c r="D236" s="103"/>
      <c r="E236" s="113">
        <v>1.4</v>
      </c>
      <c r="F236" s="113">
        <v>0.9</v>
      </c>
      <c r="G236" s="113">
        <v>6.8</v>
      </c>
      <c r="H236" s="113">
        <v>2.6</v>
      </c>
      <c r="I236" s="113">
        <v>1.3</v>
      </c>
      <c r="J236" s="113">
        <v>0.4</v>
      </c>
      <c r="K236" s="113">
        <v>1.3</v>
      </c>
      <c r="L236" s="113">
        <v>8.9</v>
      </c>
      <c r="M236" s="113">
        <v>4.2</v>
      </c>
      <c r="N236" s="114">
        <f>+0.1</f>
        <v>0.1</v>
      </c>
      <c r="O236" t="str">
        <f>IFERROR(__xludf.DUMMYFUNCTION("regexextract(B236,""[\w]* [\w]*"")"),"Patrick BeverleyO")</f>
        <v>Patrick BeverleyO</v>
      </c>
      <c r="P236" t="str">
        <f t="shared" si="2"/>
        <v>Patrick BeverleyO</v>
      </c>
      <c r="Q236" t="str">
        <f t="shared" si="3"/>
        <v>Patrick Beverley</v>
      </c>
      <c r="R236" t="s">
        <v>33</v>
      </c>
      <c r="S236" s="14" t="s">
        <v>227</v>
      </c>
      <c r="T236" t="s">
        <v>227</v>
      </c>
      <c r="U236" t="s">
        <v>227</v>
      </c>
      <c r="V236" t="s">
        <v>37</v>
      </c>
      <c r="W236" t="str">
        <f t="shared" si="1"/>
        <v>PGC</v>
      </c>
    </row>
    <row r="237">
      <c r="A237" s="98">
        <v>227.0</v>
      </c>
      <c r="B237" s="99" t="s">
        <v>455</v>
      </c>
      <c r="C237" s="100"/>
      <c r="D237" s="100"/>
      <c r="E237" s="112">
        <v>1.9</v>
      </c>
      <c r="F237" s="112">
        <v>0.9</v>
      </c>
      <c r="G237" s="112">
        <v>4.8</v>
      </c>
      <c r="H237" s="112">
        <v>2.4</v>
      </c>
      <c r="I237" s="112">
        <v>1.1</v>
      </c>
      <c r="J237" s="112">
        <v>0.9</v>
      </c>
      <c r="K237" s="112">
        <v>1.8</v>
      </c>
      <c r="L237" s="112">
        <v>8.6</v>
      </c>
      <c r="M237" s="112">
        <v>2.6</v>
      </c>
      <c r="N237" s="116">
        <v>-0.1</v>
      </c>
      <c r="O237" t="str">
        <f>IFERROR(__xludf.DUMMYFUNCTION("regexextract(B237,""[\w]* [\w]*"")"),"Rajon Rondo")</f>
        <v>Rajon Rondo</v>
      </c>
      <c r="P237" t="str">
        <f t="shared" si="2"/>
        <v>Rajon Rondo</v>
      </c>
      <c r="Q237" t="str">
        <f t="shared" si="3"/>
        <v>Rajon Rond</v>
      </c>
      <c r="R237" t="s">
        <v>33</v>
      </c>
      <c r="S237" s="14" t="s">
        <v>227</v>
      </c>
      <c r="T237" t="s">
        <v>227</v>
      </c>
      <c r="U237" t="s">
        <v>227</v>
      </c>
      <c r="V237" t="s">
        <v>227</v>
      </c>
      <c r="W237" t="str">
        <f t="shared" si="1"/>
        <v>PG</v>
      </c>
    </row>
    <row r="238">
      <c r="A238" s="101">
        <v>228.0</v>
      </c>
      <c r="B238" s="102" t="s">
        <v>456</v>
      </c>
      <c r="C238" s="103"/>
      <c r="D238" s="103"/>
      <c r="E238" s="113">
        <v>1.8</v>
      </c>
      <c r="F238" s="113">
        <v>2.0</v>
      </c>
      <c r="G238" s="113">
        <v>3.5</v>
      </c>
      <c r="H238" s="113">
        <v>3.7</v>
      </c>
      <c r="I238" s="113">
        <v>0.6</v>
      </c>
      <c r="J238" s="113">
        <v>0.2</v>
      </c>
      <c r="K238" s="113">
        <v>1.8</v>
      </c>
      <c r="L238" s="113">
        <v>13.1</v>
      </c>
      <c r="M238" s="113">
        <v>46.6</v>
      </c>
      <c r="N238" s="117">
        <v>-15.7</v>
      </c>
      <c r="O238" t="str">
        <f>IFERROR(__xludf.DUMMYFUNCTION("regexextract(B238,""[\w]* [\w]*"")"),"Tristan Thompson")</f>
        <v>Tristan Thompson</v>
      </c>
      <c r="P238" t="str">
        <f t="shared" si="2"/>
        <v>Tristan Thompson</v>
      </c>
      <c r="Q238" t="str">
        <f t="shared" si="3"/>
        <v>Tristan Thompson</v>
      </c>
      <c r="R238" t="s">
        <v>227</v>
      </c>
      <c r="S238" s="14" t="s">
        <v>227</v>
      </c>
      <c r="T238" t="s">
        <v>227</v>
      </c>
      <c r="U238" t="s">
        <v>36</v>
      </c>
      <c r="V238" t="s">
        <v>37</v>
      </c>
      <c r="W238" t="str">
        <f t="shared" si="1"/>
        <v>PFC</v>
      </c>
    </row>
    <row r="239">
      <c r="A239" s="98">
        <v>229.0</v>
      </c>
      <c r="B239" s="99" t="s">
        <v>457</v>
      </c>
      <c r="C239" s="100"/>
      <c r="D239" s="100"/>
      <c r="E239" s="112">
        <v>2.9</v>
      </c>
      <c r="F239" s="112">
        <v>1.6</v>
      </c>
      <c r="G239" s="112">
        <v>5.0</v>
      </c>
      <c r="H239" s="112">
        <v>3.2</v>
      </c>
      <c r="I239" s="112">
        <v>0.7</v>
      </c>
      <c r="J239" s="112">
        <v>0.3</v>
      </c>
      <c r="K239" s="112">
        <v>1.5</v>
      </c>
      <c r="L239" s="112">
        <v>11.8</v>
      </c>
      <c r="M239" s="112">
        <v>18.4</v>
      </c>
      <c r="N239" s="116">
        <v>-1.4</v>
      </c>
      <c r="O239" t="str">
        <f>IFERROR(__xludf.DUMMYFUNCTION("regexextract(B239,""[\w]* [\w]*"")"),"Jeff Green")</f>
        <v>Jeff Green</v>
      </c>
      <c r="P239" t="str">
        <f t="shared" si="2"/>
        <v>Jeff Green</v>
      </c>
      <c r="Q239" t="str">
        <f t="shared" si="3"/>
        <v>Jeff Green</v>
      </c>
      <c r="R239" t="s">
        <v>227</v>
      </c>
      <c r="S239" s="14" t="s">
        <v>227</v>
      </c>
      <c r="T239" t="s">
        <v>227</v>
      </c>
      <c r="U239" t="s">
        <v>36</v>
      </c>
      <c r="V239" t="s">
        <v>227</v>
      </c>
      <c r="W239" t="str">
        <f t="shared" si="1"/>
        <v>PF</v>
      </c>
    </row>
    <row r="240">
      <c r="A240" s="101">
        <v>230.0</v>
      </c>
      <c r="B240" s="102" t="s">
        <v>458</v>
      </c>
      <c r="C240" s="103"/>
      <c r="D240" s="103"/>
      <c r="E240" s="113">
        <v>1.8</v>
      </c>
      <c r="F240" s="113">
        <v>1.4</v>
      </c>
      <c r="G240" s="113">
        <v>5.3</v>
      </c>
      <c r="H240" s="113">
        <v>1.7</v>
      </c>
      <c r="I240" s="113">
        <v>0.6</v>
      </c>
      <c r="J240" s="113">
        <v>0.6</v>
      </c>
      <c r="K240" s="113">
        <v>1.2</v>
      </c>
      <c r="L240" s="113">
        <v>11.4</v>
      </c>
      <c r="M240" s="113">
        <v>3.4</v>
      </c>
      <c r="N240" s="113">
        <v>0.0</v>
      </c>
      <c r="O240" t="str">
        <f>IFERROR(__xludf.DUMMYFUNCTION("regexextract(B240,""[\w]* [\w]*"")"),"Cory Joseph")</f>
        <v>Cory Joseph</v>
      </c>
      <c r="P240" t="str">
        <f t="shared" si="2"/>
        <v>Cory Joseph</v>
      </c>
      <c r="Q240" t="str">
        <f t="shared" si="3"/>
        <v>Cory Joseph</v>
      </c>
      <c r="R240" t="s">
        <v>33</v>
      </c>
      <c r="S240" s="14" t="s">
        <v>227</v>
      </c>
      <c r="T240" t="s">
        <v>227</v>
      </c>
      <c r="U240" t="s">
        <v>227</v>
      </c>
      <c r="V240" t="s">
        <v>37</v>
      </c>
      <c r="W240" t="str">
        <f t="shared" si="1"/>
        <v>PGC</v>
      </c>
    </row>
    <row r="241">
      <c r="A241" s="98">
        <v>231.0</v>
      </c>
      <c r="B241" s="99" t="s">
        <v>459</v>
      </c>
      <c r="C241" s="100"/>
      <c r="D241" s="100"/>
      <c r="E241" s="112">
        <v>1.6</v>
      </c>
      <c r="F241" s="112">
        <v>1.5</v>
      </c>
      <c r="G241" s="112">
        <v>6.5</v>
      </c>
      <c r="H241" s="112">
        <v>1.9</v>
      </c>
      <c r="I241" s="112">
        <v>0.9</v>
      </c>
      <c r="J241" s="112">
        <v>0.3</v>
      </c>
      <c r="K241" s="112">
        <v>1.0</v>
      </c>
      <c r="L241" s="112">
        <v>8.9</v>
      </c>
      <c r="M241" s="112">
        <v>3.2</v>
      </c>
      <c r="N241" s="116">
        <v>-0.1</v>
      </c>
      <c r="O241" t="str">
        <f>IFERROR(__xludf.DUMMYFUNCTION("regexextract(B241,""[\w]* [\w]*"")"),"Patty Mills")</f>
        <v>Patty Mills</v>
      </c>
      <c r="P241" t="str">
        <f t="shared" si="2"/>
        <v>Patty Mills</v>
      </c>
      <c r="Q241" t="str">
        <f t="shared" si="3"/>
        <v>Patty Mills</v>
      </c>
      <c r="R241" t="s">
        <v>33</v>
      </c>
      <c r="S241" s="14" t="s">
        <v>227</v>
      </c>
      <c r="T241" t="s">
        <v>227</v>
      </c>
      <c r="U241" t="s">
        <v>227</v>
      </c>
      <c r="V241" t="s">
        <v>227</v>
      </c>
      <c r="W241" t="str">
        <f t="shared" si="1"/>
        <v>PG</v>
      </c>
    </row>
    <row r="242">
      <c r="A242" s="101">
        <v>232.0</v>
      </c>
      <c r="B242" s="102" t="s">
        <v>460</v>
      </c>
      <c r="C242" s="103"/>
      <c r="D242" s="103"/>
      <c r="E242" s="113">
        <v>1.1</v>
      </c>
      <c r="F242" s="113">
        <v>0.9</v>
      </c>
      <c r="G242" s="113">
        <v>4.9</v>
      </c>
      <c r="H242" s="113">
        <v>2.6</v>
      </c>
      <c r="I242" s="113">
        <v>1.0</v>
      </c>
      <c r="J242" s="113">
        <v>0.3</v>
      </c>
      <c r="K242" s="113">
        <v>1.3</v>
      </c>
      <c r="L242" s="113">
        <v>8.9</v>
      </c>
      <c r="M242" s="113">
        <v>0.8</v>
      </c>
      <c r="N242" s="114">
        <f>+0.1</f>
        <v>0.1</v>
      </c>
      <c r="O242" t="str">
        <f>IFERROR(__xludf.DUMMYFUNCTION("regexextract(B242,""[\w]* [\w]*"")"),"Kira Lewis")</f>
        <v>Kira Lewis</v>
      </c>
      <c r="P242" t="str">
        <f t="shared" si="2"/>
        <v>Kira Lewis</v>
      </c>
      <c r="Q242" t="str">
        <f t="shared" si="3"/>
        <v>Kira Lewis</v>
      </c>
      <c r="R242" t="s">
        <v>33</v>
      </c>
      <c r="S242" s="14" t="s">
        <v>227</v>
      </c>
      <c r="T242" t="s">
        <v>227</v>
      </c>
      <c r="U242" t="s">
        <v>227</v>
      </c>
      <c r="V242" t="s">
        <v>227</v>
      </c>
      <c r="W242" t="str">
        <f t="shared" si="1"/>
        <v>PG</v>
      </c>
    </row>
    <row r="243">
      <c r="A243" s="98">
        <v>233.0</v>
      </c>
      <c r="B243" s="99" t="s">
        <v>461</v>
      </c>
      <c r="C243" s="100"/>
      <c r="D243" s="100"/>
      <c r="E243" s="112">
        <v>1.2</v>
      </c>
      <c r="F243" s="112">
        <v>2.0</v>
      </c>
      <c r="G243" s="112">
        <v>3.8</v>
      </c>
      <c r="H243" s="112">
        <v>2.0</v>
      </c>
      <c r="I243" s="112">
        <v>0.9</v>
      </c>
      <c r="J243" s="112">
        <v>0.3</v>
      </c>
      <c r="K243" s="112">
        <v>1.4</v>
      </c>
      <c r="L243" s="112">
        <v>11.3</v>
      </c>
      <c r="M243" s="112">
        <v>0.6</v>
      </c>
      <c r="N243" s="115">
        <f>+0.3</f>
        <v>0.3</v>
      </c>
      <c r="O243" t="str">
        <f>IFERROR(__xludf.DUMMYFUNCTION("regexextract(B243,""[\w]* [\w]*"")"),"James Bouknight")</f>
        <v>James Bouknight</v>
      </c>
      <c r="P243" t="str">
        <f t="shared" si="2"/>
        <v>James Bouknight</v>
      </c>
      <c r="Q243" t="str">
        <f t="shared" si="3"/>
        <v>James Bouknight</v>
      </c>
      <c r="R243" t="s">
        <v>227</v>
      </c>
      <c r="S243" s="14" t="s">
        <v>34</v>
      </c>
      <c r="T243" t="s">
        <v>227</v>
      </c>
      <c r="U243" t="s">
        <v>227</v>
      </c>
      <c r="V243" t="s">
        <v>37</v>
      </c>
      <c r="W243" t="str">
        <f t="shared" si="1"/>
        <v>SGC</v>
      </c>
    </row>
    <row r="244">
      <c r="A244" s="101">
        <v>234.0</v>
      </c>
      <c r="B244" s="102" t="s">
        <v>462</v>
      </c>
      <c r="C244" s="103"/>
      <c r="D244" s="103"/>
      <c r="E244" s="113">
        <v>1.5</v>
      </c>
      <c r="F244" s="113">
        <v>0.8</v>
      </c>
      <c r="G244" s="113">
        <v>2.8</v>
      </c>
      <c r="H244" s="113">
        <v>4.6</v>
      </c>
      <c r="I244" s="113">
        <v>0.8</v>
      </c>
      <c r="J244" s="113">
        <v>0.2</v>
      </c>
      <c r="K244" s="113">
        <v>1.6</v>
      </c>
      <c r="L244" s="113">
        <v>8.0</v>
      </c>
      <c r="M244" s="113">
        <v>0.9</v>
      </c>
      <c r="N244" s="114">
        <f>+0.2</f>
        <v>0.2</v>
      </c>
      <c r="O244" t="str">
        <f>IFERROR(__xludf.DUMMYFUNCTION("regexextract(B244,""[\w]* [\w]*"")"),"Saben Lee")</f>
        <v>Saben Lee</v>
      </c>
      <c r="P244" t="str">
        <f t="shared" si="2"/>
        <v>Saben Lee</v>
      </c>
      <c r="Q244" t="str">
        <f t="shared" si="3"/>
        <v>Saben Lee</v>
      </c>
      <c r="R244" t="s">
        <v>33</v>
      </c>
      <c r="S244" s="14" t="s">
        <v>227</v>
      </c>
      <c r="T244" t="s">
        <v>227</v>
      </c>
      <c r="U244" t="s">
        <v>227</v>
      </c>
      <c r="V244" t="s">
        <v>227</v>
      </c>
      <c r="W244" t="str">
        <f t="shared" si="1"/>
        <v>PG</v>
      </c>
    </row>
    <row r="245">
      <c r="A245" s="98">
        <v>235.0</v>
      </c>
      <c r="B245" s="99" t="s">
        <v>463</v>
      </c>
      <c r="C245" s="100"/>
      <c r="D245" s="100"/>
      <c r="E245" s="112">
        <v>1.0</v>
      </c>
      <c r="F245" s="112">
        <v>1.8</v>
      </c>
      <c r="G245" s="112">
        <v>2.5</v>
      </c>
      <c r="H245" s="112">
        <v>2.5</v>
      </c>
      <c r="I245" s="112">
        <v>0.8</v>
      </c>
      <c r="J245" s="112">
        <v>0.2</v>
      </c>
      <c r="K245" s="112">
        <v>1.3</v>
      </c>
      <c r="L245" s="112">
        <v>12.5</v>
      </c>
      <c r="M245" s="112">
        <v>7.7</v>
      </c>
      <c r="N245" s="116">
        <v>-1.6</v>
      </c>
      <c r="O245" t="str">
        <f>IFERROR(__xludf.DUMMYFUNCTION("regexextract(B245,""[\w]* [\w]*"")"),"Delon Wright")</f>
        <v>Delon Wright</v>
      </c>
      <c r="P245" t="str">
        <f t="shared" si="2"/>
        <v>Delon Wright</v>
      </c>
      <c r="Q245" t="str">
        <f t="shared" si="3"/>
        <v>Delon Wright</v>
      </c>
      <c r="R245" t="s">
        <v>33</v>
      </c>
      <c r="S245" s="14" t="s">
        <v>34</v>
      </c>
      <c r="T245" t="s">
        <v>227</v>
      </c>
      <c r="U245" t="s">
        <v>227</v>
      </c>
      <c r="V245" t="s">
        <v>227</v>
      </c>
      <c r="W245" t="str">
        <f t="shared" si="1"/>
        <v>PGSG</v>
      </c>
    </row>
    <row r="246">
      <c r="A246" s="101">
        <v>236.0</v>
      </c>
      <c r="B246" s="102" t="s">
        <v>464</v>
      </c>
      <c r="C246" s="103"/>
      <c r="D246" s="103"/>
      <c r="E246" s="113">
        <v>3.2</v>
      </c>
      <c r="F246" s="113">
        <v>2.2</v>
      </c>
      <c r="G246" s="113">
        <v>3.7</v>
      </c>
      <c r="H246" s="113">
        <v>1.7</v>
      </c>
      <c r="I246" s="113">
        <v>0.9</v>
      </c>
      <c r="J246" s="113">
        <v>0.4</v>
      </c>
      <c r="K246" s="113">
        <v>1.5</v>
      </c>
      <c r="L246" s="113">
        <v>14.3</v>
      </c>
      <c r="M246" s="113">
        <v>6.7</v>
      </c>
      <c r="N246" s="117">
        <v>-0.1</v>
      </c>
      <c r="O246" t="str">
        <f>IFERROR(__xludf.DUMMYFUNCTION("regexextract(B246,""[\w]* [\w]*"")"),"Pat Connaughton")</f>
        <v>Pat Connaughton</v>
      </c>
      <c r="P246" t="str">
        <f t="shared" si="2"/>
        <v>Pat Connaughton</v>
      </c>
      <c r="Q246" t="str">
        <f t="shared" si="3"/>
        <v>Pat Connaughton</v>
      </c>
      <c r="R246" t="s">
        <v>227</v>
      </c>
      <c r="S246" s="14" t="s">
        <v>34</v>
      </c>
      <c r="T246" t="s">
        <v>35</v>
      </c>
      <c r="U246" t="s">
        <v>227</v>
      </c>
      <c r="V246" t="s">
        <v>37</v>
      </c>
      <c r="W246" t="str">
        <f t="shared" si="1"/>
        <v>SGSFC</v>
      </c>
    </row>
    <row r="247">
      <c r="A247" s="98">
        <v>237.0</v>
      </c>
      <c r="B247" s="99" t="s">
        <v>465</v>
      </c>
      <c r="C247" s="100"/>
      <c r="D247" s="100"/>
      <c r="E247" s="112">
        <v>2.6</v>
      </c>
      <c r="F247" s="112">
        <v>1.3</v>
      </c>
      <c r="G247" s="112">
        <v>2.5</v>
      </c>
      <c r="H247" s="112">
        <v>3.0</v>
      </c>
      <c r="I247" s="112">
        <v>0.7</v>
      </c>
      <c r="J247" s="112">
        <v>0.3</v>
      </c>
      <c r="K247" s="112">
        <v>1.6</v>
      </c>
      <c r="L247" s="112">
        <v>12.9</v>
      </c>
      <c r="M247" s="112">
        <v>2.3</v>
      </c>
      <c r="N247" s="115">
        <f t="shared" ref="N247:N248" si="9">+0.1</f>
        <v>0.1</v>
      </c>
      <c r="O247" t="str">
        <f>IFERROR(__xludf.DUMMYFUNCTION("regexextract(B247,""[\w]* [\w]*"")"),"Anfernee Simons")</f>
        <v>Anfernee Simons</v>
      </c>
      <c r="P247" t="str">
        <f t="shared" si="2"/>
        <v>Anfernee Simons</v>
      </c>
      <c r="Q247" t="str">
        <f t="shared" si="3"/>
        <v>Anfernee Simons</v>
      </c>
      <c r="R247" t="s">
        <v>33</v>
      </c>
      <c r="S247" s="14" t="s">
        <v>34</v>
      </c>
      <c r="T247" t="s">
        <v>227</v>
      </c>
      <c r="U247" t="s">
        <v>227</v>
      </c>
      <c r="V247" t="s">
        <v>227</v>
      </c>
      <c r="W247" t="str">
        <f t="shared" si="1"/>
        <v>PGSG</v>
      </c>
    </row>
    <row r="248">
      <c r="A248" s="101">
        <v>238.0</v>
      </c>
      <c r="B248" s="102" t="s">
        <v>466</v>
      </c>
      <c r="C248" s="103"/>
      <c r="D248" s="103"/>
      <c r="E248" s="113">
        <v>0.9</v>
      </c>
      <c r="F248" s="113">
        <v>1.5</v>
      </c>
      <c r="G248" s="113">
        <v>4.8</v>
      </c>
      <c r="H248" s="113">
        <v>2.5</v>
      </c>
      <c r="I248" s="113">
        <v>1.0</v>
      </c>
      <c r="J248" s="113">
        <v>0.5</v>
      </c>
      <c r="K248" s="113">
        <v>1.0</v>
      </c>
      <c r="L248" s="113">
        <v>7.8</v>
      </c>
      <c r="M248" s="113">
        <v>2.0</v>
      </c>
      <c r="N248" s="114">
        <f t="shared" si="9"/>
        <v>0.1</v>
      </c>
      <c r="O248" t="str">
        <f>IFERROR(__xludf.DUMMYFUNCTION("regexextract(B248,""[\w]* [\w]*"")"),"George Hill")</f>
        <v>George Hill</v>
      </c>
      <c r="P248" t="str">
        <f t="shared" si="2"/>
        <v>George Hill</v>
      </c>
      <c r="Q248" t="str">
        <f t="shared" si="3"/>
        <v>George Hill</v>
      </c>
      <c r="R248" t="s">
        <v>33</v>
      </c>
      <c r="S248" s="14" t="s">
        <v>34</v>
      </c>
      <c r="T248" t="s">
        <v>227</v>
      </c>
      <c r="U248" t="s">
        <v>227</v>
      </c>
      <c r="V248" t="s">
        <v>227</v>
      </c>
      <c r="W248" t="str">
        <f t="shared" si="1"/>
        <v>PGSG</v>
      </c>
    </row>
    <row r="249">
      <c r="A249" s="98">
        <v>239.0</v>
      </c>
      <c r="B249" s="99" t="s">
        <v>467</v>
      </c>
      <c r="C249" s="100"/>
      <c r="D249" s="100"/>
      <c r="E249" s="112">
        <v>3.1</v>
      </c>
      <c r="F249" s="112">
        <v>0.1</v>
      </c>
      <c r="G249" s="112">
        <v>5.5</v>
      </c>
      <c r="H249" s="112">
        <v>0.9</v>
      </c>
      <c r="I249" s="112">
        <v>0.5</v>
      </c>
      <c r="J249" s="112">
        <v>1.0</v>
      </c>
      <c r="K249" s="112">
        <v>0.9</v>
      </c>
      <c r="L249" s="112">
        <v>9.8</v>
      </c>
      <c r="M249" s="112">
        <v>1.0</v>
      </c>
      <c r="N249" s="115">
        <f>+0.3</f>
        <v>0.3</v>
      </c>
      <c r="O249" t="str">
        <f>IFERROR(__xludf.DUMMYFUNCTION("regexextract(B249,""[\w]* [\w]*"")"),"Lonnie Walker")</f>
        <v>Lonnie Walker</v>
      </c>
      <c r="P249" t="str">
        <f t="shared" si="2"/>
        <v>Lonnie Walker</v>
      </c>
      <c r="Q249" t="str">
        <f t="shared" si="3"/>
        <v>Lonnie Walker</v>
      </c>
      <c r="R249" t="s">
        <v>227</v>
      </c>
      <c r="S249" s="14" t="s">
        <v>34</v>
      </c>
      <c r="T249" t="s">
        <v>35</v>
      </c>
      <c r="U249" t="s">
        <v>227</v>
      </c>
      <c r="V249" t="s">
        <v>227</v>
      </c>
      <c r="W249" t="str">
        <f t="shared" si="1"/>
        <v>SGSF</v>
      </c>
    </row>
    <row r="250">
      <c r="A250" s="101">
        <v>240.0</v>
      </c>
      <c r="B250" s="102" t="s">
        <v>468</v>
      </c>
      <c r="C250" s="103"/>
      <c r="D250" s="103"/>
      <c r="E250" s="113">
        <v>0.5</v>
      </c>
      <c r="F250" s="113">
        <v>0.9</v>
      </c>
      <c r="G250" s="113">
        <v>2.2</v>
      </c>
      <c r="H250" s="113">
        <v>1.3</v>
      </c>
      <c r="I250" s="113">
        <v>1.9</v>
      </c>
      <c r="J250" s="113">
        <v>1.2</v>
      </c>
      <c r="K250" s="113">
        <v>0.7</v>
      </c>
      <c r="L250" s="113">
        <v>5.0</v>
      </c>
      <c r="M250" s="113">
        <v>4.5</v>
      </c>
      <c r="N250" s="114">
        <f>+0.2</f>
        <v>0.2</v>
      </c>
      <c r="O250" t="str">
        <f>IFERROR(__xludf.DUMMYFUNCTION("regexextract(B250,""[\w]* [\w]*"")")," Augustin")</f>
        <v> Augustin</v>
      </c>
      <c r="P250" t="str">
        <f t="shared" si="2"/>
        <v> Augustin</v>
      </c>
      <c r="Q250" t="str">
        <f t="shared" si="3"/>
        <v> Augustin</v>
      </c>
      <c r="R250" t="s">
        <v>33</v>
      </c>
      <c r="S250" s="14" t="s">
        <v>227</v>
      </c>
      <c r="T250" t="s">
        <v>227</v>
      </c>
      <c r="U250" t="s">
        <v>227</v>
      </c>
      <c r="V250" t="s">
        <v>227</v>
      </c>
      <c r="W250" t="str">
        <f t="shared" si="1"/>
        <v>PG</v>
      </c>
    </row>
    <row r="251">
      <c r="A251" s="98">
        <v>241.0</v>
      </c>
      <c r="B251" s="99" t="s">
        <v>469</v>
      </c>
      <c r="C251" s="100"/>
      <c r="D251" s="100"/>
      <c r="E251" s="112">
        <v>0.6</v>
      </c>
      <c r="F251" s="112">
        <v>1.3</v>
      </c>
      <c r="G251" s="112">
        <v>5.8</v>
      </c>
      <c r="H251" s="112">
        <v>2.4</v>
      </c>
      <c r="I251" s="112">
        <v>0.8</v>
      </c>
      <c r="J251" s="112">
        <v>0.4</v>
      </c>
      <c r="K251" s="112">
        <v>1.0</v>
      </c>
      <c r="L251" s="112">
        <v>6.3</v>
      </c>
      <c r="M251" s="112">
        <v>2.8</v>
      </c>
      <c r="N251" s="116">
        <v>-0.5</v>
      </c>
      <c r="O251" t="str">
        <f>IFERROR(__xludf.DUMMYFUNCTION("regexextract(B251,""[\w]* [\w]*"")"),"Mo Bamba")</f>
        <v>Mo Bamba</v>
      </c>
      <c r="P251" t="str">
        <f t="shared" si="2"/>
        <v>Mo Bamba</v>
      </c>
      <c r="Q251" t="str">
        <f t="shared" si="3"/>
        <v>Mo Bamba</v>
      </c>
      <c r="R251" t="s">
        <v>227</v>
      </c>
      <c r="S251" s="14" t="s">
        <v>227</v>
      </c>
      <c r="T251" t="s">
        <v>227</v>
      </c>
      <c r="U251" t="s">
        <v>227</v>
      </c>
      <c r="V251" t="s">
        <v>37</v>
      </c>
      <c r="W251" t="str">
        <f t="shared" si="1"/>
        <v>C</v>
      </c>
    </row>
    <row r="252">
      <c r="A252" s="101">
        <v>242.0</v>
      </c>
      <c r="B252" s="102" t="s">
        <v>470</v>
      </c>
      <c r="C252" s="103"/>
      <c r="D252" s="103"/>
      <c r="E252" s="113">
        <v>1.6</v>
      </c>
      <c r="F252" s="113">
        <v>1.5</v>
      </c>
      <c r="G252" s="113">
        <v>4.0</v>
      </c>
      <c r="H252" s="113">
        <v>1.3</v>
      </c>
      <c r="I252" s="113">
        <v>1.0</v>
      </c>
      <c r="J252" s="113">
        <v>0.4</v>
      </c>
      <c r="K252" s="113">
        <v>0.5</v>
      </c>
      <c r="L252" s="113">
        <v>10.2</v>
      </c>
      <c r="M252" s="113">
        <v>0.8</v>
      </c>
      <c r="N252" s="114">
        <f>+0.2</f>
        <v>0.2</v>
      </c>
      <c r="O252" t="str">
        <f>IFERROR(__xludf.DUMMYFUNCTION("regexextract(B252,""[\w]* [\w]*"")"),"JaMychal Green")</f>
        <v>JaMychal Green</v>
      </c>
      <c r="P252" t="str">
        <f t="shared" si="2"/>
        <v>JaMychal Green</v>
      </c>
      <c r="Q252" t="str">
        <f t="shared" si="3"/>
        <v>JaMychal Green</v>
      </c>
      <c r="R252" t="s">
        <v>227</v>
      </c>
      <c r="S252" s="14" t="s">
        <v>227</v>
      </c>
      <c r="T252" t="s">
        <v>227</v>
      </c>
      <c r="U252" t="s">
        <v>36</v>
      </c>
      <c r="V252" t="s">
        <v>37</v>
      </c>
      <c r="W252" t="str">
        <f t="shared" si="1"/>
        <v>PFC</v>
      </c>
    </row>
    <row r="253">
      <c r="A253" s="98">
        <v>243.0</v>
      </c>
      <c r="B253" s="99" t="s">
        <v>471</v>
      </c>
      <c r="C253" s="100"/>
      <c r="D253" s="100"/>
      <c r="E253" s="112">
        <v>3.7</v>
      </c>
      <c r="F253" s="112">
        <v>2.0</v>
      </c>
      <c r="G253" s="112">
        <v>4.5</v>
      </c>
      <c r="H253" s="112">
        <v>4.2</v>
      </c>
      <c r="I253" s="112">
        <v>1.3</v>
      </c>
      <c r="J253" s="112">
        <v>0.3</v>
      </c>
      <c r="K253" s="112">
        <v>2.3</v>
      </c>
      <c r="L253" s="112">
        <v>17.4</v>
      </c>
      <c r="M253" s="112">
        <v>22.9</v>
      </c>
      <c r="N253" s="116">
        <v>-4.2</v>
      </c>
      <c r="O253" t="str">
        <f>IFERROR(__xludf.DUMMYFUNCTION("regexextract(B253,""[\w]* [\w]*"")"),"Danuel House")</f>
        <v>Danuel House</v>
      </c>
      <c r="P253" t="str">
        <f t="shared" si="2"/>
        <v>Danuel House</v>
      </c>
      <c r="Q253" t="str">
        <f t="shared" si="3"/>
        <v>Danuel House</v>
      </c>
      <c r="R253" t="s">
        <v>227</v>
      </c>
      <c r="S253" s="14" t="s">
        <v>34</v>
      </c>
      <c r="T253" t="s">
        <v>35</v>
      </c>
      <c r="U253" t="s">
        <v>227</v>
      </c>
      <c r="V253" t="s">
        <v>227</v>
      </c>
      <c r="W253" t="str">
        <f t="shared" si="1"/>
        <v>SGSF</v>
      </c>
    </row>
    <row r="254">
      <c r="A254" s="101">
        <v>244.0</v>
      </c>
      <c r="B254" s="102" t="s">
        <v>472</v>
      </c>
      <c r="C254" s="103"/>
      <c r="D254" s="103"/>
      <c r="E254" s="113">
        <v>1.8</v>
      </c>
      <c r="F254" s="113">
        <v>2.9</v>
      </c>
      <c r="G254" s="113">
        <v>3.5</v>
      </c>
      <c r="H254" s="113">
        <v>1.2</v>
      </c>
      <c r="I254" s="113">
        <v>0.6</v>
      </c>
      <c r="J254" s="113">
        <v>0.4</v>
      </c>
      <c r="K254" s="113">
        <v>0.7</v>
      </c>
      <c r="L254" s="113">
        <v>11.8</v>
      </c>
      <c r="M254" s="113">
        <v>1.0</v>
      </c>
      <c r="N254" s="114">
        <f>+0.2</f>
        <v>0.2</v>
      </c>
      <c r="O254" t="str">
        <f>IFERROR(__xludf.DUMMYFUNCTION("regexextract(B254,""[\w]* [\w]*"")"),"Cam Reddish")</f>
        <v>Cam Reddish</v>
      </c>
      <c r="P254" t="str">
        <f t="shared" si="2"/>
        <v>Cam Reddish</v>
      </c>
      <c r="Q254" t="str">
        <f t="shared" si="3"/>
        <v>Cam Reddish</v>
      </c>
      <c r="R254" t="s">
        <v>227</v>
      </c>
      <c r="S254" s="14" t="s">
        <v>34</v>
      </c>
      <c r="T254" t="s">
        <v>35</v>
      </c>
      <c r="U254" t="s">
        <v>227</v>
      </c>
      <c r="V254" t="s">
        <v>37</v>
      </c>
      <c r="W254" t="str">
        <f t="shared" si="1"/>
        <v>SGSFC</v>
      </c>
    </row>
    <row r="255">
      <c r="A255" s="98">
        <v>245.0</v>
      </c>
      <c r="B255" s="99" t="s">
        <v>473</v>
      </c>
      <c r="C255" s="100"/>
      <c r="D255" s="100"/>
      <c r="E255" s="112">
        <v>2.8</v>
      </c>
      <c r="F255" s="112">
        <v>2.2</v>
      </c>
      <c r="G255" s="112">
        <v>7.8</v>
      </c>
      <c r="H255" s="112">
        <v>2.4</v>
      </c>
      <c r="I255" s="112">
        <v>0.5</v>
      </c>
      <c r="J255" s="112">
        <v>0.2</v>
      </c>
      <c r="K255" s="112">
        <v>1.8</v>
      </c>
      <c r="L255" s="112">
        <v>13.4</v>
      </c>
      <c r="M255" s="112">
        <v>8.2</v>
      </c>
      <c r="N255" s="116">
        <v>-0.9</v>
      </c>
      <c r="O255" t="str">
        <f>IFERROR(__xludf.DUMMYFUNCTION("regexextract(B255,""[\w]* [\w]*"")"),"Landry Shamet")</f>
        <v>Landry Shamet</v>
      </c>
      <c r="P255" t="str">
        <f t="shared" si="2"/>
        <v>Landry Shamet</v>
      </c>
      <c r="Q255" t="str">
        <f t="shared" si="3"/>
        <v>Landry Shamet</v>
      </c>
      <c r="R255" t="s">
        <v>227</v>
      </c>
      <c r="S255" s="14" t="s">
        <v>34</v>
      </c>
      <c r="T255" t="s">
        <v>227</v>
      </c>
      <c r="U255" t="s">
        <v>227</v>
      </c>
      <c r="V255" t="s">
        <v>227</v>
      </c>
      <c r="W255" t="str">
        <f t="shared" si="1"/>
        <v>SG</v>
      </c>
    </row>
    <row r="256">
      <c r="A256" s="101">
        <v>246.0</v>
      </c>
      <c r="B256" s="102" t="s">
        <v>474</v>
      </c>
      <c r="C256" s="103"/>
      <c r="D256" s="103"/>
      <c r="E256" s="113">
        <v>2.2</v>
      </c>
      <c r="F256" s="113">
        <v>1.2</v>
      </c>
      <c r="G256" s="113">
        <v>3.8</v>
      </c>
      <c r="H256" s="113">
        <v>1.6</v>
      </c>
      <c r="I256" s="113">
        <v>0.9</v>
      </c>
      <c r="J256" s="113">
        <v>0.5</v>
      </c>
      <c r="K256" s="113">
        <v>0.7</v>
      </c>
      <c r="L256" s="113">
        <v>10.7</v>
      </c>
      <c r="M256" s="113">
        <v>2.7</v>
      </c>
      <c r="N256" s="117">
        <v>-0.5</v>
      </c>
      <c r="O256" t="str">
        <f>IFERROR(__xludf.DUMMYFUNCTION("regexextract(B256,""[\w]* [\w]*"")"),"Deni AvdijaDTD")</f>
        <v>Deni AvdijaDTD</v>
      </c>
      <c r="P256" t="str">
        <f t="shared" si="2"/>
        <v>Deni Avdija</v>
      </c>
      <c r="Q256" t="str">
        <f t="shared" si="3"/>
        <v>Deni Avdija</v>
      </c>
      <c r="R256" t="s">
        <v>227</v>
      </c>
      <c r="S256" s="14" t="s">
        <v>227</v>
      </c>
      <c r="T256" t="s">
        <v>35</v>
      </c>
      <c r="U256" t="s">
        <v>227</v>
      </c>
      <c r="V256" t="s">
        <v>227</v>
      </c>
      <c r="W256" t="str">
        <f t="shared" si="1"/>
        <v>SF</v>
      </c>
    </row>
    <row r="257">
      <c r="A257" s="98">
        <v>247.0</v>
      </c>
      <c r="B257" s="99" t="s">
        <v>475</v>
      </c>
      <c r="C257" s="100"/>
      <c r="D257" s="100"/>
      <c r="E257" s="112">
        <v>1.8</v>
      </c>
      <c r="F257" s="112">
        <v>0.3</v>
      </c>
      <c r="G257" s="112">
        <v>5.1</v>
      </c>
      <c r="H257" s="112">
        <v>1.8</v>
      </c>
      <c r="I257" s="112">
        <v>0.9</v>
      </c>
      <c r="J257" s="112">
        <v>0.4</v>
      </c>
      <c r="K257" s="112">
        <v>0.9</v>
      </c>
      <c r="L257" s="112">
        <v>8.3</v>
      </c>
      <c r="M257" s="112">
        <v>1.3</v>
      </c>
      <c r="N257" s="112">
        <v>0.0</v>
      </c>
      <c r="O257" t="str">
        <f>IFERROR(__xludf.DUMMYFUNCTION("regexextract(B257,""[\w]* [\w]*"")"),"Willy Hernangomez")</f>
        <v>Willy Hernangomez</v>
      </c>
      <c r="P257" t="str">
        <f t="shared" si="2"/>
        <v>Willy Hernangomez</v>
      </c>
      <c r="Q257" t="str">
        <f t="shared" si="3"/>
        <v>Willy Hernangomez</v>
      </c>
      <c r="R257" t="s">
        <v>227</v>
      </c>
      <c r="S257" s="14" t="s">
        <v>227</v>
      </c>
      <c r="T257" t="s">
        <v>227</v>
      </c>
      <c r="U257" t="s">
        <v>227</v>
      </c>
      <c r="V257" t="s">
        <v>37</v>
      </c>
      <c r="W257" t="str">
        <f t="shared" si="1"/>
        <v>C</v>
      </c>
    </row>
    <row r="258">
      <c r="A258" s="101">
        <v>248.0</v>
      </c>
      <c r="B258" s="102" t="s">
        <v>476</v>
      </c>
      <c r="C258" s="103"/>
      <c r="D258" s="103"/>
      <c r="E258" s="113">
        <v>1.5</v>
      </c>
      <c r="F258" s="113">
        <v>0.0</v>
      </c>
      <c r="G258" s="113">
        <v>6.8</v>
      </c>
      <c r="H258" s="113">
        <v>1.0</v>
      </c>
      <c r="I258" s="113">
        <v>0.5</v>
      </c>
      <c r="J258" s="113">
        <v>1.1</v>
      </c>
      <c r="K258" s="113">
        <v>0.8</v>
      </c>
      <c r="L258" s="113">
        <v>7.4</v>
      </c>
      <c r="M258" s="113">
        <v>1.1</v>
      </c>
      <c r="N258" s="114">
        <f>+0.2</f>
        <v>0.2</v>
      </c>
      <c r="O258" t="str">
        <f>IFERROR(__xludf.DUMMYFUNCTION("regexextract(B258,""[\w]* [\w]*"")"),"Gorgui Dieng")</f>
        <v>Gorgui Dieng</v>
      </c>
      <c r="P258" t="str">
        <f t="shared" si="2"/>
        <v>Gorgui Dieng</v>
      </c>
      <c r="Q258" t="str">
        <f t="shared" si="3"/>
        <v>Gorgui Dieng</v>
      </c>
      <c r="R258" t="s">
        <v>227</v>
      </c>
      <c r="S258" s="14" t="s">
        <v>227</v>
      </c>
      <c r="T258" t="s">
        <v>227</v>
      </c>
      <c r="U258" t="s">
        <v>36</v>
      </c>
      <c r="V258" t="s">
        <v>37</v>
      </c>
      <c r="W258" t="str">
        <f t="shared" si="1"/>
        <v>PFC</v>
      </c>
    </row>
    <row r="259">
      <c r="A259" s="98">
        <v>249.0</v>
      </c>
      <c r="B259" s="99" t="s">
        <v>477</v>
      </c>
      <c r="C259" s="100"/>
      <c r="D259" s="100"/>
      <c r="E259" s="112">
        <v>1.0</v>
      </c>
      <c r="F259" s="112">
        <v>0.6</v>
      </c>
      <c r="G259" s="112">
        <v>3.2</v>
      </c>
      <c r="H259" s="112">
        <v>4.2</v>
      </c>
      <c r="I259" s="112">
        <v>0.7</v>
      </c>
      <c r="J259" s="112">
        <v>0.3</v>
      </c>
      <c r="K259" s="112">
        <v>1.1</v>
      </c>
      <c r="L259" s="112">
        <v>8.4</v>
      </c>
      <c r="M259" s="112">
        <v>0.5</v>
      </c>
      <c r="N259" s="115">
        <f>+0.1</f>
        <v>0.1</v>
      </c>
      <c r="O259" t="str">
        <f>IFERROR(__xludf.DUMMYFUNCTION("regexextract(B259,""[\w]* [\w]*"")"),"Garrett Temple")</f>
        <v>Garrett Temple</v>
      </c>
      <c r="P259" t="str">
        <f t="shared" si="2"/>
        <v>Garrett Temple</v>
      </c>
      <c r="Q259" t="str">
        <f t="shared" si="3"/>
        <v>Garrett Temple</v>
      </c>
      <c r="R259" t="s">
        <v>227</v>
      </c>
      <c r="S259" s="14" t="s">
        <v>34</v>
      </c>
      <c r="T259" t="s">
        <v>35</v>
      </c>
      <c r="U259" t="s">
        <v>227</v>
      </c>
      <c r="V259" t="s">
        <v>227</v>
      </c>
      <c r="W259" t="str">
        <f t="shared" si="1"/>
        <v>SGSF</v>
      </c>
    </row>
    <row r="260">
      <c r="A260" s="101">
        <v>250.0</v>
      </c>
      <c r="B260" s="102" t="s">
        <v>478</v>
      </c>
      <c r="C260" s="103"/>
      <c r="D260" s="103"/>
      <c r="E260" s="113">
        <v>1.6</v>
      </c>
      <c r="F260" s="113">
        <v>1.7</v>
      </c>
      <c r="G260" s="113">
        <v>3.5</v>
      </c>
      <c r="H260" s="113">
        <v>2.6</v>
      </c>
      <c r="I260" s="113">
        <v>0.8</v>
      </c>
      <c r="J260" s="113">
        <v>0.2</v>
      </c>
      <c r="K260" s="113">
        <v>1.3</v>
      </c>
      <c r="L260" s="113">
        <v>10.6</v>
      </c>
      <c r="M260" s="113">
        <v>1.3</v>
      </c>
      <c r="N260" s="117">
        <v>-0.1</v>
      </c>
      <c r="O260" t="str">
        <f>IFERROR(__xludf.DUMMYFUNCTION("regexextract(B260,""[\w]* [\w]*"")"),"Eric Gordon")</f>
        <v>Eric Gordon</v>
      </c>
      <c r="P260" t="str">
        <f t="shared" si="2"/>
        <v>Eric Gordon</v>
      </c>
      <c r="Q260" t="str">
        <f t="shared" si="3"/>
        <v>Eric Gordon</v>
      </c>
      <c r="R260" t="s">
        <v>227</v>
      </c>
      <c r="S260" s="14" t="s">
        <v>34</v>
      </c>
      <c r="T260" t="s">
        <v>227</v>
      </c>
      <c r="U260" t="s">
        <v>227</v>
      </c>
      <c r="V260" t="s">
        <v>37</v>
      </c>
      <c r="W260" t="str">
        <f t="shared" si="1"/>
        <v>SGC</v>
      </c>
    </row>
    <row r="261">
      <c r="A261" s="90" t="s">
        <v>218</v>
      </c>
      <c r="C261" s="90" t="s">
        <v>219</v>
      </c>
      <c r="E261" s="108"/>
      <c r="F261" s="108"/>
      <c r="G261" s="108"/>
      <c r="H261" s="108"/>
      <c r="I261" s="108"/>
      <c r="J261" s="108"/>
      <c r="K261" s="108"/>
      <c r="L261" s="108"/>
      <c r="M261" s="108" t="s">
        <v>327</v>
      </c>
      <c r="N261" s="108"/>
      <c r="O261" t="str">
        <f>IFERROR(__xludf.DUMMYFUNCTION("regexextract(B261,""[\w]* [\w]*"")"),"#N/A")</f>
        <v>#N/A</v>
      </c>
      <c r="P261" t="str">
        <f t="shared" si="2"/>
        <v>#N/A</v>
      </c>
      <c r="Q261" t="str">
        <f t="shared" si="3"/>
        <v>#N/A</v>
      </c>
      <c r="R261" t="s">
        <v>227</v>
      </c>
      <c r="S261" s="14" t="s">
        <v>227</v>
      </c>
      <c r="T261" t="s">
        <v>227</v>
      </c>
      <c r="U261" t="s">
        <v>227</v>
      </c>
      <c r="V261" t="s">
        <v>227</v>
      </c>
      <c r="W261" t="str">
        <f t="shared" si="1"/>
        <v/>
      </c>
    </row>
    <row r="262">
      <c r="A262" s="93" t="s">
        <v>220</v>
      </c>
      <c r="B262" s="94" t="s">
        <v>221</v>
      </c>
      <c r="C262" s="93" t="s">
        <v>222</v>
      </c>
      <c r="D262" s="95" t="s">
        <v>223</v>
      </c>
      <c r="E262" s="109" t="s">
        <v>215</v>
      </c>
      <c r="F262" s="110">
        <v>0.625</v>
      </c>
      <c r="G262" s="109" t="s">
        <v>5</v>
      </c>
      <c r="H262" s="109" t="s">
        <v>7</v>
      </c>
      <c r="I262" s="109" t="s">
        <v>9</v>
      </c>
      <c r="J262" s="109" t="s">
        <v>10</v>
      </c>
      <c r="K262" s="109" t="s">
        <v>15</v>
      </c>
      <c r="L262" s="109" t="s">
        <v>2</v>
      </c>
      <c r="M262" s="109" t="s">
        <v>328</v>
      </c>
      <c r="N262" s="111" t="str">
        <f>+/-</f>
        <v>#ERROR!</v>
      </c>
      <c r="O262" t="str">
        <f>IFERROR(__xludf.DUMMYFUNCTION("regexextract(B262,""[\w]* [\w]*"")"),"#N/A")</f>
        <v>#N/A</v>
      </c>
      <c r="P262" t="str">
        <f t="shared" si="2"/>
        <v>#N/A</v>
      </c>
      <c r="Q262" t="str">
        <f t="shared" si="3"/>
        <v>#N/A</v>
      </c>
      <c r="R262" t="s">
        <v>227</v>
      </c>
      <c r="S262" s="14" t="s">
        <v>227</v>
      </c>
      <c r="T262" t="s">
        <v>227</v>
      </c>
      <c r="U262" t="s">
        <v>227</v>
      </c>
      <c r="V262" t="s">
        <v>227</v>
      </c>
      <c r="W262" t="str">
        <f t="shared" si="1"/>
        <v/>
      </c>
    </row>
    <row r="263">
      <c r="A263" s="98">
        <v>251.0</v>
      </c>
      <c r="B263" s="99" t="s">
        <v>479</v>
      </c>
      <c r="C263" s="100"/>
      <c r="D263" s="100"/>
      <c r="E263" s="112">
        <v>1.1</v>
      </c>
      <c r="F263" s="112">
        <v>2.2</v>
      </c>
      <c r="G263" s="112">
        <v>3.7</v>
      </c>
      <c r="H263" s="112">
        <v>1.5</v>
      </c>
      <c r="I263" s="112">
        <v>0.7</v>
      </c>
      <c r="J263" s="112">
        <v>0.3</v>
      </c>
      <c r="K263" s="112">
        <v>0.8</v>
      </c>
      <c r="L263" s="112">
        <v>10.6</v>
      </c>
      <c r="M263" s="112">
        <v>1.5</v>
      </c>
      <c r="N263" s="115">
        <f>+0.2</f>
        <v>0.2</v>
      </c>
      <c r="O263" t="str">
        <f>IFERROR(__xludf.DUMMYFUNCTION("regexextract(B263,""[\w]* [\w]*"")"),"Kent Bazemore")</f>
        <v>Kent Bazemore</v>
      </c>
      <c r="P263" t="str">
        <f t="shared" si="2"/>
        <v>Kent Bazemore</v>
      </c>
      <c r="Q263" t="str">
        <f t="shared" si="3"/>
        <v>Kent Bazemore</v>
      </c>
      <c r="R263" t="s">
        <v>227</v>
      </c>
      <c r="S263" s="14" t="s">
        <v>34</v>
      </c>
      <c r="T263" t="s">
        <v>35</v>
      </c>
      <c r="U263" t="s">
        <v>227</v>
      </c>
      <c r="V263" t="s">
        <v>227</v>
      </c>
      <c r="W263" t="str">
        <f t="shared" si="1"/>
        <v>SGSF</v>
      </c>
    </row>
    <row r="264">
      <c r="A264" s="101">
        <v>252.0</v>
      </c>
      <c r="B264" s="102" t="s">
        <v>480</v>
      </c>
      <c r="C264" s="103"/>
      <c r="D264" s="103"/>
      <c r="E264" s="113">
        <v>0.8</v>
      </c>
      <c r="F264" s="113">
        <v>0.6</v>
      </c>
      <c r="G264" s="113">
        <v>1.9</v>
      </c>
      <c r="H264" s="113">
        <v>4.1</v>
      </c>
      <c r="I264" s="113">
        <v>0.9</v>
      </c>
      <c r="J264" s="113">
        <v>0.1</v>
      </c>
      <c r="K264" s="113">
        <v>0.7</v>
      </c>
      <c r="L264" s="113">
        <v>6.8</v>
      </c>
      <c r="M264" s="113">
        <v>0.4</v>
      </c>
      <c r="N264" s="114">
        <f>+0.1</f>
        <v>0.1</v>
      </c>
      <c r="O264" t="str">
        <f>IFERROR(__xludf.DUMMYFUNCTION("regexextract(B264,""[\w]* [\w]*"")"),"Alex Caruso")</f>
        <v>Alex Caruso</v>
      </c>
      <c r="P264" t="str">
        <f t="shared" si="2"/>
        <v>Alex Caruso</v>
      </c>
      <c r="Q264" t="str">
        <f t="shared" si="3"/>
        <v>Alex Carus</v>
      </c>
      <c r="R264" t="s">
        <v>33</v>
      </c>
      <c r="S264" s="14" t="s">
        <v>34</v>
      </c>
      <c r="T264" t="s">
        <v>227</v>
      </c>
      <c r="U264" t="s">
        <v>227</v>
      </c>
      <c r="V264" t="s">
        <v>37</v>
      </c>
      <c r="W264" t="str">
        <f t="shared" si="1"/>
        <v>PGSGC</v>
      </c>
    </row>
    <row r="265">
      <c r="A265" s="98">
        <v>253.0</v>
      </c>
      <c r="B265" s="99" t="s">
        <v>481</v>
      </c>
      <c r="C265" s="100"/>
      <c r="D265" s="100"/>
      <c r="E265" s="112">
        <v>1.5</v>
      </c>
      <c r="F265" s="112">
        <v>2.4</v>
      </c>
      <c r="G265" s="112">
        <v>2.3</v>
      </c>
      <c r="H265" s="112">
        <v>1.2</v>
      </c>
      <c r="I265" s="112">
        <v>0.9</v>
      </c>
      <c r="J265" s="112">
        <v>0.2</v>
      </c>
      <c r="K265" s="112">
        <v>0.6</v>
      </c>
      <c r="L265" s="112">
        <v>12.8</v>
      </c>
      <c r="M265" s="112">
        <v>11.6</v>
      </c>
      <c r="N265" s="116">
        <v>-0.8</v>
      </c>
      <c r="O265" t="str">
        <f>IFERROR(__xludf.DUMMYFUNCTION("regexextract(B265,""[\w]* [\w]*"")"),"Grayson Allen")</f>
        <v>Grayson Allen</v>
      </c>
      <c r="P265" t="str">
        <f t="shared" si="2"/>
        <v>Grayson Allen</v>
      </c>
      <c r="Q265" t="str">
        <f t="shared" si="3"/>
        <v>Grayson Allen</v>
      </c>
      <c r="R265" t="s">
        <v>227</v>
      </c>
      <c r="S265" s="14" t="s">
        <v>34</v>
      </c>
      <c r="T265" t="s">
        <v>227</v>
      </c>
      <c r="U265" t="s">
        <v>227</v>
      </c>
      <c r="V265" t="s">
        <v>227</v>
      </c>
      <c r="W265" t="str">
        <f t="shared" si="1"/>
        <v>SG</v>
      </c>
    </row>
    <row r="266">
      <c r="A266" s="101">
        <v>254.0</v>
      </c>
      <c r="B266" s="102" t="s">
        <v>482</v>
      </c>
      <c r="C266" s="103"/>
      <c r="D266" s="103"/>
      <c r="E266" s="113">
        <v>0.9</v>
      </c>
      <c r="F266" s="113">
        <v>2.3</v>
      </c>
      <c r="G266" s="113">
        <v>3.1</v>
      </c>
      <c r="H266" s="113">
        <v>1.6</v>
      </c>
      <c r="I266" s="113">
        <v>0.8</v>
      </c>
      <c r="J266" s="113">
        <v>0.2</v>
      </c>
      <c r="K266" s="113">
        <v>0.7</v>
      </c>
      <c r="L266" s="113">
        <v>10.5</v>
      </c>
      <c r="M266" s="113">
        <v>2.1</v>
      </c>
      <c r="N266" s="117">
        <v>-0.4</v>
      </c>
      <c r="O266" t="str">
        <f>IFERROR(__xludf.DUMMYFUNCTION("regexextract(B266,""[\w]* [\w]*"")"),"Elfrid Payton")</f>
        <v>Elfrid Payton</v>
      </c>
      <c r="P266" t="str">
        <f t="shared" si="2"/>
        <v>Elfrid Payton</v>
      </c>
      <c r="Q266" t="str">
        <f t="shared" si="3"/>
        <v>Elfrid Payton</v>
      </c>
      <c r="R266" t="s">
        <v>33</v>
      </c>
      <c r="S266" s="14" t="s">
        <v>227</v>
      </c>
      <c r="T266" t="s">
        <v>227</v>
      </c>
      <c r="U266" t="s">
        <v>227</v>
      </c>
      <c r="V266" t="s">
        <v>227</v>
      </c>
      <c r="W266" t="str">
        <f t="shared" si="1"/>
        <v>PG</v>
      </c>
    </row>
    <row r="267">
      <c r="A267" s="98">
        <v>255.0</v>
      </c>
      <c r="B267" s="99" t="s">
        <v>483</v>
      </c>
      <c r="C267" s="100"/>
      <c r="D267" s="100"/>
      <c r="E267" s="112">
        <v>1.8</v>
      </c>
      <c r="F267" s="112">
        <v>0.0</v>
      </c>
      <c r="G267" s="112">
        <v>5.7</v>
      </c>
      <c r="H267" s="112">
        <v>1.2</v>
      </c>
      <c r="I267" s="112">
        <v>0.7</v>
      </c>
      <c r="J267" s="112">
        <v>0.9</v>
      </c>
      <c r="K267" s="112">
        <v>0.7</v>
      </c>
      <c r="L267" s="112">
        <v>7.3</v>
      </c>
      <c r="M267" s="112">
        <v>0.4</v>
      </c>
      <c r="N267" s="115">
        <f>+0.2</f>
        <v>0.2</v>
      </c>
      <c r="O267" t="str">
        <f>IFERROR(__xludf.DUMMYFUNCTION("regexextract(B267,""[\w]* [\w]*"")"),"Frank Kaminsky")</f>
        <v>Frank Kaminsky</v>
      </c>
      <c r="P267" t="str">
        <f t="shared" si="2"/>
        <v>Frank Kaminsky</v>
      </c>
      <c r="Q267" t="str">
        <f t="shared" si="3"/>
        <v>Frank Kaminsky</v>
      </c>
      <c r="R267" t="s">
        <v>227</v>
      </c>
      <c r="S267" s="14" t="s">
        <v>227</v>
      </c>
      <c r="T267" t="s">
        <v>227</v>
      </c>
      <c r="U267" t="s">
        <v>36</v>
      </c>
      <c r="V267" t="s">
        <v>37</v>
      </c>
      <c r="W267" t="str">
        <f t="shared" si="1"/>
        <v>PFC</v>
      </c>
    </row>
    <row r="268">
      <c r="A268" s="101">
        <v>256.0</v>
      </c>
      <c r="B268" s="102" t="s">
        <v>484</v>
      </c>
      <c r="C268" s="103"/>
      <c r="D268" s="103"/>
      <c r="E268" s="113">
        <v>3.7</v>
      </c>
      <c r="F268" s="113">
        <v>0.5</v>
      </c>
      <c r="G268" s="113">
        <v>5.1</v>
      </c>
      <c r="H268" s="113">
        <v>1.9</v>
      </c>
      <c r="I268" s="113">
        <v>0.8</v>
      </c>
      <c r="J268" s="113">
        <v>0.4</v>
      </c>
      <c r="K268" s="113">
        <v>1.4</v>
      </c>
      <c r="L268" s="113">
        <v>11.2</v>
      </c>
      <c r="M268" s="113">
        <v>0.9</v>
      </c>
      <c r="N268" s="113">
        <v>0.0</v>
      </c>
      <c r="O268" t="str">
        <f>IFERROR(__xludf.DUMMYFUNCTION("regexextract(B268,""[\w]* [\w]*"")"),"Gary Harris")</f>
        <v>Gary Harris</v>
      </c>
      <c r="P268" t="str">
        <f t="shared" si="2"/>
        <v>Gary Harris</v>
      </c>
      <c r="Q268" t="str">
        <f t="shared" si="3"/>
        <v>Gary Harris</v>
      </c>
      <c r="R268" t="s">
        <v>227</v>
      </c>
      <c r="S268" s="14" t="s">
        <v>34</v>
      </c>
      <c r="T268" t="s">
        <v>227</v>
      </c>
      <c r="U268" t="s">
        <v>227</v>
      </c>
      <c r="V268" t="s">
        <v>227</v>
      </c>
      <c r="W268" t="str">
        <f t="shared" si="1"/>
        <v>SG</v>
      </c>
    </row>
    <row r="269">
      <c r="A269" s="98">
        <v>257.0</v>
      </c>
      <c r="B269" s="99" t="s">
        <v>485</v>
      </c>
      <c r="C269" s="100"/>
      <c r="D269" s="100"/>
      <c r="E269" s="112">
        <v>2.1</v>
      </c>
      <c r="F269" s="112">
        <v>1.6</v>
      </c>
      <c r="G269" s="112">
        <v>3.6</v>
      </c>
      <c r="H269" s="112">
        <v>1.3</v>
      </c>
      <c r="I269" s="112">
        <v>0.6</v>
      </c>
      <c r="J269" s="112">
        <v>0.5</v>
      </c>
      <c r="K269" s="112">
        <v>1.0</v>
      </c>
      <c r="L269" s="112">
        <v>12.3</v>
      </c>
      <c r="M269" s="112">
        <v>31.3</v>
      </c>
      <c r="N269" s="116">
        <v>-2.4</v>
      </c>
      <c r="O269" t="str">
        <f>IFERROR(__xludf.DUMMYFUNCTION("regexextract(B269,""[\w]* [\w]*"")"),"Furkan Korkmaz")</f>
        <v>Furkan Korkmaz</v>
      </c>
      <c r="P269" t="str">
        <f t="shared" si="2"/>
        <v>Furkan Korkmaz</v>
      </c>
      <c r="Q269" t="str">
        <f t="shared" si="3"/>
        <v>Furkan Korkmaz</v>
      </c>
      <c r="R269" t="s">
        <v>227</v>
      </c>
      <c r="S269" s="14" t="s">
        <v>34</v>
      </c>
      <c r="T269" t="s">
        <v>227</v>
      </c>
      <c r="U269" t="s">
        <v>227</v>
      </c>
      <c r="V269" t="s">
        <v>227</v>
      </c>
      <c r="W269" t="str">
        <f t="shared" si="1"/>
        <v>SG</v>
      </c>
    </row>
    <row r="270">
      <c r="A270" s="101">
        <v>258.0</v>
      </c>
      <c r="B270" s="102" t="s">
        <v>486</v>
      </c>
      <c r="C270" s="103"/>
      <c r="D270" s="103"/>
      <c r="E270" s="113">
        <v>2.1</v>
      </c>
      <c r="F270" s="113">
        <v>0.8</v>
      </c>
      <c r="G270" s="113">
        <v>4.2</v>
      </c>
      <c r="H270" s="113">
        <v>1.0</v>
      </c>
      <c r="I270" s="113">
        <v>0.5</v>
      </c>
      <c r="J270" s="113">
        <v>0.9</v>
      </c>
      <c r="K270" s="113">
        <v>0.9</v>
      </c>
      <c r="L270" s="113">
        <v>9.9</v>
      </c>
      <c r="M270" s="113">
        <v>1.7</v>
      </c>
      <c r="N270" s="117">
        <v>-0.2</v>
      </c>
      <c r="O270" t="str">
        <f>IFERROR(__xludf.DUMMYFUNCTION("regexextract(B270,""[\w]* [\w]*"")"),"Austin Rivers")</f>
        <v>Austin Rivers</v>
      </c>
      <c r="P270" t="str">
        <f t="shared" si="2"/>
        <v>Austin Rivers</v>
      </c>
      <c r="Q270" t="str">
        <f t="shared" si="3"/>
        <v>Austin Rivers</v>
      </c>
      <c r="R270" t="s">
        <v>227</v>
      </c>
      <c r="S270" s="14" t="s">
        <v>34</v>
      </c>
      <c r="T270" t="s">
        <v>227</v>
      </c>
      <c r="U270" t="s">
        <v>227</v>
      </c>
      <c r="V270" t="s">
        <v>227</v>
      </c>
      <c r="W270" t="str">
        <f t="shared" si="1"/>
        <v>SG</v>
      </c>
    </row>
    <row r="271">
      <c r="A271" s="98">
        <v>259.0</v>
      </c>
      <c r="B271" s="99" t="s">
        <v>487</v>
      </c>
      <c r="C271" s="100"/>
      <c r="D271" s="100"/>
      <c r="E271" s="112">
        <v>1.2</v>
      </c>
      <c r="F271" s="112">
        <v>1.2</v>
      </c>
      <c r="G271" s="112">
        <v>3.2</v>
      </c>
      <c r="H271" s="112">
        <v>2.8</v>
      </c>
      <c r="I271" s="112">
        <v>1.2</v>
      </c>
      <c r="J271" s="112">
        <v>0.5</v>
      </c>
      <c r="K271" s="112">
        <v>1.4</v>
      </c>
      <c r="L271" s="112">
        <v>8.2</v>
      </c>
      <c r="M271" s="112">
        <v>1.2</v>
      </c>
      <c r="N271" s="112">
        <v>0.0</v>
      </c>
      <c r="O271" t="str">
        <f>IFERROR(__xludf.DUMMYFUNCTION("regexextract(B271,""[\w]* [\w]*"")"),"Jamal MurrayO")</f>
        <v>Jamal MurrayO</v>
      </c>
      <c r="P271" t="str">
        <f t="shared" si="2"/>
        <v>Jamal MurrayO</v>
      </c>
      <c r="Q271" t="str">
        <f t="shared" si="3"/>
        <v>Jamal Murray</v>
      </c>
      <c r="R271" t="s">
        <v>33</v>
      </c>
      <c r="S271" s="14" t="s">
        <v>34</v>
      </c>
      <c r="T271" t="s">
        <v>227</v>
      </c>
      <c r="U271" t="s">
        <v>227</v>
      </c>
      <c r="V271" t="s">
        <v>227</v>
      </c>
      <c r="W271" t="str">
        <f t="shared" si="1"/>
        <v>PGSG</v>
      </c>
    </row>
    <row r="272">
      <c r="A272" s="101">
        <v>260.0</v>
      </c>
      <c r="B272" s="102" t="s">
        <v>488</v>
      </c>
      <c r="C272" s="103"/>
      <c r="D272" s="103"/>
      <c r="E272" s="113">
        <v>2.1</v>
      </c>
      <c r="F272" s="113">
        <v>0.0</v>
      </c>
      <c r="G272" s="113">
        <v>5.3</v>
      </c>
      <c r="H272" s="113">
        <v>1.0</v>
      </c>
      <c r="I272" s="113">
        <v>0.7</v>
      </c>
      <c r="J272" s="113">
        <v>1.2</v>
      </c>
      <c r="K272" s="113">
        <v>0.6</v>
      </c>
      <c r="L272" s="113">
        <v>6.9</v>
      </c>
      <c r="M272" s="113">
        <v>1.7</v>
      </c>
      <c r="N272" s="114">
        <f>+0.2</f>
        <v>0.2</v>
      </c>
      <c r="O272" t="str">
        <f>IFERROR(__xludf.DUMMYFUNCTION("regexextract(B272,""[\w]* [\w]*"")"),"Trevor ArizaO")</f>
        <v>Trevor ArizaO</v>
      </c>
      <c r="P272" t="str">
        <f t="shared" si="2"/>
        <v>Trevor ArizaO</v>
      </c>
      <c r="Q272" t="str">
        <f t="shared" si="3"/>
        <v>Trevor Ariza</v>
      </c>
      <c r="R272" t="s">
        <v>227</v>
      </c>
      <c r="S272" s="14" t="s">
        <v>227</v>
      </c>
      <c r="T272" t="s">
        <v>35</v>
      </c>
      <c r="U272" t="s">
        <v>227</v>
      </c>
      <c r="V272" t="s">
        <v>227</v>
      </c>
      <c r="W272" t="str">
        <f t="shared" si="1"/>
        <v>SF</v>
      </c>
    </row>
    <row r="273">
      <c r="A273" s="98">
        <v>261.0</v>
      </c>
      <c r="B273" s="99" t="s">
        <v>489</v>
      </c>
      <c r="C273" s="100"/>
      <c r="D273" s="100"/>
      <c r="E273" s="112">
        <v>2.8</v>
      </c>
      <c r="F273" s="112">
        <v>1.5</v>
      </c>
      <c r="G273" s="112">
        <v>4.5</v>
      </c>
      <c r="H273" s="112">
        <v>1.8</v>
      </c>
      <c r="I273" s="112">
        <v>0.8</v>
      </c>
      <c r="J273" s="112">
        <v>0.4</v>
      </c>
      <c r="K273" s="112">
        <v>1.5</v>
      </c>
      <c r="L273" s="112">
        <v>13.2</v>
      </c>
      <c r="M273" s="112">
        <v>42.9</v>
      </c>
      <c r="N273" s="116">
        <v>-13.0</v>
      </c>
      <c r="O273" t="str">
        <f>IFERROR(__xludf.DUMMYFUNCTION("regexextract(B273,""[\w]* [\w]*"")"),"Luke Kennard")</f>
        <v>Luke Kennard</v>
      </c>
      <c r="P273" t="str">
        <f t="shared" si="2"/>
        <v>Luke Kennard</v>
      </c>
      <c r="Q273" t="str">
        <f t="shared" si="3"/>
        <v>Luke Kennard</v>
      </c>
      <c r="R273" t="s">
        <v>227</v>
      </c>
      <c r="S273" s="14" t="s">
        <v>34</v>
      </c>
      <c r="T273" t="s">
        <v>227</v>
      </c>
      <c r="U273" t="s">
        <v>227</v>
      </c>
      <c r="V273" t="s">
        <v>37</v>
      </c>
      <c r="W273" t="str">
        <f t="shared" si="1"/>
        <v>SGC</v>
      </c>
    </row>
    <row r="274">
      <c r="A274" s="101">
        <v>262.0</v>
      </c>
      <c r="B274" s="102" t="s">
        <v>490</v>
      </c>
      <c r="C274" s="103"/>
      <c r="D274" s="103"/>
      <c r="E274" s="113">
        <v>3.3</v>
      </c>
      <c r="F274" s="113">
        <v>1.2</v>
      </c>
      <c r="G274" s="113">
        <v>3.9</v>
      </c>
      <c r="H274" s="113">
        <v>2.2</v>
      </c>
      <c r="I274" s="113">
        <v>0.8</v>
      </c>
      <c r="J274" s="113">
        <v>0.7</v>
      </c>
      <c r="K274" s="113">
        <v>2.1</v>
      </c>
      <c r="L274" s="113">
        <v>12.5</v>
      </c>
      <c r="M274" s="113">
        <v>1.7</v>
      </c>
      <c r="N274" s="117">
        <v>-0.2</v>
      </c>
      <c r="O274" t="str">
        <f>IFERROR(__xludf.DUMMYFUNCTION("regexextract(B274,""[\w]* [\w]*"")"),"Wayne Ellington")</f>
        <v>Wayne Ellington</v>
      </c>
      <c r="P274" t="str">
        <f t="shared" si="2"/>
        <v>Wayne Ellington</v>
      </c>
      <c r="Q274" t="str">
        <f t="shared" si="3"/>
        <v>Wayne Ellington</v>
      </c>
      <c r="R274" t="s">
        <v>227</v>
      </c>
      <c r="S274" s="14" t="s">
        <v>34</v>
      </c>
      <c r="T274" t="s">
        <v>227</v>
      </c>
      <c r="U274" t="s">
        <v>227</v>
      </c>
      <c r="V274" t="s">
        <v>227</v>
      </c>
      <c r="W274" t="str">
        <f t="shared" si="1"/>
        <v>SG</v>
      </c>
    </row>
    <row r="275">
      <c r="A275" s="98">
        <v>263.0</v>
      </c>
      <c r="B275" s="99" t="s">
        <v>491</v>
      </c>
      <c r="C275" s="100"/>
      <c r="D275" s="100"/>
      <c r="E275" s="112">
        <v>1.3</v>
      </c>
      <c r="F275" s="112">
        <v>1.0</v>
      </c>
      <c r="G275" s="112">
        <v>4.8</v>
      </c>
      <c r="H275" s="112">
        <v>2.6</v>
      </c>
      <c r="I275" s="112">
        <v>0.6</v>
      </c>
      <c r="J275" s="112">
        <v>0.9</v>
      </c>
      <c r="K275" s="112">
        <v>1.1</v>
      </c>
      <c r="L275" s="112">
        <v>6.6</v>
      </c>
      <c r="M275" s="112">
        <v>1.5</v>
      </c>
      <c r="N275" s="112">
        <v>0.0</v>
      </c>
      <c r="O275" t="str">
        <f>IFERROR(__xludf.DUMMYFUNCTION("regexextract(B275,""[\w]* [\w]*"")"),"Kenyon Martin")</f>
        <v>Kenyon Martin</v>
      </c>
      <c r="P275" t="str">
        <f t="shared" si="2"/>
        <v>Kenyon Martin</v>
      </c>
      <c r="Q275" t="str">
        <f t="shared" si="3"/>
        <v>Kenyon Martin</v>
      </c>
      <c r="R275" t="s">
        <v>227</v>
      </c>
      <c r="S275" s="14" t="s">
        <v>227</v>
      </c>
      <c r="T275" t="s">
        <v>35</v>
      </c>
      <c r="U275" t="s">
        <v>227</v>
      </c>
      <c r="V275" t="s">
        <v>227</v>
      </c>
      <c r="W275" t="str">
        <f t="shared" si="1"/>
        <v>SF</v>
      </c>
    </row>
    <row r="276">
      <c r="A276" s="101">
        <v>264.0</v>
      </c>
      <c r="B276" s="102" t="s">
        <v>492</v>
      </c>
      <c r="C276" s="103"/>
      <c r="D276" s="103"/>
      <c r="E276" s="113">
        <v>1.2</v>
      </c>
      <c r="F276" s="113">
        <v>2.5</v>
      </c>
      <c r="G276" s="113">
        <v>2.2</v>
      </c>
      <c r="H276" s="113">
        <v>1.4</v>
      </c>
      <c r="I276" s="113">
        <v>0.5</v>
      </c>
      <c r="J276" s="113">
        <v>0.0</v>
      </c>
      <c r="K276" s="113">
        <v>0.9</v>
      </c>
      <c r="L276" s="113">
        <v>12.2</v>
      </c>
      <c r="M276" s="113">
        <v>0.6</v>
      </c>
      <c r="N276" s="114">
        <f t="shared" ref="N276:N277" si="10">+0.1</f>
        <v>0.1</v>
      </c>
      <c r="O276" t="str">
        <f>IFERROR(__xludf.DUMMYFUNCTION("regexextract(B276,""[\w]* [\w]*"")"),"Justise Winslow")</f>
        <v>Justise Winslow</v>
      </c>
      <c r="P276" t="str">
        <f t="shared" si="2"/>
        <v>Justise Winslow</v>
      </c>
      <c r="Q276" t="str">
        <f t="shared" si="3"/>
        <v>Justise Winslow</v>
      </c>
      <c r="R276" t="s">
        <v>227</v>
      </c>
      <c r="S276" s="14" t="s">
        <v>227</v>
      </c>
      <c r="T276" t="s">
        <v>35</v>
      </c>
      <c r="U276" t="s">
        <v>227</v>
      </c>
      <c r="V276" t="s">
        <v>37</v>
      </c>
      <c r="W276" t="str">
        <f t="shared" si="1"/>
        <v>SFC</v>
      </c>
    </row>
    <row r="277">
      <c r="A277" s="98">
        <v>265.0</v>
      </c>
      <c r="B277" s="99" t="s">
        <v>493</v>
      </c>
      <c r="C277" s="100"/>
      <c r="D277" s="100"/>
      <c r="E277" s="112">
        <v>2.9</v>
      </c>
      <c r="F277" s="112">
        <v>1.1</v>
      </c>
      <c r="G277" s="112">
        <v>2.1</v>
      </c>
      <c r="H277" s="112">
        <v>3.5</v>
      </c>
      <c r="I277" s="112">
        <v>0.7</v>
      </c>
      <c r="J277" s="112">
        <v>0.1</v>
      </c>
      <c r="K277" s="112">
        <v>1.7</v>
      </c>
      <c r="L277" s="112">
        <v>11.8</v>
      </c>
      <c r="M277" s="112">
        <v>1.8</v>
      </c>
      <c r="N277" s="115">
        <f t="shared" si="10"/>
        <v>0.1</v>
      </c>
      <c r="O277" t="str">
        <f>IFERROR(__xludf.DUMMYFUNCTION("regexextract(B277,""[\w]* [\w]*"")"),"JaVale McGee")</f>
        <v>JaVale McGee</v>
      </c>
      <c r="P277" t="str">
        <f t="shared" si="2"/>
        <v>JaVale McGee</v>
      </c>
      <c r="Q277" t="str">
        <f t="shared" si="3"/>
        <v>JaVale McGee</v>
      </c>
      <c r="R277" t="s">
        <v>227</v>
      </c>
      <c r="S277" s="14" t="s">
        <v>227</v>
      </c>
      <c r="T277" t="s">
        <v>227</v>
      </c>
      <c r="U277" t="s">
        <v>227</v>
      </c>
      <c r="V277" t="s">
        <v>37</v>
      </c>
      <c r="W277" t="str">
        <f t="shared" si="1"/>
        <v>C</v>
      </c>
    </row>
    <row r="278">
      <c r="A278" s="101">
        <v>266.0</v>
      </c>
      <c r="B278" s="102" t="s">
        <v>494</v>
      </c>
      <c r="C278" s="103"/>
      <c r="D278" s="103"/>
      <c r="E278" s="113">
        <v>1.7</v>
      </c>
      <c r="F278" s="113">
        <v>1.3</v>
      </c>
      <c r="G278" s="113">
        <v>2.9</v>
      </c>
      <c r="H278" s="113">
        <v>2.4</v>
      </c>
      <c r="I278" s="113">
        <v>0.9</v>
      </c>
      <c r="J278" s="113">
        <v>0.4</v>
      </c>
      <c r="K278" s="113">
        <v>1.2</v>
      </c>
      <c r="L278" s="113">
        <v>10.9</v>
      </c>
      <c r="M278" s="113">
        <v>2.1</v>
      </c>
      <c r="N278" s="117">
        <v>-0.2</v>
      </c>
      <c r="O278" t="str">
        <f>IFERROR(__xludf.DUMMYFUNCTION("regexextract(B278,""[\w]* [\w]*"")"),"Jordan Poole")</f>
        <v>Jordan Poole</v>
      </c>
      <c r="P278" t="str">
        <f t="shared" si="2"/>
        <v>Jordan Poole</v>
      </c>
      <c r="Q278" t="str">
        <f t="shared" si="3"/>
        <v>Jordan Poole</v>
      </c>
      <c r="R278" t="s">
        <v>33</v>
      </c>
      <c r="S278" s="14" t="s">
        <v>34</v>
      </c>
      <c r="T278" t="s">
        <v>227</v>
      </c>
      <c r="U278" t="s">
        <v>227</v>
      </c>
      <c r="V278" t="s">
        <v>227</v>
      </c>
      <c r="W278" t="str">
        <f t="shared" si="1"/>
        <v>PGSG</v>
      </c>
    </row>
    <row r="279">
      <c r="A279" s="98">
        <v>267.0</v>
      </c>
      <c r="B279" s="99" t="s">
        <v>495</v>
      </c>
      <c r="C279" s="100"/>
      <c r="D279" s="100"/>
      <c r="E279" s="112">
        <v>2.0</v>
      </c>
      <c r="F279" s="112">
        <v>0.7</v>
      </c>
      <c r="G279" s="112">
        <v>4.5</v>
      </c>
      <c r="H279" s="112">
        <v>1.5</v>
      </c>
      <c r="I279" s="112">
        <v>0.8</v>
      </c>
      <c r="J279" s="112">
        <v>0.6</v>
      </c>
      <c r="K279" s="112">
        <v>0.9</v>
      </c>
      <c r="L279" s="112">
        <v>8.6</v>
      </c>
      <c r="M279" s="112">
        <v>1.5</v>
      </c>
      <c r="N279" s="116">
        <v>-0.1</v>
      </c>
      <c r="O279" t="str">
        <f>IFERROR(__xludf.DUMMYFUNCTION("regexextract(B279,""[\w]* [\w]*"")"),"Juancho HernangomezDTD")</f>
        <v>Juancho HernangomezDTD</v>
      </c>
      <c r="P279" t="str">
        <f t="shared" si="2"/>
        <v>Juancho Hernangomez</v>
      </c>
      <c r="Q279" t="str">
        <f t="shared" si="3"/>
        <v>Juancho Hernangomez</v>
      </c>
      <c r="R279" t="s">
        <v>227</v>
      </c>
      <c r="S279" s="14" t="s">
        <v>227</v>
      </c>
      <c r="T279" t="s">
        <v>35</v>
      </c>
      <c r="U279" t="s">
        <v>36</v>
      </c>
      <c r="V279" t="s">
        <v>37</v>
      </c>
      <c r="W279" t="str">
        <f t="shared" si="1"/>
        <v>SFPFC</v>
      </c>
    </row>
    <row r="280">
      <c r="A280" s="101">
        <v>268.0</v>
      </c>
      <c r="B280" s="102" t="s">
        <v>496</v>
      </c>
      <c r="C280" s="103"/>
      <c r="D280" s="103"/>
      <c r="E280" s="113">
        <v>1.0</v>
      </c>
      <c r="F280" s="113">
        <v>1.6</v>
      </c>
      <c r="G280" s="113">
        <v>5.2</v>
      </c>
      <c r="H280" s="113">
        <v>1.2</v>
      </c>
      <c r="I280" s="113">
        <v>0.4</v>
      </c>
      <c r="J280" s="113">
        <v>0.9</v>
      </c>
      <c r="K280" s="113">
        <v>0.7</v>
      </c>
      <c r="L280" s="113">
        <v>7.7</v>
      </c>
      <c r="M280" s="113">
        <v>0.6</v>
      </c>
      <c r="N280" s="114">
        <f>+0.1</f>
        <v>0.1</v>
      </c>
      <c r="O280" t="str">
        <f>IFERROR(__xludf.DUMMYFUNCTION("regexextract(B280,""[\w]* [\w]*"")"),"PJ Dozier")</f>
        <v>PJ Dozier</v>
      </c>
      <c r="P280" t="str">
        <f t="shared" si="2"/>
        <v>PJ Dozier</v>
      </c>
      <c r="Q280" t="str">
        <f t="shared" si="3"/>
        <v>PJ Dozier</v>
      </c>
      <c r="R280" t="s">
        <v>33</v>
      </c>
      <c r="S280" s="14" t="s">
        <v>227</v>
      </c>
      <c r="T280" t="s">
        <v>227</v>
      </c>
      <c r="U280" t="s">
        <v>227</v>
      </c>
      <c r="V280" t="s">
        <v>227</v>
      </c>
      <c r="W280" t="str">
        <f t="shared" si="1"/>
        <v>PG</v>
      </c>
    </row>
    <row r="281">
      <c r="A281" s="98">
        <v>269.0</v>
      </c>
      <c r="B281" s="99" t="s">
        <v>497</v>
      </c>
      <c r="C281" s="100"/>
      <c r="D281" s="100"/>
      <c r="E281" s="112">
        <v>3.6</v>
      </c>
      <c r="F281" s="112">
        <v>2.0</v>
      </c>
      <c r="G281" s="112">
        <v>4.2</v>
      </c>
      <c r="H281" s="112">
        <v>1.6</v>
      </c>
      <c r="I281" s="112">
        <v>0.6</v>
      </c>
      <c r="J281" s="112">
        <v>0.2</v>
      </c>
      <c r="K281" s="112">
        <v>0.9</v>
      </c>
      <c r="L281" s="112">
        <v>13.7</v>
      </c>
      <c r="M281" s="112">
        <v>4.9</v>
      </c>
      <c r="N281" s="116">
        <v>-0.6</v>
      </c>
      <c r="O281" t="str">
        <f>IFERROR(__xludf.DUMMYFUNCTION("regexextract(B281,""[\w]* [\w]*"")"),"Torrey Craig")</f>
        <v>Torrey Craig</v>
      </c>
      <c r="P281" t="str">
        <f t="shared" si="2"/>
        <v>Torrey Craig</v>
      </c>
      <c r="Q281" t="str">
        <f t="shared" si="3"/>
        <v>Torrey Craig</v>
      </c>
      <c r="R281" t="s">
        <v>227</v>
      </c>
      <c r="S281" s="14" t="s">
        <v>227</v>
      </c>
      <c r="T281" t="s">
        <v>35</v>
      </c>
      <c r="U281" t="s">
        <v>227</v>
      </c>
      <c r="V281" t="s">
        <v>37</v>
      </c>
      <c r="W281" t="str">
        <f t="shared" si="1"/>
        <v>SFC</v>
      </c>
    </row>
    <row r="282">
      <c r="A282" s="101">
        <v>270.0</v>
      </c>
      <c r="B282" s="102" t="s">
        <v>498</v>
      </c>
      <c r="C282" s="103"/>
      <c r="D282" s="103"/>
      <c r="E282" s="113">
        <v>2.9</v>
      </c>
      <c r="F282" s="113">
        <v>0.1</v>
      </c>
      <c r="G282" s="113">
        <v>7.7</v>
      </c>
      <c r="H282" s="113">
        <v>0.8</v>
      </c>
      <c r="I282" s="113">
        <v>0.4</v>
      </c>
      <c r="J282" s="113">
        <v>0.9</v>
      </c>
      <c r="K282" s="113">
        <v>1.4</v>
      </c>
      <c r="L282" s="113">
        <v>7.0</v>
      </c>
      <c r="M282" s="113">
        <v>10.4</v>
      </c>
      <c r="N282" s="117">
        <v>-0.4</v>
      </c>
      <c r="O282" t="str">
        <f>IFERROR(__xludf.DUMMYFUNCTION("regexextract(B282,""[\w]* [\w]*"")"),"DeAndre Jordan")</f>
        <v>DeAndre Jordan</v>
      </c>
      <c r="P282" t="str">
        <f t="shared" si="2"/>
        <v>DeAndre Jordan</v>
      </c>
      <c r="Q282" t="str">
        <f t="shared" si="3"/>
        <v>DeAndre Jordan</v>
      </c>
      <c r="R282" t="s">
        <v>227</v>
      </c>
      <c r="S282" s="14" t="s">
        <v>227</v>
      </c>
      <c r="T282" t="s">
        <v>227</v>
      </c>
      <c r="U282" t="s">
        <v>227</v>
      </c>
      <c r="V282" t="s">
        <v>37</v>
      </c>
      <c r="W282" t="str">
        <f t="shared" si="1"/>
        <v>C</v>
      </c>
    </row>
    <row r="283">
      <c r="A283" s="98">
        <v>271.0</v>
      </c>
      <c r="B283" s="99" t="s">
        <v>499</v>
      </c>
      <c r="C283" s="100"/>
      <c r="D283" s="100"/>
      <c r="E283" s="112">
        <v>1.6</v>
      </c>
      <c r="F283" s="112">
        <v>1.6</v>
      </c>
      <c r="G283" s="112">
        <v>2.4</v>
      </c>
      <c r="H283" s="112">
        <v>1.6</v>
      </c>
      <c r="I283" s="112">
        <v>0.8</v>
      </c>
      <c r="J283" s="112">
        <v>0.3</v>
      </c>
      <c r="K283" s="112">
        <v>0.9</v>
      </c>
      <c r="L283" s="112">
        <v>9.4</v>
      </c>
      <c r="M283" s="112">
        <v>3.5</v>
      </c>
      <c r="N283" s="116">
        <v>-0.6</v>
      </c>
      <c r="O283" t="str">
        <f>IFERROR(__xludf.DUMMYFUNCTION("regexextract(B283,""[\w]* [\w]*"")"),"Eric Paschall")</f>
        <v>Eric Paschall</v>
      </c>
      <c r="P283" t="str">
        <f t="shared" si="2"/>
        <v>Eric Paschall</v>
      </c>
      <c r="Q283" t="str">
        <f t="shared" si="3"/>
        <v>Eric Paschall</v>
      </c>
      <c r="R283" t="s">
        <v>227</v>
      </c>
      <c r="S283" s="14" t="s">
        <v>227</v>
      </c>
      <c r="T283" t="s">
        <v>227</v>
      </c>
      <c r="U283" t="s">
        <v>36</v>
      </c>
      <c r="V283" t="s">
        <v>37</v>
      </c>
      <c r="W283" t="str">
        <f t="shared" si="1"/>
        <v>PFC</v>
      </c>
    </row>
    <row r="284">
      <c r="A284" s="101">
        <v>272.0</v>
      </c>
      <c r="B284" s="102" t="s">
        <v>500</v>
      </c>
      <c r="C284" s="103"/>
      <c r="D284" s="103"/>
      <c r="E284" s="113">
        <v>2.5</v>
      </c>
      <c r="F284" s="113">
        <v>0.2</v>
      </c>
      <c r="G284" s="113">
        <v>4.7</v>
      </c>
      <c r="H284" s="113">
        <v>1.2</v>
      </c>
      <c r="I284" s="113">
        <v>0.7</v>
      </c>
      <c r="J284" s="113">
        <v>0.6</v>
      </c>
      <c r="K284" s="113">
        <v>0.8</v>
      </c>
      <c r="L284" s="113">
        <v>7.7</v>
      </c>
      <c r="M284" s="113">
        <v>0.4</v>
      </c>
      <c r="N284" s="114">
        <f>+0.1</f>
        <v>0.1</v>
      </c>
      <c r="O284" t="str">
        <f>IFERROR(__xludf.DUMMYFUNCTION("regexextract(B284,""[\w]* [\w]*"")"),"Aaron Holiday")</f>
        <v>Aaron Holiday</v>
      </c>
      <c r="P284" t="str">
        <f t="shared" si="2"/>
        <v>Aaron Holiday</v>
      </c>
      <c r="Q284" t="str">
        <f t="shared" si="3"/>
        <v>Aaron Holiday</v>
      </c>
      <c r="R284" t="s">
        <v>33</v>
      </c>
      <c r="S284" s="14" t="s">
        <v>34</v>
      </c>
      <c r="T284" t="s">
        <v>227</v>
      </c>
      <c r="U284" t="s">
        <v>227</v>
      </c>
      <c r="V284" t="s">
        <v>227</v>
      </c>
      <c r="W284" t="str">
        <f t="shared" si="1"/>
        <v>PGSG</v>
      </c>
    </row>
    <row r="285">
      <c r="A285" s="98">
        <v>273.0</v>
      </c>
      <c r="B285" s="99" t="s">
        <v>501</v>
      </c>
      <c r="C285" s="100"/>
      <c r="D285" s="100"/>
      <c r="E285" s="112">
        <v>1.8</v>
      </c>
      <c r="F285" s="112">
        <v>0.0</v>
      </c>
      <c r="G285" s="112">
        <v>5.2</v>
      </c>
      <c r="H285" s="112">
        <v>0.6</v>
      </c>
      <c r="I285" s="112">
        <v>0.7</v>
      </c>
      <c r="J285" s="112">
        <v>1.1</v>
      </c>
      <c r="K285" s="112">
        <v>0.9</v>
      </c>
      <c r="L285" s="112">
        <v>7.1</v>
      </c>
      <c r="M285" s="112">
        <v>0.7</v>
      </c>
      <c r="N285" s="112">
        <v>0.0</v>
      </c>
      <c r="O285" t="str">
        <f>IFERROR(__xludf.DUMMYFUNCTION("regexextract(B285,""[\w]* [\w]*"")"),"Raul Neto")</f>
        <v>Raul Neto</v>
      </c>
      <c r="P285" t="str">
        <f t="shared" si="2"/>
        <v>Raul Neto</v>
      </c>
      <c r="Q285" t="str">
        <f t="shared" si="3"/>
        <v>Raul Net</v>
      </c>
      <c r="R285" t="s">
        <v>33</v>
      </c>
      <c r="S285" s="14" t="s">
        <v>227</v>
      </c>
      <c r="T285" t="s">
        <v>227</v>
      </c>
      <c r="U285" t="s">
        <v>227</v>
      </c>
      <c r="V285" t="s">
        <v>227</v>
      </c>
      <c r="W285" t="str">
        <f t="shared" si="1"/>
        <v>PG</v>
      </c>
    </row>
    <row r="286">
      <c r="A286" s="101">
        <v>274.0</v>
      </c>
      <c r="B286" s="102" t="s">
        <v>502</v>
      </c>
      <c r="C286" s="103"/>
      <c r="D286" s="103"/>
      <c r="E286" s="113">
        <v>0.9</v>
      </c>
      <c r="F286" s="113">
        <v>1.8</v>
      </c>
      <c r="G286" s="113">
        <v>2.9</v>
      </c>
      <c r="H286" s="113">
        <v>1.3</v>
      </c>
      <c r="I286" s="113">
        <v>0.9</v>
      </c>
      <c r="J286" s="113">
        <v>0.5</v>
      </c>
      <c r="K286" s="113">
        <v>0.7</v>
      </c>
      <c r="L286" s="113">
        <v>8.1</v>
      </c>
      <c r="M286" s="113">
        <v>3.0</v>
      </c>
      <c r="N286" s="117">
        <v>-0.4</v>
      </c>
      <c r="O286" t="str">
        <f>IFERROR(__xludf.DUMMYFUNCTION("regexextract(B286,""[\w]* [\w]*"")"),"Sterling Brown")</f>
        <v>Sterling Brown</v>
      </c>
      <c r="P286" t="str">
        <f t="shared" si="2"/>
        <v>Sterling Brown</v>
      </c>
      <c r="Q286" t="str">
        <f t="shared" si="3"/>
        <v>Sterling Brown</v>
      </c>
      <c r="R286" t="s">
        <v>227</v>
      </c>
      <c r="S286" s="14" t="s">
        <v>34</v>
      </c>
      <c r="T286" t="s">
        <v>35</v>
      </c>
      <c r="U286" t="s">
        <v>227</v>
      </c>
      <c r="V286" t="s">
        <v>227</v>
      </c>
      <c r="W286" t="str">
        <f t="shared" si="1"/>
        <v>SGSF</v>
      </c>
    </row>
    <row r="287">
      <c r="A287" s="98">
        <v>275.0</v>
      </c>
      <c r="B287" s="99" t="s">
        <v>503</v>
      </c>
      <c r="C287" s="100"/>
      <c r="D287" s="100"/>
      <c r="E287" s="112">
        <v>1.5</v>
      </c>
      <c r="F287" s="112">
        <v>1.7</v>
      </c>
      <c r="G287" s="112">
        <v>3.9</v>
      </c>
      <c r="H287" s="112">
        <v>1.7</v>
      </c>
      <c r="I287" s="112">
        <v>0.7</v>
      </c>
      <c r="J287" s="112">
        <v>0.4</v>
      </c>
      <c r="K287" s="112">
        <v>1.4</v>
      </c>
      <c r="L287" s="112">
        <v>9.9</v>
      </c>
      <c r="M287" s="112">
        <v>0.4</v>
      </c>
      <c r="N287" s="112">
        <v>0.0</v>
      </c>
      <c r="O287" t="str">
        <f>IFERROR(__xludf.DUMMYFUNCTION("regexextract(B287,""[\w]* [\w]*"")"),"Moritz Wagner")</f>
        <v>Moritz Wagner</v>
      </c>
      <c r="P287" t="str">
        <f t="shared" si="2"/>
        <v>Moritz Wagner</v>
      </c>
      <c r="Q287" t="str">
        <f t="shared" si="3"/>
        <v>Moritz Wagner</v>
      </c>
      <c r="R287" t="s">
        <v>227</v>
      </c>
      <c r="S287" s="14" t="s">
        <v>227</v>
      </c>
      <c r="T287" t="s">
        <v>227</v>
      </c>
      <c r="U287" t="s">
        <v>36</v>
      </c>
      <c r="V287" t="s">
        <v>37</v>
      </c>
      <c r="W287" t="str">
        <f t="shared" si="1"/>
        <v>PFC</v>
      </c>
    </row>
    <row r="288">
      <c r="A288" s="101">
        <v>276.0</v>
      </c>
      <c r="B288" s="102" t="s">
        <v>504</v>
      </c>
      <c r="C288" s="103"/>
      <c r="D288" s="103"/>
      <c r="E288" s="113">
        <v>1.1</v>
      </c>
      <c r="F288" s="113">
        <v>1.4</v>
      </c>
      <c r="G288" s="113">
        <v>4.1</v>
      </c>
      <c r="H288" s="113">
        <v>2.8</v>
      </c>
      <c r="I288" s="113">
        <v>0.8</v>
      </c>
      <c r="J288" s="113">
        <v>0.6</v>
      </c>
      <c r="K288" s="113">
        <v>1.0</v>
      </c>
      <c r="L288" s="113">
        <v>7.1</v>
      </c>
      <c r="M288" s="113">
        <v>1.5</v>
      </c>
      <c r="N288" s="117">
        <v>-0.2</v>
      </c>
      <c r="O288" t="str">
        <f>IFERROR(__xludf.DUMMYFUNCTION("regexextract(B288,""[\w]* [\w]*"")"),"Jalen McDaniels")</f>
        <v>Jalen McDaniels</v>
      </c>
      <c r="P288" t="str">
        <f t="shared" si="2"/>
        <v>Jalen McDaniels</v>
      </c>
      <c r="Q288" t="str">
        <f t="shared" si="3"/>
        <v>Jalen McDaniels</v>
      </c>
      <c r="R288" t="s">
        <v>227</v>
      </c>
      <c r="S288" s="14" t="s">
        <v>227</v>
      </c>
      <c r="T288" t="s">
        <v>227</v>
      </c>
      <c r="U288" t="s">
        <v>36</v>
      </c>
      <c r="V288" t="s">
        <v>37</v>
      </c>
      <c r="W288" t="str">
        <f t="shared" si="1"/>
        <v>PFC</v>
      </c>
    </row>
    <row r="289">
      <c r="A289" s="98">
        <v>277.0</v>
      </c>
      <c r="B289" s="99" t="s">
        <v>505</v>
      </c>
      <c r="C289" s="100"/>
      <c r="D289" s="100"/>
      <c r="E289" s="112">
        <v>0.6</v>
      </c>
      <c r="F289" s="112">
        <v>0.8</v>
      </c>
      <c r="G289" s="112">
        <v>3.0</v>
      </c>
      <c r="H289" s="112">
        <v>5.2</v>
      </c>
      <c r="I289" s="112">
        <v>0.9</v>
      </c>
      <c r="J289" s="112">
        <v>0.1</v>
      </c>
      <c r="K289" s="112">
        <v>2.0</v>
      </c>
      <c r="L289" s="112">
        <v>6.5</v>
      </c>
      <c r="M289" s="112">
        <v>3.1</v>
      </c>
      <c r="N289" s="115">
        <f>+0.3</f>
        <v>0.3</v>
      </c>
      <c r="O289" t="str">
        <f>IFERROR(__xludf.DUMMYFUNCTION("regexextract(B289,""[\w]* [\w]*"")"),"Dwayne Bacon")</f>
        <v>Dwayne Bacon</v>
      </c>
      <c r="P289" t="str">
        <f t="shared" si="2"/>
        <v>Dwayne Bacon</v>
      </c>
      <c r="Q289" t="str">
        <f t="shared" si="3"/>
        <v>Dwayne Bacon</v>
      </c>
      <c r="R289" t="s">
        <v>227</v>
      </c>
      <c r="S289" s="14" t="s">
        <v>34</v>
      </c>
      <c r="T289" t="s">
        <v>227</v>
      </c>
      <c r="U289" t="s">
        <v>227</v>
      </c>
      <c r="V289" t="s">
        <v>37</v>
      </c>
      <c r="W289" t="str">
        <f t="shared" si="1"/>
        <v>SGC</v>
      </c>
    </row>
    <row r="290">
      <c r="A290" s="101">
        <v>278.0</v>
      </c>
      <c r="B290" s="102" t="s">
        <v>506</v>
      </c>
      <c r="C290" s="103"/>
      <c r="D290" s="103"/>
      <c r="E290" s="113">
        <v>2.1</v>
      </c>
      <c r="F290" s="113">
        <v>0.0</v>
      </c>
      <c r="G290" s="113">
        <v>7.6</v>
      </c>
      <c r="H290" s="113">
        <v>1.4</v>
      </c>
      <c r="I290" s="113">
        <v>0.4</v>
      </c>
      <c r="J290" s="113">
        <v>0.6</v>
      </c>
      <c r="K290" s="113">
        <v>1.2</v>
      </c>
      <c r="L290" s="113">
        <v>7.9</v>
      </c>
      <c r="M290" s="113">
        <v>1.5</v>
      </c>
      <c r="N290" s="117">
        <v>-0.1</v>
      </c>
      <c r="O290" t="str">
        <f>IFERROR(__xludf.DUMMYFUNCTION("regexextract(B290,""[\w]* [\w]*"")"),"Damion Lee")</f>
        <v>Damion Lee</v>
      </c>
      <c r="P290" t="str">
        <f t="shared" si="2"/>
        <v>Damion Lee</v>
      </c>
      <c r="Q290" t="str">
        <f t="shared" si="3"/>
        <v>Damion Lee</v>
      </c>
      <c r="R290" t="s">
        <v>227</v>
      </c>
      <c r="S290" s="14" t="s">
        <v>34</v>
      </c>
      <c r="T290" t="s">
        <v>35</v>
      </c>
      <c r="U290" t="s">
        <v>227</v>
      </c>
      <c r="V290" t="s">
        <v>227</v>
      </c>
      <c r="W290" t="str">
        <f t="shared" si="1"/>
        <v>SGSF</v>
      </c>
    </row>
    <row r="291">
      <c r="A291" s="98">
        <v>279.0</v>
      </c>
      <c r="B291" s="99" t="s">
        <v>507</v>
      </c>
      <c r="C291" s="100"/>
      <c r="D291" s="100"/>
      <c r="E291" s="112">
        <v>2.1</v>
      </c>
      <c r="F291" s="112">
        <v>1.3</v>
      </c>
      <c r="G291" s="112">
        <v>3.3</v>
      </c>
      <c r="H291" s="112">
        <v>1.3</v>
      </c>
      <c r="I291" s="112">
        <v>0.5</v>
      </c>
      <c r="J291" s="112">
        <v>0.4</v>
      </c>
      <c r="K291" s="112">
        <v>0.8</v>
      </c>
      <c r="L291" s="112">
        <v>9.6</v>
      </c>
      <c r="M291" s="112">
        <v>1.8</v>
      </c>
      <c r="N291" s="116">
        <v>-0.4</v>
      </c>
      <c r="O291" t="str">
        <f>IFERROR(__xludf.DUMMYFUNCTION("regexextract(B291,""[\w]* [\w]*"")"),"Aaron Nesmith")</f>
        <v>Aaron Nesmith</v>
      </c>
      <c r="P291" t="str">
        <f t="shared" si="2"/>
        <v>Aaron Nesmith</v>
      </c>
      <c r="Q291" t="str">
        <f t="shared" si="3"/>
        <v>Aaron Nesmith</v>
      </c>
      <c r="R291" t="s">
        <v>227</v>
      </c>
      <c r="S291" s="14" t="s">
        <v>227</v>
      </c>
      <c r="T291" t="s">
        <v>35</v>
      </c>
      <c r="U291" t="s">
        <v>227</v>
      </c>
      <c r="V291" t="s">
        <v>227</v>
      </c>
      <c r="W291" t="str">
        <f t="shared" si="1"/>
        <v>SF</v>
      </c>
    </row>
    <row r="292">
      <c r="A292" s="101">
        <v>280.0</v>
      </c>
      <c r="B292" s="102" t="s">
        <v>508</v>
      </c>
      <c r="C292" s="103"/>
      <c r="D292" s="103"/>
      <c r="E292" s="113">
        <v>1.0</v>
      </c>
      <c r="F292" s="113">
        <v>0.6</v>
      </c>
      <c r="G292" s="113">
        <v>2.5</v>
      </c>
      <c r="H292" s="113">
        <v>3.2</v>
      </c>
      <c r="I292" s="113">
        <v>0.8</v>
      </c>
      <c r="J292" s="113">
        <v>0.3</v>
      </c>
      <c r="K292" s="113">
        <v>1.0</v>
      </c>
      <c r="L292" s="113">
        <v>6.7</v>
      </c>
      <c r="M292" s="113">
        <v>2.1</v>
      </c>
      <c r="N292" s="117">
        <v>-0.7</v>
      </c>
      <c r="O292" t="str">
        <f>IFERROR(__xludf.DUMMYFUNCTION("regexextract(B292,""[\w]* [\w]*"")"),"Juan Toscano")</f>
        <v>Juan Toscano</v>
      </c>
      <c r="P292" t="str">
        <f t="shared" si="2"/>
        <v>Juan Toscano</v>
      </c>
      <c r="Q292" t="str">
        <f t="shared" si="3"/>
        <v>Juan Toscan</v>
      </c>
      <c r="R292" t="s">
        <v>227</v>
      </c>
      <c r="S292" s="14" t="s">
        <v>227</v>
      </c>
      <c r="T292" t="s">
        <v>35</v>
      </c>
      <c r="U292" t="s">
        <v>36</v>
      </c>
      <c r="V292" t="s">
        <v>37</v>
      </c>
      <c r="W292" t="str">
        <f t="shared" si="1"/>
        <v>SFPFC</v>
      </c>
    </row>
    <row r="293">
      <c r="A293" s="98">
        <v>281.0</v>
      </c>
      <c r="B293" s="99" t="s">
        <v>509</v>
      </c>
      <c r="C293" s="100"/>
      <c r="D293" s="100"/>
      <c r="E293" s="112">
        <v>1.2</v>
      </c>
      <c r="F293" s="112">
        <v>2.1</v>
      </c>
      <c r="G293" s="112">
        <v>1.6</v>
      </c>
      <c r="H293" s="112">
        <v>2.1</v>
      </c>
      <c r="I293" s="112">
        <v>0.6</v>
      </c>
      <c r="J293" s="112">
        <v>0.1</v>
      </c>
      <c r="K293" s="112">
        <v>0.9</v>
      </c>
      <c r="L293" s="112">
        <v>9.8</v>
      </c>
      <c r="M293" s="112">
        <v>3.2</v>
      </c>
      <c r="N293" s="112">
        <v>0.0</v>
      </c>
      <c r="O293" t="str">
        <f>IFERROR(__xludf.DUMMYFUNCTION("regexextract(B293,""[\w]* [\w]*"")"),"Josh Okogie")</f>
        <v>Josh Okogie</v>
      </c>
      <c r="P293" t="str">
        <f t="shared" si="2"/>
        <v>Josh Okogie</v>
      </c>
      <c r="Q293" t="str">
        <f t="shared" si="3"/>
        <v>Josh Okogie</v>
      </c>
      <c r="R293" t="s">
        <v>227</v>
      </c>
      <c r="S293" s="14" t="s">
        <v>34</v>
      </c>
      <c r="T293" t="s">
        <v>35</v>
      </c>
      <c r="U293" t="s">
        <v>227</v>
      </c>
      <c r="V293" t="s">
        <v>227</v>
      </c>
      <c r="W293" t="str">
        <f t="shared" si="1"/>
        <v>SGSF</v>
      </c>
    </row>
    <row r="294">
      <c r="A294" s="101">
        <v>282.0</v>
      </c>
      <c r="B294" s="102" t="s">
        <v>510</v>
      </c>
      <c r="C294" s="103"/>
      <c r="D294" s="103"/>
      <c r="E294" s="113">
        <v>1.2</v>
      </c>
      <c r="F294" s="113">
        <v>1.0</v>
      </c>
      <c r="G294" s="113">
        <v>1.7</v>
      </c>
      <c r="H294" s="113">
        <v>3.0</v>
      </c>
      <c r="I294" s="113">
        <v>0.9</v>
      </c>
      <c r="J294" s="113">
        <v>0.2</v>
      </c>
      <c r="K294" s="113">
        <v>0.8</v>
      </c>
      <c r="L294" s="113">
        <v>8.5</v>
      </c>
      <c r="M294" s="113">
        <v>0.9</v>
      </c>
      <c r="N294" s="117">
        <v>-0.1</v>
      </c>
      <c r="O294" t="str">
        <f>IFERROR(__xludf.DUMMYFUNCTION("regexextract(B294,""[\w]* [\w]*"")"),"Andre Iguodala")</f>
        <v>Andre Iguodala</v>
      </c>
      <c r="P294" t="str">
        <f t="shared" si="2"/>
        <v>Andre Iguodala</v>
      </c>
      <c r="Q294" t="str">
        <f t="shared" si="3"/>
        <v>Andre Iguodala</v>
      </c>
      <c r="R294" t="s">
        <v>227</v>
      </c>
      <c r="S294" s="14" t="s">
        <v>34</v>
      </c>
      <c r="T294" t="s">
        <v>35</v>
      </c>
      <c r="U294" t="s">
        <v>227</v>
      </c>
      <c r="V294" t="s">
        <v>227</v>
      </c>
      <c r="W294" t="str">
        <f t="shared" si="1"/>
        <v>SGSF</v>
      </c>
    </row>
    <row r="295">
      <c r="A295" s="98">
        <v>283.0</v>
      </c>
      <c r="B295" s="99" t="s">
        <v>511</v>
      </c>
      <c r="C295" s="100"/>
      <c r="D295" s="100"/>
      <c r="E295" s="112">
        <v>1.9</v>
      </c>
      <c r="F295" s="112">
        <v>1.4</v>
      </c>
      <c r="G295" s="112">
        <v>2.3</v>
      </c>
      <c r="H295" s="112">
        <v>2.1</v>
      </c>
      <c r="I295" s="112">
        <v>0.9</v>
      </c>
      <c r="J295" s="112">
        <v>0.3</v>
      </c>
      <c r="K295" s="112">
        <v>1.7</v>
      </c>
      <c r="L295" s="112">
        <v>9.7</v>
      </c>
      <c r="M295" s="112">
        <v>3.2</v>
      </c>
      <c r="N295" s="116">
        <v>-0.5</v>
      </c>
      <c r="O295" t="str">
        <f>IFERROR(__xludf.DUMMYFUNCTION("regexextract(B295,""[\w]* [\w]*"")"),"Kevon Looney")</f>
        <v>Kevon Looney</v>
      </c>
      <c r="P295" t="str">
        <f t="shared" si="2"/>
        <v>Kevon Looney</v>
      </c>
      <c r="Q295" t="str">
        <f t="shared" si="3"/>
        <v>Kevon Looney</v>
      </c>
      <c r="R295" t="s">
        <v>227</v>
      </c>
      <c r="S295" s="14" t="s">
        <v>227</v>
      </c>
      <c r="T295" t="s">
        <v>227</v>
      </c>
      <c r="U295" t="s">
        <v>36</v>
      </c>
      <c r="V295" t="s">
        <v>227</v>
      </c>
      <c r="W295" t="str">
        <f t="shared" si="1"/>
        <v>PF</v>
      </c>
    </row>
    <row r="296">
      <c r="A296" s="101">
        <v>284.0</v>
      </c>
      <c r="B296" s="102" t="s">
        <v>512</v>
      </c>
      <c r="C296" s="103"/>
      <c r="D296" s="103"/>
      <c r="E296" s="113">
        <v>2.2</v>
      </c>
      <c r="F296" s="113">
        <v>0.2</v>
      </c>
      <c r="G296" s="113">
        <v>2.4</v>
      </c>
      <c r="H296" s="113">
        <v>4.2</v>
      </c>
      <c r="I296" s="113">
        <v>0.8</v>
      </c>
      <c r="J296" s="113">
        <v>0.3</v>
      </c>
      <c r="K296" s="113">
        <v>1.3</v>
      </c>
      <c r="L296" s="113">
        <v>6.5</v>
      </c>
      <c r="M296" s="113">
        <v>0.2</v>
      </c>
      <c r="N296" s="114">
        <f>+0.1</f>
        <v>0.1</v>
      </c>
      <c r="O296" t="str">
        <f>IFERROR(__xludf.DUMMYFUNCTION("regexextract(B296,""[\w]* [\w]*"")"),"Mike Muscala")</f>
        <v>Mike Muscala</v>
      </c>
      <c r="P296" t="str">
        <f t="shared" si="2"/>
        <v>Mike Muscala</v>
      </c>
      <c r="Q296" t="str">
        <f t="shared" si="3"/>
        <v>Mike Muscala</v>
      </c>
      <c r="R296" t="s">
        <v>227</v>
      </c>
      <c r="S296" s="14" t="s">
        <v>227</v>
      </c>
      <c r="T296" t="s">
        <v>227</v>
      </c>
      <c r="U296" t="s">
        <v>36</v>
      </c>
      <c r="V296" t="s">
        <v>37</v>
      </c>
      <c r="W296" t="str">
        <f t="shared" si="1"/>
        <v>PFC</v>
      </c>
    </row>
    <row r="297">
      <c r="A297" s="98">
        <v>285.0</v>
      </c>
      <c r="B297" s="99" t="s">
        <v>513</v>
      </c>
      <c r="C297" s="100"/>
      <c r="D297" s="100"/>
      <c r="E297" s="112">
        <v>1.3</v>
      </c>
      <c r="F297" s="112">
        <v>0.6</v>
      </c>
      <c r="G297" s="112">
        <v>2.8</v>
      </c>
      <c r="H297" s="112">
        <v>2.7</v>
      </c>
      <c r="I297" s="112">
        <v>1.0</v>
      </c>
      <c r="J297" s="112">
        <v>0.3</v>
      </c>
      <c r="K297" s="112">
        <v>0.8</v>
      </c>
      <c r="L297" s="112">
        <v>6.3</v>
      </c>
      <c r="M297" s="112">
        <v>50.4</v>
      </c>
      <c r="N297" s="116">
        <v>-17.3</v>
      </c>
      <c r="O297" t="str">
        <f>IFERROR(__xludf.DUMMYFUNCTION("regexextract(B297,""[\w]* [\w]*"")"),"DeMarcus Cousins")</f>
        <v>DeMarcus Cousins</v>
      </c>
      <c r="P297" t="str">
        <f t="shared" si="2"/>
        <v>DeMarcus Cousins</v>
      </c>
      <c r="Q297" t="str">
        <f t="shared" si="3"/>
        <v>DeMarcus Cousins</v>
      </c>
      <c r="R297" t="s">
        <v>227</v>
      </c>
      <c r="S297" s="14" t="s">
        <v>227</v>
      </c>
      <c r="T297" t="s">
        <v>227</v>
      </c>
      <c r="U297" t="s">
        <v>227</v>
      </c>
      <c r="V297" t="s">
        <v>37</v>
      </c>
      <c r="W297" t="str">
        <f t="shared" si="1"/>
        <v>C</v>
      </c>
    </row>
    <row r="298">
      <c r="A298" s="101">
        <v>286.0</v>
      </c>
      <c r="B298" s="102" t="s">
        <v>514</v>
      </c>
      <c r="C298" s="103"/>
      <c r="D298" s="103"/>
      <c r="E298" s="113">
        <v>0.6</v>
      </c>
      <c r="F298" s="113">
        <v>1.2</v>
      </c>
      <c r="G298" s="113">
        <v>4.6</v>
      </c>
      <c r="H298" s="113">
        <v>1.4</v>
      </c>
      <c r="I298" s="113">
        <v>0.6</v>
      </c>
      <c r="J298" s="113">
        <v>0.4</v>
      </c>
      <c r="K298" s="113">
        <v>0.6</v>
      </c>
      <c r="L298" s="113">
        <v>6.4</v>
      </c>
      <c r="M298" s="113">
        <v>0.8</v>
      </c>
      <c r="N298" s="113">
        <v>0.0</v>
      </c>
      <c r="O298" t="str">
        <f>IFERROR(__xludf.DUMMYFUNCTION("regexextract(B298,""[\w]* [\w]*"")"),"Jarrett CulverDTD")</f>
        <v>Jarrett CulverDTD</v>
      </c>
      <c r="P298" t="str">
        <f t="shared" si="2"/>
        <v>Jarrett Culver</v>
      </c>
      <c r="Q298" t="str">
        <f t="shared" si="3"/>
        <v>Jarrett Culver</v>
      </c>
      <c r="R298" t="s">
        <v>227</v>
      </c>
      <c r="S298" s="14" t="s">
        <v>34</v>
      </c>
      <c r="T298" t="s">
        <v>35</v>
      </c>
      <c r="U298" t="s">
        <v>227</v>
      </c>
      <c r="V298" t="s">
        <v>37</v>
      </c>
      <c r="W298" t="str">
        <f t="shared" si="1"/>
        <v>SGSFC</v>
      </c>
    </row>
    <row r="299">
      <c r="A299" s="98">
        <v>287.0</v>
      </c>
      <c r="B299" s="99" t="s">
        <v>515</v>
      </c>
      <c r="C299" s="100"/>
      <c r="D299" s="100"/>
      <c r="E299" s="112">
        <v>1.4</v>
      </c>
      <c r="F299" s="112">
        <v>2.0</v>
      </c>
      <c r="G299" s="112">
        <v>2.8</v>
      </c>
      <c r="H299" s="112">
        <v>1.8</v>
      </c>
      <c r="I299" s="112">
        <v>0.4</v>
      </c>
      <c r="J299" s="112">
        <v>0.2</v>
      </c>
      <c r="K299" s="112">
        <v>1.0</v>
      </c>
      <c r="L299" s="112">
        <v>10.2</v>
      </c>
      <c r="M299" s="112">
        <v>0.6</v>
      </c>
      <c r="N299" s="112">
        <v>0.0</v>
      </c>
      <c r="O299" t="str">
        <f>IFERROR(__xludf.DUMMYFUNCTION("regexextract(B299,""[\w]* [\w]*"")"),"Bismack Biyombo")</f>
        <v>Bismack Biyombo</v>
      </c>
      <c r="P299" t="str">
        <f t="shared" si="2"/>
        <v>Bismack Biyombo</v>
      </c>
      <c r="Q299" t="str">
        <f t="shared" si="3"/>
        <v>Bismack Biyomb</v>
      </c>
      <c r="R299" t="s">
        <v>227</v>
      </c>
      <c r="S299" s="14" t="s">
        <v>227</v>
      </c>
      <c r="T299" t="s">
        <v>227</v>
      </c>
      <c r="U299" t="s">
        <v>227</v>
      </c>
      <c r="V299" t="s">
        <v>37</v>
      </c>
      <c r="W299" t="str">
        <f t="shared" si="1"/>
        <v>C</v>
      </c>
    </row>
    <row r="300">
      <c r="A300" s="101">
        <v>288.0</v>
      </c>
      <c r="B300" s="102" t="s">
        <v>516</v>
      </c>
      <c r="C300" s="103"/>
      <c r="D300" s="103"/>
      <c r="E300" s="113">
        <v>1.6</v>
      </c>
      <c r="F300" s="113">
        <v>1.1</v>
      </c>
      <c r="G300" s="113">
        <v>2.5</v>
      </c>
      <c r="H300" s="113">
        <v>2.6</v>
      </c>
      <c r="I300" s="113">
        <v>0.8</v>
      </c>
      <c r="J300" s="113">
        <v>0.1</v>
      </c>
      <c r="K300" s="113">
        <v>1.0</v>
      </c>
      <c r="L300" s="113">
        <v>8.8</v>
      </c>
      <c r="M300" s="113">
        <v>0.4</v>
      </c>
      <c r="N300" s="114">
        <f t="shared" ref="N300:N301" si="11">+0.1</f>
        <v>0.1</v>
      </c>
      <c r="O300" t="str">
        <f>IFERROR(__xludf.DUMMYFUNCTION("regexextract(B300,""[\w]* [\w]*"")"),"Maurice Harkless")</f>
        <v>Maurice Harkless</v>
      </c>
      <c r="P300" t="str">
        <f t="shared" si="2"/>
        <v>Maurice Harkless</v>
      </c>
      <c r="Q300" t="str">
        <f t="shared" si="3"/>
        <v>Maurice Harkless</v>
      </c>
      <c r="R300" t="s">
        <v>227</v>
      </c>
      <c r="S300" s="14" t="s">
        <v>227</v>
      </c>
      <c r="T300" t="s">
        <v>35</v>
      </c>
      <c r="U300" t="s">
        <v>227</v>
      </c>
      <c r="V300" t="s">
        <v>37</v>
      </c>
      <c r="W300" t="str">
        <f t="shared" si="1"/>
        <v>SFC</v>
      </c>
    </row>
    <row r="301">
      <c r="A301" s="98">
        <v>289.0</v>
      </c>
      <c r="B301" s="99" t="s">
        <v>517</v>
      </c>
      <c r="C301" s="100"/>
      <c r="D301" s="100"/>
      <c r="E301" s="112">
        <v>1.3</v>
      </c>
      <c r="F301" s="112">
        <v>1.5</v>
      </c>
      <c r="G301" s="112">
        <v>2.8</v>
      </c>
      <c r="H301" s="112">
        <v>1.6</v>
      </c>
      <c r="I301" s="112">
        <v>0.6</v>
      </c>
      <c r="J301" s="112">
        <v>0.3</v>
      </c>
      <c r="K301" s="112">
        <v>1.0</v>
      </c>
      <c r="L301" s="112">
        <v>10.5</v>
      </c>
      <c r="M301" s="112">
        <v>1.1</v>
      </c>
      <c r="N301" s="115">
        <f t="shared" si="11"/>
        <v>0.1</v>
      </c>
      <c r="O301" t="str">
        <f>IFERROR(__xludf.DUMMYFUNCTION("regexextract(B301,""[\w]* [\w]*"")"),"James Johnson")</f>
        <v>James Johnson</v>
      </c>
      <c r="P301" t="str">
        <f t="shared" si="2"/>
        <v>James Johnson</v>
      </c>
      <c r="Q301" t="str">
        <f t="shared" si="3"/>
        <v>James Johnson</v>
      </c>
      <c r="R301" t="s">
        <v>227</v>
      </c>
      <c r="S301" s="14" t="s">
        <v>227</v>
      </c>
      <c r="T301" t="s">
        <v>35</v>
      </c>
      <c r="U301" t="s">
        <v>36</v>
      </c>
      <c r="V301" t="s">
        <v>227</v>
      </c>
      <c r="W301" t="str">
        <f t="shared" si="1"/>
        <v>SFPF</v>
      </c>
    </row>
    <row r="302">
      <c r="A302" s="101">
        <v>290.0</v>
      </c>
      <c r="B302" s="102" t="s">
        <v>518</v>
      </c>
      <c r="C302" s="103"/>
      <c r="D302" s="103"/>
      <c r="E302" s="113">
        <v>2.0</v>
      </c>
      <c r="F302" s="113">
        <v>1.3</v>
      </c>
      <c r="G302" s="113">
        <v>1.8</v>
      </c>
      <c r="H302" s="113">
        <v>3.7</v>
      </c>
      <c r="I302" s="113">
        <v>0.5</v>
      </c>
      <c r="J302" s="113">
        <v>0.0</v>
      </c>
      <c r="K302" s="113">
        <v>1.2</v>
      </c>
      <c r="L302" s="113">
        <v>8.3</v>
      </c>
      <c r="M302" s="113">
        <v>0.2</v>
      </c>
      <c r="N302" s="113">
        <v>0.0</v>
      </c>
      <c r="O302" t="str">
        <f>IFERROR(__xludf.DUMMYFUNCTION("regexextract(B302,""[\w]* [\w]*"")"),"Cody Martin")</f>
        <v>Cody Martin</v>
      </c>
      <c r="P302" t="str">
        <f t="shared" si="2"/>
        <v>Cody Martin</v>
      </c>
      <c r="Q302" t="str">
        <f t="shared" si="3"/>
        <v>Cody Martin</v>
      </c>
      <c r="R302" t="s">
        <v>227</v>
      </c>
      <c r="S302" s="14" t="s">
        <v>227</v>
      </c>
      <c r="T302" t="s">
        <v>35</v>
      </c>
      <c r="U302" t="s">
        <v>227</v>
      </c>
      <c r="V302" t="s">
        <v>37</v>
      </c>
      <c r="W302" t="str">
        <f t="shared" si="1"/>
        <v>SFC</v>
      </c>
    </row>
    <row r="303">
      <c r="A303" s="98">
        <v>291.0</v>
      </c>
      <c r="B303" s="99" t="s">
        <v>519</v>
      </c>
      <c r="C303" s="100"/>
      <c r="D303" s="100"/>
      <c r="E303" s="112">
        <v>1.4</v>
      </c>
      <c r="F303" s="112">
        <v>0.8</v>
      </c>
      <c r="G303" s="112">
        <v>5.8</v>
      </c>
      <c r="H303" s="112">
        <v>0.8</v>
      </c>
      <c r="I303" s="112">
        <v>0.3</v>
      </c>
      <c r="J303" s="112">
        <v>1.3</v>
      </c>
      <c r="K303" s="112">
        <v>0.8</v>
      </c>
      <c r="L303" s="112">
        <v>7.8</v>
      </c>
      <c r="M303" s="112">
        <v>5.0</v>
      </c>
      <c r="N303" s="116">
        <v>-0.7</v>
      </c>
      <c r="O303" t="str">
        <f>IFERROR(__xludf.DUMMYFUNCTION("regexextract(B303,""[\w]* [\w]*"")"),"Michael Carter")</f>
        <v>Michael Carter</v>
      </c>
      <c r="P303" t="str">
        <f t="shared" si="2"/>
        <v>Michael Carter</v>
      </c>
      <c r="Q303" t="str">
        <f t="shared" si="3"/>
        <v>Michael Carter</v>
      </c>
      <c r="R303" t="s">
        <v>33</v>
      </c>
      <c r="S303" s="14" t="s">
        <v>227</v>
      </c>
      <c r="T303" t="s">
        <v>227</v>
      </c>
      <c r="U303" t="s">
        <v>227</v>
      </c>
      <c r="V303" t="s">
        <v>37</v>
      </c>
      <c r="W303" t="str">
        <f t="shared" si="1"/>
        <v>PGC</v>
      </c>
    </row>
    <row r="304">
      <c r="A304" s="101">
        <v>292.0</v>
      </c>
      <c r="B304" s="102" t="s">
        <v>520</v>
      </c>
      <c r="C304" s="103"/>
      <c r="D304" s="103"/>
      <c r="E304" s="113">
        <v>1.0</v>
      </c>
      <c r="F304" s="113">
        <v>1.3</v>
      </c>
      <c r="G304" s="113">
        <v>5.4</v>
      </c>
      <c r="H304" s="113">
        <v>0.8</v>
      </c>
      <c r="I304" s="113">
        <v>0.5</v>
      </c>
      <c r="J304" s="113">
        <v>0.4</v>
      </c>
      <c r="K304" s="113">
        <v>1.0</v>
      </c>
      <c r="L304" s="113">
        <v>7.8</v>
      </c>
      <c r="M304" s="113">
        <v>0.4</v>
      </c>
      <c r="N304" s="113">
        <v>0.0</v>
      </c>
      <c r="O304" t="str">
        <f>IFERROR(__xludf.DUMMYFUNCTION("regexextract(B304,""[\w]* [\w]*"")"),"Farouq Aminu")</f>
        <v>Farouq Aminu</v>
      </c>
      <c r="P304" t="str">
        <f t="shared" si="2"/>
        <v>Farouq Aminu</v>
      </c>
      <c r="Q304" t="str">
        <f t="shared" si="3"/>
        <v>Farouq Aminu</v>
      </c>
      <c r="R304" t="s">
        <v>227</v>
      </c>
      <c r="S304" s="14" t="s">
        <v>227</v>
      </c>
      <c r="T304" t="s">
        <v>227</v>
      </c>
      <c r="U304" t="s">
        <v>36</v>
      </c>
      <c r="V304" t="s">
        <v>227</v>
      </c>
      <c r="W304" t="str">
        <f t="shared" si="1"/>
        <v>PF</v>
      </c>
    </row>
    <row r="305">
      <c r="A305" s="98">
        <v>293.0</v>
      </c>
      <c r="B305" s="99" t="s">
        <v>521</v>
      </c>
      <c r="C305" s="100"/>
      <c r="D305" s="100"/>
      <c r="E305" s="112">
        <v>1.4</v>
      </c>
      <c r="F305" s="112">
        <v>1.5</v>
      </c>
      <c r="G305" s="112">
        <v>3.4</v>
      </c>
      <c r="H305" s="112">
        <v>1.3</v>
      </c>
      <c r="I305" s="112">
        <v>0.7</v>
      </c>
      <c r="J305" s="112">
        <v>0.4</v>
      </c>
      <c r="K305" s="112">
        <v>0.8</v>
      </c>
      <c r="L305" s="112">
        <v>8.2</v>
      </c>
      <c r="M305" s="112">
        <v>0.3</v>
      </c>
      <c r="N305" s="115">
        <f>+0.1</f>
        <v>0.1</v>
      </c>
      <c r="O305" t="str">
        <f>IFERROR(__xludf.DUMMYFUNCTION("regexextract(B305,""[\w]* [\w]*"")")," Wilson")</f>
        <v> Wilson</v>
      </c>
      <c r="P305" t="str">
        <f t="shared" si="2"/>
        <v> Wilson</v>
      </c>
      <c r="Q305" t="str">
        <f t="shared" si="3"/>
        <v> Wilson</v>
      </c>
      <c r="R305" t="s">
        <v>227</v>
      </c>
      <c r="S305" s="14" t="s">
        <v>227</v>
      </c>
      <c r="T305" t="s">
        <v>227</v>
      </c>
      <c r="U305" t="s">
        <v>36</v>
      </c>
      <c r="V305" t="s">
        <v>37</v>
      </c>
      <c r="W305" t="str">
        <f t="shared" si="1"/>
        <v>PFC</v>
      </c>
    </row>
    <row r="306">
      <c r="A306" s="101">
        <v>294.0</v>
      </c>
      <c r="B306" s="102" t="s">
        <v>522</v>
      </c>
      <c r="C306" s="103"/>
      <c r="D306" s="103"/>
      <c r="E306" s="113">
        <v>2.4</v>
      </c>
      <c r="F306" s="113">
        <v>1.5</v>
      </c>
      <c r="G306" s="113">
        <v>3.5</v>
      </c>
      <c r="H306" s="113">
        <v>1.3</v>
      </c>
      <c r="I306" s="113">
        <v>1.1</v>
      </c>
      <c r="J306" s="113">
        <v>0.4</v>
      </c>
      <c r="K306" s="113">
        <v>1.4</v>
      </c>
      <c r="L306" s="113">
        <v>11.0</v>
      </c>
      <c r="M306" s="113">
        <v>3.9</v>
      </c>
      <c r="N306" s="117">
        <v>-0.2</v>
      </c>
      <c r="O306" t="str">
        <f>IFERROR(__xludf.DUMMYFUNCTION("regexextract(B306,""[\w]* [\w]*"")"),"Trey Burke")</f>
        <v>Trey Burke</v>
      </c>
      <c r="P306" t="str">
        <f t="shared" si="2"/>
        <v>Trey Burke</v>
      </c>
      <c r="Q306" t="str">
        <f t="shared" si="3"/>
        <v>Trey Burke</v>
      </c>
      <c r="R306" t="s">
        <v>33</v>
      </c>
      <c r="S306" s="14" t="s">
        <v>34</v>
      </c>
      <c r="T306" t="s">
        <v>227</v>
      </c>
      <c r="U306" t="s">
        <v>227</v>
      </c>
      <c r="V306" t="s">
        <v>227</v>
      </c>
      <c r="W306" t="str">
        <f t="shared" si="1"/>
        <v>PGSG</v>
      </c>
    </row>
    <row r="307">
      <c r="A307" s="98">
        <v>295.0</v>
      </c>
      <c r="B307" s="99" t="s">
        <v>523</v>
      </c>
      <c r="C307" s="100"/>
      <c r="D307" s="100"/>
      <c r="E307" s="112">
        <v>1.3</v>
      </c>
      <c r="F307" s="112">
        <v>2.1</v>
      </c>
      <c r="G307" s="112">
        <v>1.8</v>
      </c>
      <c r="H307" s="112">
        <v>1.6</v>
      </c>
      <c r="I307" s="112">
        <v>0.5</v>
      </c>
      <c r="J307" s="112">
        <v>0.2</v>
      </c>
      <c r="K307" s="112">
        <v>0.7</v>
      </c>
      <c r="L307" s="112">
        <v>9.4</v>
      </c>
      <c r="M307" s="112">
        <v>0.6</v>
      </c>
      <c r="N307" s="116">
        <v>-0.1</v>
      </c>
      <c r="O307" t="str">
        <f>IFERROR(__xludf.DUMMYFUNCTION("regexextract(B307,""[\w]* [\w]*"")"),"Zach CollinsO")</f>
        <v>Zach CollinsO</v>
      </c>
      <c r="P307" t="str">
        <f t="shared" si="2"/>
        <v>Zach CollinsO</v>
      </c>
      <c r="Q307" t="str">
        <f t="shared" si="3"/>
        <v>Zach Collins</v>
      </c>
      <c r="R307" t="s">
        <v>227</v>
      </c>
      <c r="S307" s="14" t="s">
        <v>227</v>
      </c>
      <c r="T307" t="s">
        <v>227</v>
      </c>
      <c r="U307" t="s">
        <v>227</v>
      </c>
      <c r="V307" t="s">
        <v>37</v>
      </c>
      <c r="W307" t="str">
        <f t="shared" si="1"/>
        <v>C</v>
      </c>
    </row>
    <row r="308">
      <c r="A308" s="101">
        <v>296.0</v>
      </c>
      <c r="B308" s="102" t="s">
        <v>524</v>
      </c>
      <c r="C308" s="103"/>
      <c r="D308" s="103"/>
      <c r="E308" s="113">
        <v>0.9</v>
      </c>
      <c r="F308" s="113">
        <v>1.1</v>
      </c>
      <c r="G308" s="113">
        <v>5.3</v>
      </c>
      <c r="H308" s="113">
        <v>1.3</v>
      </c>
      <c r="I308" s="113">
        <v>0.7</v>
      </c>
      <c r="J308" s="113">
        <v>0.3</v>
      </c>
      <c r="K308" s="113">
        <v>0.7</v>
      </c>
      <c r="L308" s="113">
        <v>7.0</v>
      </c>
      <c r="M308" s="113">
        <v>1.1</v>
      </c>
      <c r="N308" s="117">
        <v>-0.1</v>
      </c>
      <c r="O308" t="str">
        <f>IFERROR(__xludf.DUMMYFUNCTION("regexextract(B308,""[\w]* [\w]*"")"),"Edmond SumnerO")</f>
        <v>Edmond SumnerO</v>
      </c>
      <c r="P308" t="str">
        <f t="shared" si="2"/>
        <v>Edmond SumnerO</v>
      </c>
      <c r="Q308" t="str">
        <f t="shared" si="3"/>
        <v>Edmond Sumner</v>
      </c>
      <c r="R308" t="s">
        <v>227</v>
      </c>
      <c r="S308" s="14" t="s">
        <v>34</v>
      </c>
      <c r="T308" t="s">
        <v>227</v>
      </c>
      <c r="U308" t="s">
        <v>227</v>
      </c>
      <c r="V308" t="s">
        <v>227</v>
      </c>
      <c r="W308" t="str">
        <f t="shared" si="1"/>
        <v>SG</v>
      </c>
    </row>
    <row r="309">
      <c r="A309" s="98">
        <v>297.0</v>
      </c>
      <c r="B309" s="99" t="s">
        <v>525</v>
      </c>
      <c r="C309" s="100"/>
      <c r="D309" s="100"/>
      <c r="E309" s="112">
        <v>2.1</v>
      </c>
      <c r="F309" s="112">
        <v>0.1</v>
      </c>
      <c r="G309" s="112">
        <v>6.2</v>
      </c>
      <c r="H309" s="112">
        <v>1.0</v>
      </c>
      <c r="I309" s="112">
        <v>0.4</v>
      </c>
      <c r="J309" s="112">
        <v>0.4</v>
      </c>
      <c r="K309" s="112">
        <v>0.8</v>
      </c>
      <c r="L309" s="112">
        <v>7.3</v>
      </c>
      <c r="M309" s="112">
        <v>0.6</v>
      </c>
      <c r="N309" s="116">
        <v>-0.1</v>
      </c>
      <c r="O309" t="str">
        <f>IFERROR(__xludf.DUMMYFUNCTION("regexextract(B309,""[\w]* [\w]*"")"),"Georges Niang")</f>
        <v>Georges Niang</v>
      </c>
      <c r="P309" t="str">
        <f t="shared" si="2"/>
        <v>Georges Niang</v>
      </c>
      <c r="Q309" t="str">
        <f t="shared" si="3"/>
        <v>Georges Niang</v>
      </c>
      <c r="R309" t="s">
        <v>227</v>
      </c>
      <c r="S309" s="14" t="s">
        <v>227</v>
      </c>
      <c r="T309" t="s">
        <v>227</v>
      </c>
      <c r="U309" t="s">
        <v>36</v>
      </c>
      <c r="V309" t="s">
        <v>227</v>
      </c>
      <c r="W309" t="str">
        <f t="shared" si="1"/>
        <v>PF</v>
      </c>
    </row>
    <row r="310">
      <c r="A310" s="101">
        <v>298.0</v>
      </c>
      <c r="B310" s="102" t="s">
        <v>526</v>
      </c>
      <c r="C310" s="103"/>
      <c r="D310" s="103"/>
      <c r="E310" s="113">
        <v>1.5</v>
      </c>
      <c r="F310" s="113">
        <v>0.6</v>
      </c>
      <c r="G310" s="113">
        <v>4.2</v>
      </c>
      <c r="H310" s="113">
        <v>1.1</v>
      </c>
      <c r="I310" s="113">
        <v>0.7</v>
      </c>
      <c r="J310" s="113">
        <v>0.6</v>
      </c>
      <c r="K310" s="113">
        <v>0.8</v>
      </c>
      <c r="L310" s="113">
        <v>6.5</v>
      </c>
      <c r="M310" s="113">
        <v>0.2</v>
      </c>
      <c r="N310" s="113">
        <v>0.0</v>
      </c>
      <c r="O310" t="str">
        <f>IFERROR(__xludf.DUMMYFUNCTION("regexextract(B310,""[\w]* [\w]*"")"),"Aron Baynes")</f>
        <v>Aron Baynes</v>
      </c>
      <c r="P310" t="str">
        <f t="shared" si="2"/>
        <v>Aron Baynes</v>
      </c>
      <c r="Q310" t="str">
        <f t="shared" si="3"/>
        <v>Aron Baynes</v>
      </c>
      <c r="R310" t="s">
        <v>227</v>
      </c>
      <c r="S310" s="14" t="s">
        <v>227</v>
      </c>
      <c r="T310" t="s">
        <v>227</v>
      </c>
      <c r="U310" t="s">
        <v>227</v>
      </c>
      <c r="V310" t="s">
        <v>37</v>
      </c>
      <c r="W310" t="str">
        <f t="shared" si="1"/>
        <v>C</v>
      </c>
    </row>
    <row r="311">
      <c r="A311" s="98">
        <v>299.0</v>
      </c>
      <c r="B311" s="99" t="s">
        <v>527</v>
      </c>
      <c r="C311" s="100"/>
      <c r="D311" s="100"/>
      <c r="E311" s="112">
        <v>1.0</v>
      </c>
      <c r="F311" s="112">
        <v>1.3</v>
      </c>
      <c r="G311" s="112">
        <v>2.7</v>
      </c>
      <c r="H311" s="112">
        <v>2.0</v>
      </c>
      <c r="I311" s="112">
        <v>0.7</v>
      </c>
      <c r="J311" s="112">
        <v>0.4</v>
      </c>
      <c r="K311" s="112">
        <v>0.9</v>
      </c>
      <c r="L311" s="112">
        <v>7.5</v>
      </c>
      <c r="M311" s="112">
        <v>0.2</v>
      </c>
      <c r="N311" s="112">
        <v>0.0</v>
      </c>
      <c r="O311" t="str">
        <f>IFERROR(__xludf.DUMMYFUNCTION("regexextract(B311,""[\w]* [\w]*"")"),"Brad Wanamaker")</f>
        <v>Brad Wanamaker</v>
      </c>
      <c r="P311" t="str">
        <f t="shared" si="2"/>
        <v>Brad Wanamaker</v>
      </c>
      <c r="Q311" t="str">
        <f t="shared" si="3"/>
        <v>Brad Wanamaker</v>
      </c>
      <c r="R311" t="s">
        <v>33</v>
      </c>
      <c r="S311" s="14" t="s">
        <v>227</v>
      </c>
      <c r="T311" t="s">
        <v>227</v>
      </c>
      <c r="U311" t="s">
        <v>227</v>
      </c>
      <c r="V311" t="s">
        <v>37</v>
      </c>
      <c r="W311" t="str">
        <f t="shared" si="1"/>
        <v>PGC</v>
      </c>
    </row>
    <row r="312">
      <c r="A312" s="101">
        <v>300.0</v>
      </c>
      <c r="B312" s="102" t="s">
        <v>528</v>
      </c>
      <c r="C312" s="103"/>
      <c r="D312" s="103"/>
      <c r="E312" s="113">
        <v>2.7</v>
      </c>
      <c r="F312" s="113">
        <v>2.3</v>
      </c>
      <c r="G312" s="113">
        <v>1.7</v>
      </c>
      <c r="H312" s="113">
        <v>1.7</v>
      </c>
      <c r="I312" s="113">
        <v>0.5</v>
      </c>
      <c r="J312" s="113">
        <v>0.3</v>
      </c>
      <c r="K312" s="113">
        <v>1.2</v>
      </c>
      <c r="L312" s="113">
        <v>13.4</v>
      </c>
      <c r="M312" s="113">
        <v>5.2</v>
      </c>
      <c r="N312" s="117">
        <v>-1.5</v>
      </c>
      <c r="O312" t="str">
        <f>IFERROR(__xludf.DUMMYFUNCTION("regexextract(B312,""[\w]* [\w]*"")"),"Robin Lopez")</f>
        <v>Robin Lopez</v>
      </c>
      <c r="P312" t="str">
        <f t="shared" si="2"/>
        <v>Robin Lopez</v>
      </c>
      <c r="Q312" t="str">
        <f t="shared" si="3"/>
        <v>Robin Lopez</v>
      </c>
      <c r="R312" t="s">
        <v>227</v>
      </c>
      <c r="S312" s="14" t="s">
        <v>227</v>
      </c>
      <c r="T312" t="s">
        <v>227</v>
      </c>
      <c r="U312" t="s">
        <v>227</v>
      </c>
      <c r="V312" t="s">
        <v>37</v>
      </c>
      <c r="W312" t="str">
        <f t="shared" si="1"/>
        <v>C</v>
      </c>
    </row>
    <row r="313">
      <c r="A313" s="108" t="s">
        <v>529</v>
      </c>
      <c r="M313" s="108" t="s">
        <v>327</v>
      </c>
      <c r="O313" t="str">
        <f>IFERROR(__xludf.DUMMYFUNCTION("regexextract(B313,""[\w]* [\w]*"")"),"#N/A")</f>
        <v>#N/A</v>
      </c>
      <c r="P313" t="str">
        <f t="shared" si="2"/>
        <v>#N/A</v>
      </c>
      <c r="Q313" t="str">
        <f t="shared" si="3"/>
        <v>#N/A</v>
      </c>
      <c r="R313" t="s">
        <v>227</v>
      </c>
      <c r="S313" s="14" t="s">
        <v>227</v>
      </c>
      <c r="T313" t="s">
        <v>227</v>
      </c>
      <c r="U313" t="s">
        <v>227</v>
      </c>
      <c r="V313" t="s">
        <v>227</v>
      </c>
      <c r="W313" t="str">
        <f t="shared" si="1"/>
        <v/>
      </c>
    </row>
    <row r="314">
      <c r="A314" s="109" t="s">
        <v>530</v>
      </c>
      <c r="B314" s="109" t="s">
        <v>210</v>
      </c>
      <c r="C314" s="109" t="s">
        <v>214</v>
      </c>
      <c r="D314" s="109" t="s">
        <v>211</v>
      </c>
      <c r="E314" s="109" t="s">
        <v>215</v>
      </c>
      <c r="F314" s="110">
        <v>0.625</v>
      </c>
      <c r="G314" s="109" t="s">
        <v>5</v>
      </c>
      <c r="H314" s="109" t="s">
        <v>7</v>
      </c>
      <c r="I314" s="109" t="s">
        <v>9</v>
      </c>
      <c r="J314" s="109" t="s">
        <v>10</v>
      </c>
      <c r="K314" s="109" t="s">
        <v>15</v>
      </c>
      <c r="L314" s="109" t="s">
        <v>2</v>
      </c>
      <c r="M314" s="109" t="s">
        <v>328</v>
      </c>
      <c r="N314" s="111" t="str">
        <f>+/-</f>
        <v>#ERROR!</v>
      </c>
      <c r="O314" t="str">
        <f>IFERROR(__xludf.DUMMYFUNCTION("regexextract(B314,""[\w]* [\w]*"")"),"#N/A")</f>
        <v>#N/A</v>
      </c>
      <c r="P314" t="str">
        <f t="shared" si="2"/>
        <v>#N/A</v>
      </c>
      <c r="Q314" t="str">
        <f t="shared" si="3"/>
        <v>#N/A</v>
      </c>
      <c r="R314" t="s">
        <v>227</v>
      </c>
      <c r="S314" s="14" t="s">
        <v>227</v>
      </c>
      <c r="T314" t="s">
        <v>227</v>
      </c>
      <c r="U314" t="s">
        <v>227</v>
      </c>
      <c r="V314" t="s">
        <v>227</v>
      </c>
      <c r="W314" t="str">
        <f t="shared" si="1"/>
        <v/>
      </c>
    </row>
    <row r="315">
      <c r="A315" s="112">
        <v>19.2</v>
      </c>
      <c r="B315" s="112">
        <v>2.5</v>
      </c>
      <c r="C315" s="112">
        <v>6.1</v>
      </c>
      <c r="D315" s="112">
        <v>1.1</v>
      </c>
      <c r="E315" s="112">
        <v>1.5</v>
      </c>
      <c r="F315" s="112">
        <v>1.0</v>
      </c>
      <c r="G315" s="112">
        <v>3.3</v>
      </c>
      <c r="H315" s="112">
        <v>1.4</v>
      </c>
      <c r="I315" s="112">
        <v>0.9</v>
      </c>
      <c r="J315" s="112">
        <v>0.5</v>
      </c>
      <c r="K315" s="112">
        <v>1.2</v>
      </c>
      <c r="L315" s="112">
        <v>7.2</v>
      </c>
      <c r="M315" s="112">
        <v>1.1</v>
      </c>
      <c r="N315" s="116">
        <v>-0.2</v>
      </c>
      <c r="O315" t="str">
        <f>IFERROR(__xludf.DUMMYFUNCTION("regexextract(B315,""[\w]* [\w]*"")"),"#VALUE!")</f>
        <v>#VALUE!</v>
      </c>
      <c r="P315" t="str">
        <f t="shared" si="2"/>
        <v>#VALUE!</v>
      </c>
      <c r="Q315" t="str">
        <f t="shared" si="3"/>
        <v>#VALUE!</v>
      </c>
      <c r="R315" t="s">
        <v>227</v>
      </c>
      <c r="S315" s="14" t="s">
        <v>227</v>
      </c>
      <c r="T315" t="s">
        <v>227</v>
      </c>
      <c r="U315" t="s">
        <v>227</v>
      </c>
      <c r="V315" t="s">
        <v>227</v>
      </c>
      <c r="W315" t="str">
        <f t="shared" si="1"/>
        <v/>
      </c>
    </row>
    <row r="316">
      <c r="A316" s="113">
        <v>20.0</v>
      </c>
      <c r="B316" s="113">
        <v>2.2</v>
      </c>
      <c r="C316" s="113">
        <v>5.1</v>
      </c>
      <c r="D316" s="113">
        <v>1.0</v>
      </c>
      <c r="E316" s="113">
        <v>1.4</v>
      </c>
      <c r="F316" s="113">
        <v>0.9</v>
      </c>
      <c r="G316" s="113">
        <v>2.6</v>
      </c>
      <c r="H316" s="113">
        <v>2.5</v>
      </c>
      <c r="I316" s="113">
        <v>1.1</v>
      </c>
      <c r="J316" s="113">
        <v>0.3</v>
      </c>
      <c r="K316" s="113">
        <v>1.2</v>
      </c>
      <c r="L316" s="113">
        <v>6.3</v>
      </c>
      <c r="M316" s="113">
        <v>5.8</v>
      </c>
      <c r="N316" s="117">
        <v>-0.2</v>
      </c>
      <c r="O316" t="str">
        <f>IFERROR(__xludf.DUMMYFUNCTION("regexextract(B316,""[\w]* [\w]*"")"),"#VALUE!")</f>
        <v>#VALUE!</v>
      </c>
      <c r="P316" t="str">
        <f t="shared" si="2"/>
        <v>#VALUE!</v>
      </c>
      <c r="Q316" t="str">
        <f t="shared" si="3"/>
        <v>#VALUE!</v>
      </c>
      <c r="R316" t="s">
        <v>227</v>
      </c>
      <c r="S316" s="14" t="s">
        <v>227</v>
      </c>
      <c r="T316" t="s">
        <v>227</v>
      </c>
      <c r="U316" t="s">
        <v>227</v>
      </c>
      <c r="V316" t="s">
        <v>227</v>
      </c>
      <c r="W316" t="str">
        <f t="shared" si="1"/>
        <v/>
      </c>
    </row>
    <row r="317">
      <c r="A317" s="112">
        <v>21.4</v>
      </c>
      <c r="B317" s="112">
        <v>3.1</v>
      </c>
      <c r="C317" s="112">
        <v>7.3</v>
      </c>
      <c r="D317" s="112">
        <v>1.4</v>
      </c>
      <c r="E317" s="112">
        <v>1.6</v>
      </c>
      <c r="F317" s="112">
        <v>1.7</v>
      </c>
      <c r="G317" s="112">
        <v>2.6</v>
      </c>
      <c r="H317" s="112">
        <v>1.8</v>
      </c>
      <c r="I317" s="112">
        <v>0.7</v>
      </c>
      <c r="J317" s="112">
        <v>0.1</v>
      </c>
      <c r="K317" s="112">
        <v>0.9</v>
      </c>
      <c r="L317" s="112">
        <v>9.2</v>
      </c>
      <c r="M317" s="112">
        <v>0.9</v>
      </c>
      <c r="N317" s="116">
        <v>-0.1</v>
      </c>
      <c r="O317" t="str">
        <f>IFERROR(__xludf.DUMMYFUNCTION("regexextract(B317,""[\w]* [\w]*"")"),"#VALUE!")</f>
        <v>#VALUE!</v>
      </c>
      <c r="P317" t="str">
        <f t="shared" si="2"/>
        <v>#VALUE!</v>
      </c>
      <c r="Q317" t="str">
        <f t="shared" si="3"/>
        <v>#VALUE!</v>
      </c>
      <c r="R317" t="s">
        <v>227</v>
      </c>
      <c r="S317" s="14" t="s">
        <v>227</v>
      </c>
      <c r="T317" t="s">
        <v>227</v>
      </c>
      <c r="U317" t="s">
        <v>227</v>
      </c>
      <c r="V317" t="s">
        <v>227</v>
      </c>
      <c r="W317" t="str">
        <f t="shared" si="1"/>
        <v/>
      </c>
    </row>
    <row r="318">
      <c r="A318" s="113">
        <v>18.2</v>
      </c>
      <c r="B318" s="113">
        <v>3.1</v>
      </c>
      <c r="C318" s="113">
        <v>7.1</v>
      </c>
      <c r="D318" s="113">
        <v>0.8</v>
      </c>
      <c r="E318" s="113">
        <v>1.2</v>
      </c>
      <c r="F318" s="113">
        <v>0.3</v>
      </c>
      <c r="G318" s="113">
        <v>2.8</v>
      </c>
      <c r="H318" s="113">
        <v>3.4</v>
      </c>
      <c r="I318" s="113">
        <v>0.7</v>
      </c>
      <c r="J318" s="113">
        <v>0.2</v>
      </c>
      <c r="K318" s="113">
        <v>1.3</v>
      </c>
      <c r="L318" s="113">
        <v>7.3</v>
      </c>
      <c r="M318" s="113">
        <v>0.6</v>
      </c>
      <c r="N318" s="113">
        <v>0.0</v>
      </c>
      <c r="O318" t="str">
        <f>IFERROR(__xludf.DUMMYFUNCTION("regexextract(B318,""[\w]* [\w]*"")"),"#VALUE!")</f>
        <v>#VALUE!</v>
      </c>
      <c r="P318" t="str">
        <f t="shared" si="2"/>
        <v>#VALUE!</v>
      </c>
      <c r="Q318" t="str">
        <f t="shared" si="3"/>
        <v>#VALUE!</v>
      </c>
      <c r="R318" t="s">
        <v>227</v>
      </c>
      <c r="S318" s="14" t="s">
        <v>227</v>
      </c>
      <c r="T318" t="s">
        <v>227</v>
      </c>
      <c r="U318" t="s">
        <v>227</v>
      </c>
      <c r="V318" t="s">
        <v>227</v>
      </c>
      <c r="W318" t="str">
        <f t="shared" si="1"/>
        <v/>
      </c>
    </row>
    <row r="319">
      <c r="A319" s="112">
        <v>17.0</v>
      </c>
      <c r="B319" s="112">
        <v>2.9</v>
      </c>
      <c r="C319" s="112">
        <v>6.3</v>
      </c>
      <c r="D319" s="112">
        <v>1.2</v>
      </c>
      <c r="E319" s="112">
        <v>1.8</v>
      </c>
      <c r="F319" s="112">
        <v>0.9</v>
      </c>
      <c r="G319" s="112">
        <v>4.1</v>
      </c>
      <c r="H319" s="112">
        <v>1.7</v>
      </c>
      <c r="I319" s="112">
        <v>0.3</v>
      </c>
      <c r="J319" s="112">
        <v>0.3</v>
      </c>
      <c r="K319" s="112">
        <v>0.7</v>
      </c>
      <c r="L319" s="112">
        <v>7.9</v>
      </c>
      <c r="M319" s="112">
        <v>0.2</v>
      </c>
      <c r="N319" s="112">
        <v>0.0</v>
      </c>
      <c r="O319" t="str">
        <f>IFERROR(__xludf.DUMMYFUNCTION("regexextract(B319,""[\w]* [\w]*"")"),"#VALUE!")</f>
        <v>#VALUE!</v>
      </c>
      <c r="P319" t="str">
        <f t="shared" si="2"/>
        <v>#VALUE!</v>
      </c>
      <c r="Q319" t="str">
        <f t="shared" si="3"/>
        <v>#VALUE!</v>
      </c>
      <c r="R319" t="s">
        <v>227</v>
      </c>
      <c r="S319" s="14" t="s">
        <v>227</v>
      </c>
      <c r="T319" t="s">
        <v>227</v>
      </c>
      <c r="U319" t="s">
        <v>227</v>
      </c>
      <c r="V319" t="s">
        <v>227</v>
      </c>
      <c r="W319" t="str">
        <f t="shared" si="1"/>
        <v/>
      </c>
    </row>
    <row r="320">
      <c r="A320" s="113">
        <v>23.7</v>
      </c>
      <c r="B320" s="113">
        <v>3.1</v>
      </c>
      <c r="C320" s="113">
        <v>7.6</v>
      </c>
      <c r="D320" s="113">
        <v>1.3</v>
      </c>
      <c r="E320" s="113">
        <v>1.6</v>
      </c>
      <c r="F320" s="113">
        <v>1.0</v>
      </c>
      <c r="G320" s="113">
        <v>2.0</v>
      </c>
      <c r="H320" s="113">
        <v>1.7</v>
      </c>
      <c r="I320" s="113">
        <v>0.8</v>
      </c>
      <c r="J320" s="113">
        <v>0.2</v>
      </c>
      <c r="K320" s="113">
        <v>0.8</v>
      </c>
      <c r="L320" s="113">
        <v>8.6</v>
      </c>
      <c r="M320" s="113">
        <v>0.5</v>
      </c>
      <c r="N320" s="113">
        <v>0.0</v>
      </c>
      <c r="O320" t="str">
        <f>IFERROR(__xludf.DUMMYFUNCTION("regexextract(B320,""[\w]* [\w]*"")"),"#VALUE!")</f>
        <v>#VALUE!</v>
      </c>
      <c r="P320" t="str">
        <f t="shared" si="2"/>
        <v>#VALUE!</v>
      </c>
      <c r="Q320" t="str">
        <f t="shared" si="3"/>
        <v>#VALUE!</v>
      </c>
      <c r="R320" t="s">
        <v>227</v>
      </c>
      <c r="S320" s="14" t="s">
        <v>227</v>
      </c>
      <c r="T320" t="s">
        <v>227</v>
      </c>
      <c r="U320" t="s">
        <v>227</v>
      </c>
      <c r="V320" t="s">
        <v>227</v>
      </c>
      <c r="W320" t="str">
        <f t="shared" si="1"/>
        <v/>
      </c>
    </row>
    <row r="321">
      <c r="A321" s="112">
        <v>19.5</v>
      </c>
      <c r="B321" s="112">
        <v>3.1</v>
      </c>
      <c r="C321" s="112">
        <v>7.5</v>
      </c>
      <c r="D321" s="112">
        <v>1.0</v>
      </c>
      <c r="E321" s="112">
        <v>1.3</v>
      </c>
      <c r="F321" s="112">
        <v>1.8</v>
      </c>
      <c r="G321" s="112">
        <v>2.2</v>
      </c>
      <c r="H321" s="112">
        <v>1.3</v>
      </c>
      <c r="I321" s="112">
        <v>0.7</v>
      </c>
      <c r="J321" s="112">
        <v>0.2</v>
      </c>
      <c r="K321" s="112">
        <v>0.8</v>
      </c>
      <c r="L321" s="112">
        <v>8.9</v>
      </c>
      <c r="M321" s="112">
        <v>0.5</v>
      </c>
      <c r="N321" s="112">
        <v>0.0</v>
      </c>
      <c r="O321" t="str">
        <f>IFERROR(__xludf.DUMMYFUNCTION("regexextract(B321,""[\w]* [\w]*"")"),"#VALUE!")</f>
        <v>#VALUE!</v>
      </c>
      <c r="P321" t="str">
        <f t="shared" si="2"/>
        <v>#VALUE!</v>
      </c>
      <c r="Q321" t="str">
        <f t="shared" si="3"/>
        <v>#VALUE!</v>
      </c>
      <c r="R321" t="s">
        <v>227</v>
      </c>
      <c r="S321" s="14" t="s">
        <v>227</v>
      </c>
      <c r="T321" t="s">
        <v>227</v>
      </c>
      <c r="U321" t="s">
        <v>227</v>
      </c>
      <c r="V321" t="s">
        <v>227</v>
      </c>
      <c r="W321" t="str">
        <f t="shared" si="1"/>
        <v/>
      </c>
    </row>
    <row r="322">
      <c r="A322" s="113">
        <v>23.6</v>
      </c>
      <c r="B322" s="113">
        <v>2.9</v>
      </c>
      <c r="C322" s="113">
        <v>6.9</v>
      </c>
      <c r="D322" s="113">
        <v>0.6</v>
      </c>
      <c r="E322" s="113">
        <v>0.9</v>
      </c>
      <c r="F322" s="113">
        <v>1.5</v>
      </c>
      <c r="G322" s="113">
        <v>2.3</v>
      </c>
      <c r="H322" s="113">
        <v>2.2</v>
      </c>
      <c r="I322" s="113">
        <v>0.8</v>
      </c>
      <c r="J322" s="113">
        <v>0.1</v>
      </c>
      <c r="K322" s="113">
        <v>1.0</v>
      </c>
      <c r="L322" s="113">
        <v>7.9</v>
      </c>
      <c r="M322" s="113">
        <v>0.5</v>
      </c>
      <c r="N322" s="117">
        <v>-0.1</v>
      </c>
      <c r="O322" t="str">
        <f>IFERROR(__xludf.DUMMYFUNCTION("regexextract(B322,""[\w]* [\w]*"")"),"#VALUE!")</f>
        <v>#VALUE!</v>
      </c>
      <c r="P322" t="str">
        <f t="shared" si="2"/>
        <v>#VALUE!</v>
      </c>
      <c r="Q322" t="str">
        <f t="shared" si="3"/>
        <v>#VALUE!</v>
      </c>
      <c r="R322" t="s">
        <v>227</v>
      </c>
      <c r="S322" s="14" t="s">
        <v>227</v>
      </c>
      <c r="T322" t="s">
        <v>227</v>
      </c>
      <c r="U322" t="s">
        <v>227</v>
      </c>
      <c r="V322" t="s">
        <v>227</v>
      </c>
      <c r="W322" t="str">
        <f t="shared" si="1"/>
        <v/>
      </c>
    </row>
    <row r="323">
      <c r="A323" s="112">
        <v>34.4</v>
      </c>
      <c r="B323" s="112">
        <v>7.5</v>
      </c>
      <c r="C323" s="112">
        <v>16.1</v>
      </c>
      <c r="D323" s="112">
        <v>2.8</v>
      </c>
      <c r="E323" s="112">
        <v>3.2</v>
      </c>
      <c r="F323" s="112">
        <v>2.4</v>
      </c>
      <c r="G323" s="112">
        <v>4.0</v>
      </c>
      <c r="H323" s="112">
        <v>4.8</v>
      </c>
      <c r="I323" s="112">
        <v>1.2</v>
      </c>
      <c r="J323" s="112">
        <v>0.3</v>
      </c>
      <c r="K323" s="112">
        <v>2.2</v>
      </c>
      <c r="L323" s="112">
        <v>20.2</v>
      </c>
      <c r="M323" s="112">
        <v>67.6</v>
      </c>
      <c r="N323" s="116">
        <v>-13.2</v>
      </c>
      <c r="O323" t="str">
        <f>IFERROR(__xludf.DUMMYFUNCTION("regexextract(B323,""[\w]* [\w]*"")"),"#VALUE!")</f>
        <v>#VALUE!</v>
      </c>
      <c r="P323" t="str">
        <f t="shared" si="2"/>
        <v>#VALUE!</v>
      </c>
      <c r="Q323" t="str">
        <f t="shared" si="3"/>
        <v>#VALUE!</v>
      </c>
      <c r="R323" t="s">
        <v>227</v>
      </c>
      <c r="S323" s="14" t="s">
        <v>227</v>
      </c>
      <c r="T323" t="s">
        <v>227</v>
      </c>
      <c r="U323" t="s">
        <v>227</v>
      </c>
      <c r="V323" t="s">
        <v>227</v>
      </c>
      <c r="W323" t="str">
        <f t="shared" si="1"/>
        <v/>
      </c>
    </row>
    <row r="324">
      <c r="A324" s="113">
        <v>21.4</v>
      </c>
      <c r="B324" s="113">
        <v>2.4</v>
      </c>
      <c r="C324" s="113">
        <v>5.8</v>
      </c>
      <c r="D324" s="113">
        <v>1.0</v>
      </c>
      <c r="E324" s="113">
        <v>1.2</v>
      </c>
      <c r="F324" s="113">
        <v>1.2</v>
      </c>
      <c r="G324" s="113">
        <v>3.5</v>
      </c>
      <c r="H324" s="113">
        <v>1.6</v>
      </c>
      <c r="I324" s="113">
        <v>0.9</v>
      </c>
      <c r="J324" s="113">
        <v>0.3</v>
      </c>
      <c r="K324" s="113">
        <v>0.7</v>
      </c>
      <c r="L324" s="113">
        <v>7.0</v>
      </c>
      <c r="M324" s="113">
        <v>2.7</v>
      </c>
      <c r="N324" s="117">
        <v>-0.8</v>
      </c>
      <c r="O324" t="str">
        <f>IFERROR(__xludf.DUMMYFUNCTION("regexextract(B324,""[\w]* [\w]*"")"),"#VALUE!")</f>
        <v>#VALUE!</v>
      </c>
      <c r="P324" t="str">
        <f t="shared" si="2"/>
        <v>#VALUE!</v>
      </c>
      <c r="Q324" t="str">
        <f t="shared" si="3"/>
        <v>#VALUE!</v>
      </c>
      <c r="R324" t="s">
        <v>227</v>
      </c>
      <c r="S324" s="14" t="s">
        <v>227</v>
      </c>
      <c r="T324" t="s">
        <v>227</v>
      </c>
      <c r="U324" t="s">
        <v>227</v>
      </c>
      <c r="V324" t="s">
        <v>227</v>
      </c>
      <c r="W324" t="str">
        <f t="shared" si="1"/>
        <v/>
      </c>
    </row>
    <row r="325">
      <c r="A325" s="112">
        <v>20.6</v>
      </c>
      <c r="B325" s="112">
        <v>3.3</v>
      </c>
      <c r="C325" s="112">
        <v>7.2</v>
      </c>
      <c r="D325" s="112">
        <v>0.8</v>
      </c>
      <c r="E325" s="112">
        <v>0.9</v>
      </c>
      <c r="F325" s="112">
        <v>1.7</v>
      </c>
      <c r="G325" s="112">
        <v>2.6</v>
      </c>
      <c r="H325" s="112">
        <v>1.9</v>
      </c>
      <c r="I325" s="112">
        <v>0.3</v>
      </c>
      <c r="J325" s="112">
        <v>0.1</v>
      </c>
      <c r="K325" s="112">
        <v>0.8</v>
      </c>
      <c r="L325" s="112">
        <v>9.1</v>
      </c>
      <c r="M325" s="112">
        <v>0.5</v>
      </c>
      <c r="N325" s="112">
        <v>0.0</v>
      </c>
      <c r="O325" t="str">
        <f>IFERROR(__xludf.DUMMYFUNCTION("regexextract(B325,""[\w]* [\w]*"")"),"#VALUE!")</f>
        <v>#VALUE!</v>
      </c>
      <c r="P325" t="str">
        <f t="shared" si="2"/>
        <v>#VALUE!</v>
      </c>
      <c r="Q325" t="str">
        <f t="shared" si="3"/>
        <v>#VALUE!</v>
      </c>
      <c r="R325" t="s">
        <v>227</v>
      </c>
      <c r="S325" s="14" t="s">
        <v>227</v>
      </c>
      <c r="T325" t="s">
        <v>227</v>
      </c>
      <c r="U325" t="s">
        <v>227</v>
      </c>
      <c r="V325" t="s">
        <v>227</v>
      </c>
      <c r="W325" t="str">
        <f t="shared" si="1"/>
        <v/>
      </c>
    </row>
    <row r="326">
      <c r="A326" s="113">
        <v>21.6</v>
      </c>
      <c r="B326" s="113">
        <v>3.0</v>
      </c>
      <c r="C326" s="113">
        <v>7.2</v>
      </c>
      <c r="D326" s="113">
        <v>0.6</v>
      </c>
      <c r="E326" s="113">
        <v>0.7</v>
      </c>
      <c r="F326" s="113">
        <v>2.4</v>
      </c>
      <c r="G326" s="113">
        <v>1.9</v>
      </c>
      <c r="H326" s="113">
        <v>1.4</v>
      </c>
      <c r="I326" s="113">
        <v>0.5</v>
      </c>
      <c r="J326" s="113">
        <v>0.2</v>
      </c>
      <c r="K326" s="113">
        <v>0.7</v>
      </c>
      <c r="L326" s="113">
        <v>9.0</v>
      </c>
      <c r="M326" s="113">
        <v>0.3</v>
      </c>
      <c r="N326" s="114">
        <f>+0.1</f>
        <v>0.1</v>
      </c>
      <c r="O326" t="str">
        <f>IFERROR(__xludf.DUMMYFUNCTION("regexextract(B326,""[\w]* [\w]*"")"),"#VALUE!")</f>
        <v>#VALUE!</v>
      </c>
      <c r="P326" t="str">
        <f t="shared" si="2"/>
        <v>#VALUE!</v>
      </c>
      <c r="Q326" t="str">
        <f t="shared" si="3"/>
        <v>#VALUE!</v>
      </c>
      <c r="R326" t="s">
        <v>227</v>
      </c>
      <c r="S326" s="14" t="s">
        <v>227</v>
      </c>
      <c r="T326" t="s">
        <v>227</v>
      </c>
      <c r="U326" t="s">
        <v>227</v>
      </c>
      <c r="V326" t="s">
        <v>227</v>
      </c>
      <c r="W326" t="str">
        <f t="shared" si="1"/>
        <v/>
      </c>
    </row>
    <row r="327">
      <c r="A327" s="112">
        <v>18.2</v>
      </c>
      <c r="B327" s="112">
        <v>2.7</v>
      </c>
      <c r="C327" s="112">
        <v>5.4</v>
      </c>
      <c r="D327" s="112">
        <v>1.0</v>
      </c>
      <c r="E327" s="112">
        <v>1.4</v>
      </c>
      <c r="F327" s="112">
        <v>0.6</v>
      </c>
      <c r="G327" s="112">
        <v>4.1</v>
      </c>
      <c r="H327" s="112">
        <v>0.8</v>
      </c>
      <c r="I327" s="112">
        <v>0.5</v>
      </c>
      <c r="J327" s="112">
        <v>0.7</v>
      </c>
      <c r="K327" s="112">
        <v>0.6</v>
      </c>
      <c r="L327" s="112">
        <v>7.0</v>
      </c>
      <c r="M327" s="112">
        <v>1.9</v>
      </c>
      <c r="N327" s="116">
        <v>-0.3</v>
      </c>
      <c r="O327" t="str">
        <f>IFERROR(__xludf.DUMMYFUNCTION("regexextract(B327,""[\w]* [\w]*"")"),"#VALUE!")</f>
        <v>#VALUE!</v>
      </c>
      <c r="P327" t="str">
        <f t="shared" si="2"/>
        <v>#VALUE!</v>
      </c>
      <c r="Q327" t="str">
        <f t="shared" si="3"/>
        <v>#VALUE!</v>
      </c>
      <c r="R327" t="s">
        <v>227</v>
      </c>
      <c r="S327" s="14" t="s">
        <v>227</v>
      </c>
      <c r="T327" t="s">
        <v>227</v>
      </c>
      <c r="U327" t="s">
        <v>227</v>
      </c>
      <c r="V327" t="s">
        <v>227</v>
      </c>
      <c r="W327" t="str">
        <f t="shared" si="1"/>
        <v/>
      </c>
    </row>
    <row r="328">
      <c r="A328" s="113">
        <v>21.1</v>
      </c>
      <c r="B328" s="113">
        <v>3.2</v>
      </c>
      <c r="C328" s="113">
        <v>8.3</v>
      </c>
      <c r="D328" s="113">
        <v>0.9</v>
      </c>
      <c r="E328" s="113">
        <v>1.5</v>
      </c>
      <c r="F328" s="113">
        <v>0.7</v>
      </c>
      <c r="G328" s="113">
        <v>4.3</v>
      </c>
      <c r="H328" s="113">
        <v>2.6</v>
      </c>
      <c r="I328" s="113">
        <v>0.7</v>
      </c>
      <c r="J328" s="113">
        <v>0.3</v>
      </c>
      <c r="K328" s="113">
        <v>1.5</v>
      </c>
      <c r="L328" s="113">
        <v>8.1</v>
      </c>
      <c r="M328" s="113">
        <v>0.3</v>
      </c>
      <c r="N328" s="113">
        <v>0.0</v>
      </c>
      <c r="O328" t="str">
        <f>IFERROR(__xludf.DUMMYFUNCTION("regexextract(B328,""[\w]* [\w]*"")"),"#VALUE!")</f>
        <v>#VALUE!</v>
      </c>
      <c r="P328" t="str">
        <f t="shared" si="2"/>
        <v>#VALUE!</v>
      </c>
      <c r="Q328" t="str">
        <f t="shared" si="3"/>
        <v>#VALUE!</v>
      </c>
      <c r="R328" t="s">
        <v>227</v>
      </c>
      <c r="S328" s="14" t="s">
        <v>227</v>
      </c>
      <c r="T328" t="s">
        <v>227</v>
      </c>
      <c r="U328" t="s">
        <v>227</v>
      </c>
      <c r="V328" t="s">
        <v>227</v>
      </c>
      <c r="W328" t="str">
        <f t="shared" si="1"/>
        <v/>
      </c>
    </row>
    <row r="329">
      <c r="A329" s="112">
        <v>13.9</v>
      </c>
      <c r="B329" s="112">
        <v>2.9</v>
      </c>
      <c r="C329" s="112">
        <v>5.0</v>
      </c>
      <c r="D329" s="112">
        <v>0.8</v>
      </c>
      <c r="E329" s="112">
        <v>1.2</v>
      </c>
      <c r="F329" s="112">
        <v>0.1</v>
      </c>
      <c r="G329" s="112">
        <v>4.8</v>
      </c>
      <c r="H329" s="112">
        <v>0.6</v>
      </c>
      <c r="I329" s="112">
        <v>0.4</v>
      </c>
      <c r="J329" s="112">
        <v>1.2</v>
      </c>
      <c r="K329" s="112">
        <v>1.0</v>
      </c>
      <c r="L329" s="112">
        <v>6.6</v>
      </c>
      <c r="M329" s="112">
        <v>1.3</v>
      </c>
      <c r="N329" s="116">
        <v>-0.1</v>
      </c>
      <c r="O329" t="str">
        <f>IFERROR(__xludf.DUMMYFUNCTION("regexextract(B329,""[\w]* [\w]*"")"),"#VALUE!")</f>
        <v>#VALUE!</v>
      </c>
      <c r="P329" t="str">
        <f t="shared" si="2"/>
        <v>#VALUE!</v>
      </c>
      <c r="Q329" t="str">
        <f t="shared" si="3"/>
        <v>#VALUE!</v>
      </c>
      <c r="R329" t="s">
        <v>227</v>
      </c>
      <c r="S329" s="14" t="s">
        <v>227</v>
      </c>
      <c r="T329" t="s">
        <v>227</v>
      </c>
      <c r="U329" t="s">
        <v>227</v>
      </c>
      <c r="V329" t="s">
        <v>227</v>
      </c>
      <c r="W329" t="str">
        <f t="shared" si="1"/>
        <v/>
      </c>
    </row>
    <row r="330">
      <c r="A330" s="113">
        <v>19.3</v>
      </c>
      <c r="B330" s="113">
        <v>3.4</v>
      </c>
      <c r="C330" s="113">
        <v>8.6</v>
      </c>
      <c r="D330" s="113">
        <v>1.8</v>
      </c>
      <c r="E330" s="113">
        <v>2.1</v>
      </c>
      <c r="F330" s="113">
        <v>1.6</v>
      </c>
      <c r="G330" s="113">
        <v>1.8</v>
      </c>
      <c r="H330" s="113">
        <v>2.0</v>
      </c>
      <c r="I330" s="113">
        <v>0.5</v>
      </c>
      <c r="J330" s="113">
        <v>0.2</v>
      </c>
      <c r="K330" s="113">
        <v>1.0</v>
      </c>
      <c r="L330" s="113">
        <v>10.2</v>
      </c>
      <c r="M330" s="113">
        <v>3.3</v>
      </c>
      <c r="N330" s="114">
        <f>+0.1</f>
        <v>0.1</v>
      </c>
      <c r="O330" t="str">
        <f>IFERROR(__xludf.DUMMYFUNCTION("regexextract(B330,""[\w]* [\w]*"")"),"#VALUE!")</f>
        <v>#VALUE!</v>
      </c>
      <c r="P330" t="str">
        <f t="shared" si="2"/>
        <v>#VALUE!</v>
      </c>
      <c r="Q330" t="str">
        <f t="shared" si="3"/>
        <v>#VALUE!</v>
      </c>
      <c r="R330" t="s">
        <v>227</v>
      </c>
      <c r="S330" s="14" t="s">
        <v>227</v>
      </c>
      <c r="T330" t="s">
        <v>227</v>
      </c>
      <c r="U330" t="s">
        <v>227</v>
      </c>
      <c r="V330" t="s">
        <v>227</v>
      </c>
      <c r="W330" t="str">
        <f t="shared" si="1"/>
        <v/>
      </c>
    </row>
    <row r="331">
      <c r="A331" s="112">
        <v>21.3</v>
      </c>
      <c r="B331" s="112">
        <v>2.7</v>
      </c>
      <c r="C331" s="112">
        <v>6.4</v>
      </c>
      <c r="D331" s="112">
        <v>1.3</v>
      </c>
      <c r="E331" s="112">
        <v>2.0</v>
      </c>
      <c r="F331" s="112">
        <v>1.2</v>
      </c>
      <c r="G331" s="112">
        <v>4.7</v>
      </c>
      <c r="H331" s="112">
        <v>0.9</v>
      </c>
      <c r="I331" s="112">
        <v>0.5</v>
      </c>
      <c r="J331" s="112">
        <v>0.2</v>
      </c>
      <c r="K331" s="112">
        <v>0.7</v>
      </c>
      <c r="L331" s="112">
        <v>7.9</v>
      </c>
      <c r="M331" s="112">
        <v>0.2</v>
      </c>
      <c r="N331" s="112">
        <v>0.0</v>
      </c>
      <c r="O331" t="str">
        <f>IFERROR(__xludf.DUMMYFUNCTION("regexextract(B331,""[\w]* [\w]*"")"),"#VALUE!")</f>
        <v>#VALUE!</v>
      </c>
      <c r="P331" t="str">
        <f t="shared" si="2"/>
        <v>#VALUE!</v>
      </c>
      <c r="Q331" t="str">
        <f t="shared" si="3"/>
        <v>#VALUE!</v>
      </c>
      <c r="R331" t="s">
        <v>227</v>
      </c>
      <c r="S331" s="14" t="s">
        <v>227</v>
      </c>
      <c r="T331" t="s">
        <v>227</v>
      </c>
      <c r="U331" t="s">
        <v>227</v>
      </c>
      <c r="V331" t="s">
        <v>227</v>
      </c>
      <c r="W331" t="str">
        <f t="shared" si="1"/>
        <v/>
      </c>
    </row>
    <row r="332">
      <c r="A332" s="113">
        <v>19.4</v>
      </c>
      <c r="B332" s="113">
        <v>2.6</v>
      </c>
      <c r="C332" s="113">
        <v>6.3</v>
      </c>
      <c r="D332" s="113">
        <v>0.8</v>
      </c>
      <c r="E332" s="113">
        <v>1.2</v>
      </c>
      <c r="F332" s="113">
        <v>0.8</v>
      </c>
      <c r="G332" s="113">
        <v>3.2</v>
      </c>
      <c r="H332" s="113">
        <v>1.7</v>
      </c>
      <c r="I332" s="113">
        <v>0.6</v>
      </c>
      <c r="J332" s="113">
        <v>0.4</v>
      </c>
      <c r="K332" s="113">
        <v>0.8</v>
      </c>
      <c r="L332" s="113">
        <v>6.8</v>
      </c>
      <c r="M332" s="113">
        <v>0.3</v>
      </c>
      <c r="N332" s="117">
        <v>-0.1</v>
      </c>
      <c r="O332" t="str">
        <f>IFERROR(__xludf.DUMMYFUNCTION("regexextract(B332,""[\w]* [\w]*"")"),"#VALUE!")</f>
        <v>#VALUE!</v>
      </c>
      <c r="P332" t="str">
        <f t="shared" si="2"/>
        <v>#VALUE!</v>
      </c>
      <c r="Q332" t="str">
        <f t="shared" si="3"/>
        <v>#VALUE!</v>
      </c>
      <c r="R332" t="s">
        <v>227</v>
      </c>
      <c r="S332" s="14" t="s">
        <v>227</v>
      </c>
      <c r="T332" t="s">
        <v>227</v>
      </c>
      <c r="U332" t="s">
        <v>227</v>
      </c>
      <c r="V332" t="s">
        <v>227</v>
      </c>
      <c r="W332" t="str">
        <f t="shared" si="1"/>
        <v/>
      </c>
    </row>
    <row r="333">
      <c r="A333" s="112">
        <v>17.6</v>
      </c>
      <c r="B333" s="112">
        <v>2.2</v>
      </c>
      <c r="C333" s="112">
        <v>4.6</v>
      </c>
      <c r="D333" s="112">
        <v>0.4</v>
      </c>
      <c r="E333" s="112">
        <v>0.6</v>
      </c>
      <c r="F333" s="112">
        <v>0.8</v>
      </c>
      <c r="G333" s="112">
        <v>3.7</v>
      </c>
      <c r="H333" s="112">
        <v>0.9</v>
      </c>
      <c r="I333" s="112">
        <v>0.5</v>
      </c>
      <c r="J333" s="112">
        <v>0.6</v>
      </c>
      <c r="K333" s="112">
        <v>0.5</v>
      </c>
      <c r="L333" s="112">
        <v>5.5</v>
      </c>
      <c r="M333" s="112">
        <v>0.2</v>
      </c>
      <c r="N333" s="112">
        <v>0.0</v>
      </c>
      <c r="O333" t="str">
        <f>IFERROR(__xludf.DUMMYFUNCTION("regexextract(B333,""[\w]* [\w]*"")"),"#VALUE!")</f>
        <v>#VALUE!</v>
      </c>
      <c r="P333" t="str">
        <f t="shared" si="2"/>
        <v>#VALUE!</v>
      </c>
      <c r="Q333" t="str">
        <f t="shared" si="3"/>
        <v>#VALUE!</v>
      </c>
      <c r="R333" t="s">
        <v>227</v>
      </c>
      <c r="S333" s="14" t="s">
        <v>227</v>
      </c>
      <c r="T333" t="s">
        <v>227</v>
      </c>
      <c r="U333" t="s">
        <v>227</v>
      </c>
      <c r="V333" t="s">
        <v>227</v>
      </c>
      <c r="W333" t="str">
        <f t="shared" si="1"/>
        <v/>
      </c>
    </row>
    <row r="334">
      <c r="A334" s="113">
        <v>16.0</v>
      </c>
      <c r="B334" s="113">
        <v>2.4</v>
      </c>
      <c r="C334" s="113">
        <v>3.3</v>
      </c>
      <c r="D334" s="113">
        <v>0.7</v>
      </c>
      <c r="E334" s="113">
        <v>1.3</v>
      </c>
      <c r="F334" s="113">
        <v>0.0</v>
      </c>
      <c r="G334" s="113">
        <v>5.8</v>
      </c>
      <c r="H334" s="113">
        <v>1.2</v>
      </c>
      <c r="I334" s="113">
        <v>0.2</v>
      </c>
      <c r="J334" s="113">
        <v>0.8</v>
      </c>
      <c r="K334" s="113">
        <v>1.1</v>
      </c>
      <c r="L334" s="113">
        <v>5.6</v>
      </c>
      <c r="M334" s="113">
        <v>4.1</v>
      </c>
      <c r="N334" s="117">
        <v>-0.6</v>
      </c>
      <c r="O334" t="str">
        <f>IFERROR(__xludf.DUMMYFUNCTION("regexextract(B334,""[\w]* [\w]*"")"),"#VALUE!")</f>
        <v>#VALUE!</v>
      </c>
      <c r="P334" t="str">
        <f t="shared" si="2"/>
        <v>#VALUE!</v>
      </c>
      <c r="Q334" t="str">
        <f t="shared" si="3"/>
        <v>#VALUE!</v>
      </c>
      <c r="R334" t="s">
        <v>227</v>
      </c>
      <c r="S334" s="14" t="s">
        <v>227</v>
      </c>
      <c r="T334" t="s">
        <v>227</v>
      </c>
      <c r="U334" t="s">
        <v>227</v>
      </c>
      <c r="V334" t="s">
        <v>227</v>
      </c>
      <c r="W334" t="str">
        <f t="shared" si="1"/>
        <v/>
      </c>
    </row>
    <row r="335">
      <c r="A335" s="112">
        <v>19.7</v>
      </c>
      <c r="B335" s="112">
        <v>4.0</v>
      </c>
      <c r="C335" s="112">
        <v>8.0</v>
      </c>
      <c r="D335" s="112">
        <v>1.9</v>
      </c>
      <c r="E335" s="112">
        <v>2.6</v>
      </c>
      <c r="F335" s="112">
        <v>0.5</v>
      </c>
      <c r="G335" s="112">
        <v>3.4</v>
      </c>
      <c r="H335" s="112">
        <v>1.5</v>
      </c>
      <c r="I335" s="112">
        <v>0.4</v>
      </c>
      <c r="J335" s="112">
        <v>0.2</v>
      </c>
      <c r="K335" s="112">
        <v>1.2</v>
      </c>
      <c r="L335" s="112">
        <v>10.4</v>
      </c>
      <c r="M335" s="112">
        <v>0.4</v>
      </c>
      <c r="N335" s="112">
        <v>0.0</v>
      </c>
      <c r="O335" t="str">
        <f>IFERROR(__xludf.DUMMYFUNCTION("regexextract(B335,""[\w]* [\w]*"")"),"#VALUE!")</f>
        <v>#VALUE!</v>
      </c>
      <c r="P335" t="str">
        <f t="shared" si="2"/>
        <v>#VALUE!</v>
      </c>
      <c r="Q335" t="str">
        <f t="shared" si="3"/>
        <v>#VALUE!</v>
      </c>
      <c r="R335" t="s">
        <v>227</v>
      </c>
      <c r="S335" s="14" t="s">
        <v>227</v>
      </c>
      <c r="T335" t="s">
        <v>227</v>
      </c>
      <c r="U335" t="s">
        <v>227</v>
      </c>
      <c r="V335" t="s">
        <v>227</v>
      </c>
      <c r="W335" t="str">
        <f t="shared" si="1"/>
        <v/>
      </c>
    </row>
    <row r="336">
      <c r="A336" s="113">
        <v>18.8</v>
      </c>
      <c r="B336" s="113">
        <v>2.8</v>
      </c>
      <c r="C336" s="113">
        <v>7.0</v>
      </c>
      <c r="D336" s="113">
        <v>1.0</v>
      </c>
      <c r="E336" s="113">
        <v>1.2</v>
      </c>
      <c r="F336" s="113">
        <v>1.1</v>
      </c>
      <c r="G336" s="113">
        <v>1.6</v>
      </c>
      <c r="H336" s="113">
        <v>2.3</v>
      </c>
      <c r="I336" s="113">
        <v>0.7</v>
      </c>
      <c r="J336" s="113">
        <v>0.2</v>
      </c>
      <c r="K336" s="113">
        <v>1.1</v>
      </c>
      <c r="L336" s="113">
        <v>7.7</v>
      </c>
      <c r="M336" s="113">
        <v>0.7</v>
      </c>
      <c r="N336" s="117">
        <v>-0.1</v>
      </c>
      <c r="O336" t="str">
        <f>IFERROR(__xludf.DUMMYFUNCTION("regexextract(B336,""[\w]* [\w]*"")"),"#VALUE!")</f>
        <v>#VALUE!</v>
      </c>
      <c r="P336" t="str">
        <f t="shared" si="2"/>
        <v>#VALUE!</v>
      </c>
      <c r="Q336" t="str">
        <f t="shared" si="3"/>
        <v>#VALUE!</v>
      </c>
      <c r="R336" t="s">
        <v>227</v>
      </c>
      <c r="S336" s="14" t="s">
        <v>227</v>
      </c>
      <c r="T336" t="s">
        <v>227</v>
      </c>
      <c r="U336" t="s">
        <v>227</v>
      </c>
      <c r="V336" t="s">
        <v>227</v>
      </c>
      <c r="W336" t="str">
        <f t="shared" si="1"/>
        <v/>
      </c>
    </row>
    <row r="337">
      <c r="A337" s="112">
        <v>17.2</v>
      </c>
      <c r="B337" s="112">
        <v>2.6</v>
      </c>
      <c r="C337" s="112">
        <v>5.5</v>
      </c>
      <c r="D337" s="112">
        <v>0.9</v>
      </c>
      <c r="E337" s="112">
        <v>1.0</v>
      </c>
      <c r="F337" s="112">
        <v>0.8</v>
      </c>
      <c r="G337" s="112">
        <v>1.9</v>
      </c>
      <c r="H337" s="112">
        <v>2.0</v>
      </c>
      <c r="I337" s="112">
        <v>0.8</v>
      </c>
      <c r="J337" s="112">
        <v>0.1</v>
      </c>
      <c r="K337" s="112">
        <v>0.8</v>
      </c>
      <c r="L337" s="112">
        <v>6.8</v>
      </c>
      <c r="M337" s="112">
        <v>0.6</v>
      </c>
      <c r="N337" s="116">
        <v>-0.2</v>
      </c>
      <c r="O337" t="str">
        <f>IFERROR(__xludf.DUMMYFUNCTION("regexextract(B337,""[\w]* [\w]*"")"),"#VALUE!")</f>
        <v>#VALUE!</v>
      </c>
      <c r="P337" t="str">
        <f t="shared" si="2"/>
        <v>#VALUE!</v>
      </c>
      <c r="Q337" t="str">
        <f t="shared" si="3"/>
        <v>#VALUE!</v>
      </c>
      <c r="R337" t="s">
        <v>227</v>
      </c>
      <c r="S337" s="14" t="s">
        <v>227</v>
      </c>
      <c r="T337" t="s">
        <v>227</v>
      </c>
      <c r="U337" t="s">
        <v>227</v>
      </c>
      <c r="V337" t="s">
        <v>227</v>
      </c>
      <c r="W337" t="str">
        <f t="shared" si="1"/>
        <v/>
      </c>
    </row>
    <row r="338">
      <c r="A338" s="113">
        <v>20.5</v>
      </c>
      <c r="B338" s="113">
        <v>2.6</v>
      </c>
      <c r="C338" s="113">
        <v>5.9</v>
      </c>
      <c r="D338" s="113">
        <v>0.5</v>
      </c>
      <c r="E338" s="113">
        <v>0.7</v>
      </c>
      <c r="F338" s="113">
        <v>1.4</v>
      </c>
      <c r="G338" s="113">
        <v>4.0</v>
      </c>
      <c r="H338" s="113">
        <v>1.3</v>
      </c>
      <c r="I338" s="113">
        <v>0.6</v>
      </c>
      <c r="J338" s="113">
        <v>0.2</v>
      </c>
      <c r="K338" s="113">
        <v>0.8</v>
      </c>
      <c r="L338" s="113">
        <v>7.0</v>
      </c>
      <c r="M338" s="113">
        <v>0.3</v>
      </c>
      <c r="N338" s="117">
        <v>-0.1</v>
      </c>
      <c r="O338" t="str">
        <f>IFERROR(__xludf.DUMMYFUNCTION("regexextract(B338,""[\w]* [\w]*"")"),"#VALUE!")</f>
        <v>#VALUE!</v>
      </c>
      <c r="P338" t="str">
        <f t="shared" si="2"/>
        <v>#VALUE!</v>
      </c>
      <c r="Q338" t="str">
        <f t="shared" si="3"/>
        <v>#VALUE!</v>
      </c>
      <c r="R338" t="s">
        <v>227</v>
      </c>
      <c r="S338" s="14" t="s">
        <v>227</v>
      </c>
      <c r="T338" t="s">
        <v>227</v>
      </c>
      <c r="U338" t="s">
        <v>227</v>
      </c>
      <c r="V338" t="s">
        <v>227</v>
      </c>
      <c r="W338" t="str">
        <f t="shared" si="1"/>
        <v/>
      </c>
    </row>
    <row r="339">
      <c r="A339" s="112">
        <v>16.2</v>
      </c>
      <c r="B339" s="112">
        <v>2.4</v>
      </c>
      <c r="C339" s="112">
        <v>5.2</v>
      </c>
      <c r="D339" s="112">
        <v>1.5</v>
      </c>
      <c r="E339" s="112">
        <v>1.9</v>
      </c>
      <c r="F339" s="112">
        <v>0.7</v>
      </c>
      <c r="G339" s="112">
        <v>3.4</v>
      </c>
      <c r="H339" s="112">
        <v>1.1</v>
      </c>
      <c r="I339" s="112">
        <v>0.6</v>
      </c>
      <c r="J339" s="112">
        <v>0.4</v>
      </c>
      <c r="K339" s="112">
        <v>1.0</v>
      </c>
      <c r="L339" s="112">
        <v>7.1</v>
      </c>
      <c r="M339" s="112">
        <v>0.4</v>
      </c>
      <c r="N339" s="112">
        <v>0.0</v>
      </c>
      <c r="O339" t="str">
        <f>IFERROR(__xludf.DUMMYFUNCTION("regexextract(B339,""[\w]* [\w]*"")"),"#VALUE!")</f>
        <v>#VALUE!</v>
      </c>
      <c r="P339" t="str">
        <f t="shared" si="2"/>
        <v>#VALUE!</v>
      </c>
      <c r="Q339" t="str">
        <f t="shared" si="3"/>
        <v>#VALUE!</v>
      </c>
      <c r="R339" t="s">
        <v>227</v>
      </c>
      <c r="S339" s="14" t="s">
        <v>227</v>
      </c>
      <c r="T339" t="s">
        <v>227</v>
      </c>
      <c r="U339" t="s">
        <v>227</v>
      </c>
      <c r="V339" t="s">
        <v>227</v>
      </c>
      <c r="W339" t="str">
        <f t="shared" si="1"/>
        <v/>
      </c>
    </row>
    <row r="340">
      <c r="A340" s="113">
        <v>19.2</v>
      </c>
      <c r="B340" s="113">
        <v>2.8</v>
      </c>
      <c r="C340" s="113">
        <v>6.0</v>
      </c>
      <c r="D340" s="113">
        <v>0.9</v>
      </c>
      <c r="E340" s="113">
        <v>1.3</v>
      </c>
      <c r="F340" s="113">
        <v>0.7</v>
      </c>
      <c r="G340" s="113">
        <v>3.6</v>
      </c>
      <c r="H340" s="113">
        <v>1.1</v>
      </c>
      <c r="I340" s="113">
        <v>0.6</v>
      </c>
      <c r="J340" s="113">
        <v>0.4</v>
      </c>
      <c r="K340" s="113">
        <v>0.9</v>
      </c>
      <c r="L340" s="113">
        <v>7.3</v>
      </c>
      <c r="M340" s="113">
        <v>0.3</v>
      </c>
      <c r="N340" s="113">
        <v>0.0</v>
      </c>
      <c r="O340" t="str">
        <f>IFERROR(__xludf.DUMMYFUNCTION("regexextract(B340,""[\w]* [\w]*"")"),"#VALUE!")</f>
        <v>#VALUE!</v>
      </c>
      <c r="P340" t="str">
        <f t="shared" si="2"/>
        <v>#VALUE!</v>
      </c>
      <c r="Q340" t="str">
        <f t="shared" si="3"/>
        <v>#VALUE!</v>
      </c>
      <c r="R340" t="s">
        <v>227</v>
      </c>
      <c r="S340" s="14" t="s">
        <v>227</v>
      </c>
      <c r="T340" t="s">
        <v>227</v>
      </c>
      <c r="U340" t="s">
        <v>227</v>
      </c>
      <c r="V340" t="s">
        <v>227</v>
      </c>
      <c r="W340" t="str">
        <f t="shared" si="1"/>
        <v/>
      </c>
    </row>
    <row r="341">
      <c r="A341" s="112">
        <v>22.3</v>
      </c>
      <c r="B341" s="112">
        <v>3.4</v>
      </c>
      <c r="C341" s="112">
        <v>8.5</v>
      </c>
      <c r="D341" s="112">
        <v>1.6</v>
      </c>
      <c r="E341" s="112">
        <v>2.0</v>
      </c>
      <c r="F341" s="112">
        <v>0.7</v>
      </c>
      <c r="G341" s="112">
        <v>2.8</v>
      </c>
      <c r="H341" s="112">
        <v>1.2</v>
      </c>
      <c r="I341" s="112">
        <v>0.5</v>
      </c>
      <c r="J341" s="112">
        <v>0.1</v>
      </c>
      <c r="K341" s="112">
        <v>0.6</v>
      </c>
      <c r="L341" s="112">
        <v>9.1</v>
      </c>
      <c r="M341" s="112">
        <v>0.5</v>
      </c>
      <c r="N341" s="116">
        <v>-0.1</v>
      </c>
      <c r="O341" t="str">
        <f>IFERROR(__xludf.DUMMYFUNCTION("regexextract(B341,""[\w]* [\w]*"")"),"#VALUE!")</f>
        <v>#VALUE!</v>
      </c>
      <c r="P341" t="str">
        <f t="shared" si="2"/>
        <v>#VALUE!</v>
      </c>
      <c r="Q341" t="str">
        <f t="shared" si="3"/>
        <v>#VALUE!</v>
      </c>
      <c r="R341" t="s">
        <v>227</v>
      </c>
      <c r="S341" s="14" t="s">
        <v>227</v>
      </c>
      <c r="T341" t="s">
        <v>227</v>
      </c>
      <c r="U341" t="s">
        <v>227</v>
      </c>
      <c r="V341" t="s">
        <v>227</v>
      </c>
      <c r="W341" t="str">
        <f t="shared" si="1"/>
        <v/>
      </c>
    </row>
    <row r="342">
      <c r="A342" s="113">
        <v>18.9</v>
      </c>
      <c r="B342" s="113">
        <v>2.5</v>
      </c>
      <c r="C342" s="113">
        <v>5.7</v>
      </c>
      <c r="D342" s="113">
        <v>1.0</v>
      </c>
      <c r="E342" s="113">
        <v>1.1</v>
      </c>
      <c r="F342" s="113">
        <v>1.3</v>
      </c>
      <c r="G342" s="113">
        <v>3.2</v>
      </c>
      <c r="H342" s="113">
        <v>1.4</v>
      </c>
      <c r="I342" s="113">
        <v>0.7</v>
      </c>
      <c r="J342" s="113">
        <v>0.1</v>
      </c>
      <c r="K342" s="113">
        <v>0.7</v>
      </c>
      <c r="L342" s="113">
        <v>7.3</v>
      </c>
      <c r="M342" s="113">
        <v>0.3</v>
      </c>
      <c r="N342" s="113">
        <v>0.0</v>
      </c>
      <c r="O342" t="str">
        <f>IFERROR(__xludf.DUMMYFUNCTION("regexextract(B342,""[\w]* [\w]*"")"),"#VALUE!")</f>
        <v>#VALUE!</v>
      </c>
      <c r="P342" t="str">
        <f t="shared" si="2"/>
        <v>#VALUE!</v>
      </c>
      <c r="Q342" t="str">
        <f t="shared" si="3"/>
        <v>#VALUE!</v>
      </c>
      <c r="R342" t="s">
        <v>227</v>
      </c>
      <c r="S342" s="14" t="s">
        <v>227</v>
      </c>
      <c r="T342" t="s">
        <v>227</v>
      </c>
      <c r="U342" t="s">
        <v>227</v>
      </c>
      <c r="V342" t="s">
        <v>227</v>
      </c>
      <c r="W342" t="str">
        <f t="shared" si="1"/>
        <v/>
      </c>
    </row>
    <row r="343">
      <c r="A343" s="112">
        <v>19.4</v>
      </c>
      <c r="B343" s="112">
        <v>2.5</v>
      </c>
      <c r="C343" s="112">
        <v>5.5</v>
      </c>
      <c r="D343" s="112">
        <v>0.6</v>
      </c>
      <c r="E343" s="112">
        <v>0.8</v>
      </c>
      <c r="F343" s="112">
        <v>1.4</v>
      </c>
      <c r="G343" s="112">
        <v>3.7</v>
      </c>
      <c r="H343" s="112">
        <v>0.7</v>
      </c>
      <c r="I343" s="112">
        <v>0.4</v>
      </c>
      <c r="J343" s="112">
        <v>0.3</v>
      </c>
      <c r="K343" s="112">
        <v>0.7</v>
      </c>
      <c r="L343" s="112">
        <v>7.0</v>
      </c>
      <c r="M343" s="112">
        <v>0.5</v>
      </c>
      <c r="N343" s="112">
        <v>0.0</v>
      </c>
      <c r="O343" t="str">
        <f>IFERROR(__xludf.DUMMYFUNCTION("regexextract(B343,""[\w]* [\w]*"")"),"#VALUE!")</f>
        <v>#VALUE!</v>
      </c>
      <c r="P343" t="str">
        <f t="shared" si="2"/>
        <v>#VALUE!</v>
      </c>
      <c r="Q343" t="str">
        <f t="shared" si="3"/>
        <v>#VALUE!</v>
      </c>
      <c r="R343" t="s">
        <v>227</v>
      </c>
      <c r="S343" s="14" t="s">
        <v>227</v>
      </c>
      <c r="T343" t="s">
        <v>227</v>
      </c>
      <c r="U343" t="s">
        <v>227</v>
      </c>
      <c r="V343" t="s">
        <v>227</v>
      </c>
      <c r="W343" t="str">
        <f t="shared" si="1"/>
        <v/>
      </c>
    </row>
    <row r="344">
      <c r="A344" s="113">
        <v>19.4</v>
      </c>
      <c r="B344" s="113">
        <v>2.1</v>
      </c>
      <c r="C344" s="113">
        <v>3.7</v>
      </c>
      <c r="D344" s="113">
        <v>0.3</v>
      </c>
      <c r="E344" s="113">
        <v>0.5</v>
      </c>
      <c r="F344" s="113">
        <v>0.6</v>
      </c>
      <c r="G344" s="113">
        <v>4.0</v>
      </c>
      <c r="H344" s="113">
        <v>2.5</v>
      </c>
      <c r="I344" s="113">
        <v>0.7</v>
      </c>
      <c r="J344" s="113">
        <v>0.4</v>
      </c>
      <c r="K344" s="113">
        <v>1.1</v>
      </c>
      <c r="L344" s="113">
        <v>5.2</v>
      </c>
      <c r="M344" s="113">
        <v>1.1</v>
      </c>
      <c r="N344" s="117">
        <v>-0.3</v>
      </c>
      <c r="O344" t="str">
        <f>IFERROR(__xludf.DUMMYFUNCTION("regexextract(B344,""[\w]* [\w]*"")"),"#VALUE!")</f>
        <v>#VALUE!</v>
      </c>
      <c r="P344" t="str">
        <f t="shared" si="2"/>
        <v>#VALUE!</v>
      </c>
      <c r="Q344" t="str">
        <f t="shared" si="3"/>
        <v>#VALUE!</v>
      </c>
      <c r="R344" t="s">
        <v>227</v>
      </c>
      <c r="S344" s="14" t="s">
        <v>227</v>
      </c>
      <c r="T344" t="s">
        <v>227</v>
      </c>
      <c r="U344" t="s">
        <v>227</v>
      </c>
      <c r="V344" t="s">
        <v>227</v>
      </c>
      <c r="W344" t="str">
        <f t="shared" si="1"/>
        <v/>
      </c>
    </row>
    <row r="345">
      <c r="A345" s="112">
        <v>20.3</v>
      </c>
      <c r="B345" s="112">
        <v>2.0</v>
      </c>
      <c r="C345" s="112">
        <v>4.9</v>
      </c>
      <c r="D345" s="112">
        <v>1.6</v>
      </c>
      <c r="E345" s="112">
        <v>2.1</v>
      </c>
      <c r="F345" s="112">
        <v>0.5</v>
      </c>
      <c r="G345" s="112">
        <v>2.9</v>
      </c>
      <c r="H345" s="112">
        <v>1.1</v>
      </c>
      <c r="I345" s="112">
        <v>0.9</v>
      </c>
      <c r="J345" s="112">
        <v>0.4</v>
      </c>
      <c r="K345" s="112">
        <v>0.9</v>
      </c>
      <c r="L345" s="112">
        <v>6.2</v>
      </c>
      <c r="M345" s="112">
        <v>0.2</v>
      </c>
      <c r="N345" s="112">
        <v>0.0</v>
      </c>
      <c r="O345" t="str">
        <f>IFERROR(__xludf.DUMMYFUNCTION("regexextract(B345,""[\w]* [\w]*"")"),"#VALUE!")</f>
        <v>#VALUE!</v>
      </c>
      <c r="P345" t="str">
        <f t="shared" si="2"/>
        <v>#VALUE!</v>
      </c>
      <c r="Q345" t="str">
        <f t="shared" si="3"/>
        <v>#VALUE!</v>
      </c>
      <c r="R345" t="s">
        <v>227</v>
      </c>
      <c r="S345" s="14" t="s">
        <v>227</v>
      </c>
      <c r="T345" t="s">
        <v>227</v>
      </c>
      <c r="U345" t="s">
        <v>227</v>
      </c>
      <c r="V345" t="s">
        <v>227</v>
      </c>
      <c r="W345" t="str">
        <f t="shared" si="1"/>
        <v/>
      </c>
    </row>
    <row r="346">
      <c r="A346" s="113">
        <v>19.3</v>
      </c>
      <c r="B346" s="113">
        <v>1.5</v>
      </c>
      <c r="C346" s="113">
        <v>3.6</v>
      </c>
      <c r="D346" s="113">
        <v>0.4</v>
      </c>
      <c r="E346" s="113">
        <v>0.6</v>
      </c>
      <c r="F346" s="113">
        <v>0.8</v>
      </c>
      <c r="G346" s="113">
        <v>3.2</v>
      </c>
      <c r="H346" s="113">
        <v>2.2</v>
      </c>
      <c r="I346" s="113">
        <v>0.8</v>
      </c>
      <c r="J346" s="113">
        <v>0.6</v>
      </c>
      <c r="K346" s="113">
        <v>0.9</v>
      </c>
      <c r="L346" s="113">
        <v>4.2</v>
      </c>
      <c r="M346" s="113">
        <v>3.7</v>
      </c>
      <c r="N346" s="117">
        <v>-0.6</v>
      </c>
      <c r="O346" t="str">
        <f>IFERROR(__xludf.DUMMYFUNCTION("regexextract(B346,""[\w]* [\w]*"")"),"#VALUE!")</f>
        <v>#VALUE!</v>
      </c>
      <c r="P346" t="str">
        <f t="shared" si="2"/>
        <v>#VALUE!</v>
      </c>
      <c r="Q346" t="str">
        <f t="shared" si="3"/>
        <v>#VALUE!</v>
      </c>
      <c r="R346" t="s">
        <v>227</v>
      </c>
      <c r="S346" s="14" t="s">
        <v>227</v>
      </c>
      <c r="T346" t="s">
        <v>227</v>
      </c>
      <c r="U346" t="s">
        <v>227</v>
      </c>
      <c r="V346" t="s">
        <v>227</v>
      </c>
      <c r="W346" t="str">
        <f t="shared" si="1"/>
        <v/>
      </c>
    </row>
    <row r="347">
      <c r="A347" s="112">
        <v>17.1</v>
      </c>
      <c r="B347" s="112">
        <v>1.8</v>
      </c>
      <c r="C347" s="112">
        <v>3.3</v>
      </c>
      <c r="D347" s="112">
        <v>0.5</v>
      </c>
      <c r="E347" s="112">
        <v>0.8</v>
      </c>
      <c r="F347" s="112">
        <v>0.1</v>
      </c>
      <c r="G347" s="112">
        <v>4.7</v>
      </c>
      <c r="H347" s="112">
        <v>1.6</v>
      </c>
      <c r="I347" s="112">
        <v>0.4</v>
      </c>
      <c r="J347" s="112">
        <v>0.4</v>
      </c>
      <c r="K347" s="112">
        <v>0.6</v>
      </c>
      <c r="L347" s="112">
        <v>4.2</v>
      </c>
      <c r="M347" s="112">
        <v>0.4</v>
      </c>
      <c r="N347" s="112">
        <v>0.0</v>
      </c>
      <c r="O347" t="str">
        <f>IFERROR(__xludf.DUMMYFUNCTION("regexextract(B347,""[\w]* [\w]*"")"),"#VALUE!")</f>
        <v>#VALUE!</v>
      </c>
      <c r="P347" t="str">
        <f t="shared" si="2"/>
        <v>#VALUE!</v>
      </c>
      <c r="Q347" t="str">
        <f t="shared" si="3"/>
        <v>#VALUE!</v>
      </c>
      <c r="R347" t="s">
        <v>227</v>
      </c>
      <c r="S347" s="14" t="s">
        <v>227</v>
      </c>
      <c r="T347" t="s">
        <v>227</v>
      </c>
      <c r="U347" t="s">
        <v>227</v>
      </c>
      <c r="V347" t="s">
        <v>227</v>
      </c>
      <c r="W347" t="str">
        <f t="shared" si="1"/>
        <v/>
      </c>
    </row>
    <row r="348">
      <c r="A348" s="113">
        <v>17.0</v>
      </c>
      <c r="B348" s="113">
        <v>2.6</v>
      </c>
      <c r="C348" s="113">
        <v>6.0</v>
      </c>
      <c r="D348" s="113">
        <v>0.9</v>
      </c>
      <c r="E348" s="113">
        <v>1.0</v>
      </c>
      <c r="F348" s="113">
        <v>1.6</v>
      </c>
      <c r="G348" s="113">
        <v>3.3</v>
      </c>
      <c r="H348" s="113">
        <v>0.9</v>
      </c>
      <c r="I348" s="113">
        <v>0.2</v>
      </c>
      <c r="J348" s="113">
        <v>0.4</v>
      </c>
      <c r="K348" s="113">
        <v>0.6</v>
      </c>
      <c r="L348" s="113">
        <v>7.5</v>
      </c>
      <c r="M348" s="113">
        <v>0.2</v>
      </c>
      <c r="N348" s="113">
        <v>0.0</v>
      </c>
      <c r="O348" t="str">
        <f>IFERROR(__xludf.DUMMYFUNCTION("regexextract(B348,""[\w]* [\w]*"")"),"#VALUE!")</f>
        <v>#VALUE!</v>
      </c>
      <c r="P348" t="str">
        <f t="shared" si="2"/>
        <v>#VALUE!</v>
      </c>
      <c r="Q348" t="str">
        <f t="shared" si="3"/>
        <v>#VALUE!</v>
      </c>
      <c r="R348" t="s">
        <v>227</v>
      </c>
      <c r="S348" s="14" t="s">
        <v>227</v>
      </c>
      <c r="T348" t="s">
        <v>227</v>
      </c>
      <c r="U348" t="s">
        <v>227</v>
      </c>
      <c r="V348" t="s">
        <v>227</v>
      </c>
      <c r="W348" t="str">
        <f t="shared" si="1"/>
        <v/>
      </c>
    </row>
    <row r="349">
      <c r="A349" s="112">
        <v>19.7</v>
      </c>
      <c r="B349" s="112">
        <v>3.9</v>
      </c>
      <c r="C349" s="112">
        <v>8.8</v>
      </c>
      <c r="D349" s="112">
        <v>2.1</v>
      </c>
      <c r="E349" s="112">
        <v>2.8</v>
      </c>
      <c r="F349" s="112">
        <v>1.1</v>
      </c>
      <c r="G349" s="112">
        <v>6.9</v>
      </c>
      <c r="H349" s="112">
        <v>2.3</v>
      </c>
      <c r="I349" s="112">
        <v>1.0</v>
      </c>
      <c r="J349" s="112">
        <v>0.8</v>
      </c>
      <c r="K349" s="112">
        <v>1.8</v>
      </c>
      <c r="L349" s="112">
        <v>11.0</v>
      </c>
      <c r="M349" s="112">
        <v>2.9</v>
      </c>
      <c r="N349" s="116">
        <v>-0.5</v>
      </c>
      <c r="O349" t="str">
        <f>IFERROR(__xludf.DUMMYFUNCTION("regexextract(B349,""[\w]* [\w]*"")"),"#VALUE!")</f>
        <v>#VALUE!</v>
      </c>
      <c r="P349" t="str">
        <f t="shared" si="2"/>
        <v>#VALUE!</v>
      </c>
      <c r="Q349" t="str">
        <f t="shared" si="3"/>
        <v>#VALUE!</v>
      </c>
      <c r="R349" t="s">
        <v>227</v>
      </c>
      <c r="S349" s="14" t="s">
        <v>227</v>
      </c>
      <c r="T349" t="s">
        <v>227</v>
      </c>
      <c r="U349" t="s">
        <v>227</v>
      </c>
      <c r="V349" t="s">
        <v>227</v>
      </c>
      <c r="W349" t="str">
        <f t="shared" si="1"/>
        <v/>
      </c>
    </row>
    <row r="350">
      <c r="A350" s="113">
        <v>19.3</v>
      </c>
      <c r="B350" s="113">
        <v>2.8</v>
      </c>
      <c r="C350" s="113">
        <v>7.0</v>
      </c>
      <c r="D350" s="113">
        <v>0.8</v>
      </c>
      <c r="E350" s="113">
        <v>1.6</v>
      </c>
      <c r="F350" s="113">
        <v>0.7</v>
      </c>
      <c r="G350" s="113">
        <v>3.2</v>
      </c>
      <c r="H350" s="113">
        <v>1.2</v>
      </c>
      <c r="I350" s="113">
        <v>0.7</v>
      </c>
      <c r="J350" s="113">
        <v>0.4</v>
      </c>
      <c r="K350" s="113">
        <v>1.1</v>
      </c>
      <c r="L350" s="113">
        <v>7.2</v>
      </c>
      <c r="M350" s="113">
        <v>0.2</v>
      </c>
      <c r="N350" s="113">
        <v>0.0</v>
      </c>
      <c r="O350" t="str">
        <f>IFERROR(__xludf.DUMMYFUNCTION("regexextract(B350,""[\w]* [\w]*"")"),"#VALUE!")</f>
        <v>#VALUE!</v>
      </c>
      <c r="P350" t="str">
        <f t="shared" si="2"/>
        <v>#VALUE!</v>
      </c>
      <c r="Q350" t="str">
        <f t="shared" si="3"/>
        <v>#VALUE!</v>
      </c>
      <c r="R350" t="s">
        <v>227</v>
      </c>
      <c r="S350" s="14" t="s">
        <v>227</v>
      </c>
      <c r="T350" t="s">
        <v>227</v>
      </c>
      <c r="U350" t="s">
        <v>227</v>
      </c>
      <c r="V350" t="s">
        <v>227</v>
      </c>
      <c r="W350" t="str">
        <f t="shared" si="1"/>
        <v/>
      </c>
    </row>
    <row r="351">
      <c r="A351" s="112">
        <v>19.5</v>
      </c>
      <c r="B351" s="112">
        <v>2.3</v>
      </c>
      <c r="C351" s="112">
        <v>4.0</v>
      </c>
      <c r="D351" s="112">
        <v>1.0</v>
      </c>
      <c r="E351" s="112">
        <v>1.9</v>
      </c>
      <c r="F351" s="112">
        <v>0.0</v>
      </c>
      <c r="G351" s="112">
        <v>5.4</v>
      </c>
      <c r="H351" s="112">
        <v>1.1</v>
      </c>
      <c r="I351" s="112">
        <v>0.2</v>
      </c>
      <c r="J351" s="112">
        <v>1.0</v>
      </c>
      <c r="K351" s="112">
        <v>1.0</v>
      </c>
      <c r="L351" s="112">
        <v>5.5</v>
      </c>
      <c r="M351" s="112">
        <v>0.3</v>
      </c>
      <c r="N351" s="112">
        <v>0.0</v>
      </c>
      <c r="O351" t="str">
        <f>IFERROR(__xludf.DUMMYFUNCTION("regexextract(B351,""[\w]* [\w]*"")"),"#VALUE!")</f>
        <v>#VALUE!</v>
      </c>
      <c r="P351" t="str">
        <f t="shared" si="2"/>
        <v>#VALUE!</v>
      </c>
      <c r="Q351" t="str">
        <f t="shared" si="3"/>
        <v>#VALUE!</v>
      </c>
      <c r="R351" t="s">
        <v>227</v>
      </c>
      <c r="S351" s="14" t="s">
        <v>227</v>
      </c>
      <c r="T351" t="s">
        <v>227</v>
      </c>
      <c r="U351" t="s">
        <v>227</v>
      </c>
      <c r="V351" t="s">
        <v>227</v>
      </c>
      <c r="W351" t="str">
        <f t="shared" si="1"/>
        <v/>
      </c>
    </row>
    <row r="352">
      <c r="A352" s="113">
        <v>19.2</v>
      </c>
      <c r="B352" s="113">
        <v>2.0</v>
      </c>
      <c r="C352" s="113">
        <v>4.2</v>
      </c>
      <c r="D352" s="113">
        <v>0.7</v>
      </c>
      <c r="E352" s="113">
        <v>1.0</v>
      </c>
      <c r="F352" s="113">
        <v>0.5</v>
      </c>
      <c r="G352" s="113">
        <v>2.9</v>
      </c>
      <c r="H352" s="113">
        <v>1.0</v>
      </c>
      <c r="I352" s="113">
        <v>0.8</v>
      </c>
      <c r="J352" s="113">
        <v>0.5</v>
      </c>
      <c r="K352" s="113">
        <v>0.6</v>
      </c>
      <c r="L352" s="113">
        <v>5.1</v>
      </c>
      <c r="M352" s="113">
        <v>0.1</v>
      </c>
      <c r="N352" s="113">
        <v>0.0</v>
      </c>
      <c r="O352" t="str">
        <f>IFERROR(__xludf.DUMMYFUNCTION("regexextract(B352,""[\w]* [\w]*"")"),"#VALUE!")</f>
        <v>#VALUE!</v>
      </c>
      <c r="P352" t="str">
        <f t="shared" si="2"/>
        <v>#VALUE!</v>
      </c>
      <c r="Q352" t="str">
        <f t="shared" si="3"/>
        <v>#VALUE!</v>
      </c>
      <c r="R352" t="s">
        <v>227</v>
      </c>
      <c r="S352" s="14" t="s">
        <v>227</v>
      </c>
      <c r="T352" t="s">
        <v>227</v>
      </c>
      <c r="U352" t="s">
        <v>227</v>
      </c>
      <c r="V352" t="s">
        <v>227</v>
      </c>
      <c r="W352" t="str">
        <f t="shared" si="1"/>
        <v/>
      </c>
    </row>
    <row r="353">
      <c r="A353" s="112">
        <v>18.2</v>
      </c>
      <c r="B353" s="112">
        <v>2.6</v>
      </c>
      <c r="C353" s="112">
        <v>5.8</v>
      </c>
      <c r="D353" s="112">
        <v>0.8</v>
      </c>
      <c r="E353" s="112">
        <v>1.3</v>
      </c>
      <c r="F353" s="112">
        <v>0.7</v>
      </c>
      <c r="G353" s="112">
        <v>3.1</v>
      </c>
      <c r="H353" s="112">
        <v>1.9</v>
      </c>
      <c r="I353" s="112">
        <v>0.7</v>
      </c>
      <c r="J353" s="112">
        <v>0.7</v>
      </c>
      <c r="K353" s="112">
        <v>1.1</v>
      </c>
      <c r="L353" s="112">
        <v>6.7</v>
      </c>
      <c r="M353" s="112">
        <v>0.2</v>
      </c>
      <c r="N353" s="112">
        <v>0.0</v>
      </c>
      <c r="O353" t="str">
        <f>IFERROR(__xludf.DUMMYFUNCTION("regexextract(B353,""[\w]* [\w]*"")"),"#VALUE!")</f>
        <v>#VALUE!</v>
      </c>
      <c r="P353" t="str">
        <f t="shared" si="2"/>
        <v>#VALUE!</v>
      </c>
      <c r="Q353" t="str">
        <f t="shared" si="3"/>
        <v>#VALUE!</v>
      </c>
      <c r="R353" t="s">
        <v>227</v>
      </c>
      <c r="S353" s="14" t="s">
        <v>227</v>
      </c>
      <c r="T353" t="s">
        <v>227</v>
      </c>
      <c r="U353" t="s">
        <v>227</v>
      </c>
      <c r="V353" t="s">
        <v>227</v>
      </c>
      <c r="W353" t="str">
        <f t="shared" si="1"/>
        <v/>
      </c>
    </row>
    <row r="354">
      <c r="A354" s="113">
        <v>17.2</v>
      </c>
      <c r="B354" s="113">
        <v>1.7</v>
      </c>
      <c r="C354" s="113">
        <v>3.9</v>
      </c>
      <c r="D354" s="113">
        <v>0.6</v>
      </c>
      <c r="E354" s="113">
        <v>1.0</v>
      </c>
      <c r="F354" s="113">
        <v>0.3</v>
      </c>
      <c r="G354" s="113">
        <v>3.2</v>
      </c>
      <c r="H354" s="113">
        <v>1.8</v>
      </c>
      <c r="I354" s="113">
        <v>0.8</v>
      </c>
      <c r="J354" s="113">
        <v>0.2</v>
      </c>
      <c r="K354" s="113">
        <v>0.8</v>
      </c>
      <c r="L354" s="113">
        <v>4.3</v>
      </c>
      <c r="M354" s="113">
        <v>0.1</v>
      </c>
      <c r="N354" s="113">
        <v>0.0</v>
      </c>
      <c r="O354" t="str">
        <f>IFERROR(__xludf.DUMMYFUNCTION("regexextract(B354,""[\w]* [\w]*"")"),"#VALUE!")</f>
        <v>#VALUE!</v>
      </c>
      <c r="P354" t="str">
        <f t="shared" si="2"/>
        <v>#VALUE!</v>
      </c>
      <c r="Q354" t="str">
        <f t="shared" si="3"/>
        <v>#VALUE!</v>
      </c>
      <c r="R354" t="s">
        <v>227</v>
      </c>
      <c r="S354" s="14" t="s">
        <v>227</v>
      </c>
      <c r="T354" t="s">
        <v>227</v>
      </c>
      <c r="U354" t="s">
        <v>227</v>
      </c>
      <c r="V354" t="s">
        <v>227</v>
      </c>
      <c r="W354" t="str">
        <f t="shared" si="1"/>
        <v/>
      </c>
    </row>
    <row r="355">
      <c r="A355" s="112">
        <v>16.9</v>
      </c>
      <c r="B355" s="112">
        <v>2.2</v>
      </c>
      <c r="C355" s="112">
        <v>5.6</v>
      </c>
      <c r="D355" s="112">
        <v>1.2</v>
      </c>
      <c r="E355" s="112">
        <v>1.8</v>
      </c>
      <c r="F355" s="112">
        <v>0.4</v>
      </c>
      <c r="G355" s="112">
        <v>3.0</v>
      </c>
      <c r="H355" s="112">
        <v>2.6</v>
      </c>
      <c r="I355" s="112">
        <v>0.7</v>
      </c>
      <c r="J355" s="112">
        <v>0.4</v>
      </c>
      <c r="K355" s="112">
        <v>1.3</v>
      </c>
      <c r="L355" s="112">
        <v>6.1</v>
      </c>
      <c r="M355" s="112">
        <v>0.4</v>
      </c>
      <c r="N355" s="116">
        <v>-0.1</v>
      </c>
      <c r="O355" t="str">
        <f>IFERROR(__xludf.DUMMYFUNCTION("regexextract(B355,""[\w]* [\w]*"")"),"#VALUE!")</f>
        <v>#VALUE!</v>
      </c>
      <c r="P355" t="str">
        <f t="shared" si="2"/>
        <v>#VALUE!</v>
      </c>
      <c r="Q355" t="str">
        <f t="shared" si="3"/>
        <v>#VALUE!</v>
      </c>
      <c r="R355" t="s">
        <v>227</v>
      </c>
      <c r="S355" s="14" t="s">
        <v>227</v>
      </c>
      <c r="T355" t="s">
        <v>227</v>
      </c>
      <c r="U355" t="s">
        <v>227</v>
      </c>
      <c r="V355" t="s">
        <v>227</v>
      </c>
      <c r="W355" t="str">
        <f t="shared" si="1"/>
        <v/>
      </c>
    </row>
    <row r="356">
      <c r="A356" s="113">
        <v>18.0</v>
      </c>
      <c r="B356" s="113">
        <v>1.7</v>
      </c>
      <c r="C356" s="113">
        <v>4.4</v>
      </c>
      <c r="D356" s="113">
        <v>1.0</v>
      </c>
      <c r="E356" s="113">
        <v>1.2</v>
      </c>
      <c r="F356" s="113">
        <v>0.6</v>
      </c>
      <c r="G356" s="113">
        <v>4.6</v>
      </c>
      <c r="H356" s="113">
        <v>1.0</v>
      </c>
      <c r="I356" s="113">
        <v>0.7</v>
      </c>
      <c r="J356" s="113">
        <v>0.3</v>
      </c>
      <c r="K356" s="113">
        <v>0.8</v>
      </c>
      <c r="L356" s="113">
        <v>5.0</v>
      </c>
      <c r="M356" s="113">
        <v>0.1</v>
      </c>
      <c r="N356" s="113">
        <v>0.0</v>
      </c>
      <c r="O356" t="str">
        <f>IFERROR(__xludf.DUMMYFUNCTION("regexextract(B356,""[\w]* [\w]*"")"),"#VALUE!")</f>
        <v>#VALUE!</v>
      </c>
      <c r="P356" t="str">
        <f t="shared" si="2"/>
        <v>#VALUE!</v>
      </c>
      <c r="Q356" t="str">
        <f t="shared" si="3"/>
        <v>#VALUE!</v>
      </c>
      <c r="R356" t="s">
        <v>227</v>
      </c>
      <c r="S356" s="14" t="s">
        <v>227</v>
      </c>
      <c r="T356" t="s">
        <v>227</v>
      </c>
      <c r="U356" t="s">
        <v>227</v>
      </c>
      <c r="V356" t="s">
        <v>227</v>
      </c>
      <c r="W356" t="str">
        <f t="shared" si="1"/>
        <v/>
      </c>
    </row>
    <row r="357">
      <c r="A357" s="112">
        <v>12.7</v>
      </c>
      <c r="B357" s="112">
        <v>1.8</v>
      </c>
      <c r="C357" s="112">
        <v>4.4</v>
      </c>
      <c r="D357" s="112">
        <v>0.5</v>
      </c>
      <c r="E357" s="112">
        <v>0.7</v>
      </c>
      <c r="F357" s="112">
        <v>0.8</v>
      </c>
      <c r="G357" s="112">
        <v>3.2</v>
      </c>
      <c r="H357" s="112">
        <v>0.8</v>
      </c>
      <c r="I357" s="112">
        <v>0.3</v>
      </c>
      <c r="J357" s="112">
        <v>0.4</v>
      </c>
      <c r="K357" s="112">
        <v>0.6</v>
      </c>
      <c r="L357" s="112">
        <v>4.8</v>
      </c>
      <c r="M357" s="112">
        <v>0.1</v>
      </c>
      <c r="N357" s="112">
        <v>0.0</v>
      </c>
      <c r="O357" t="str">
        <f>IFERROR(__xludf.DUMMYFUNCTION("regexextract(B357,""[\w]* [\w]*"")"),"#VALUE!")</f>
        <v>#VALUE!</v>
      </c>
      <c r="P357" t="str">
        <f t="shared" si="2"/>
        <v>#VALUE!</v>
      </c>
      <c r="Q357" t="str">
        <f t="shared" si="3"/>
        <v>#VALUE!</v>
      </c>
      <c r="R357" t="s">
        <v>227</v>
      </c>
      <c r="S357" s="14" t="s">
        <v>227</v>
      </c>
      <c r="T357" t="s">
        <v>227</v>
      </c>
      <c r="U357" t="s">
        <v>227</v>
      </c>
      <c r="V357" t="s">
        <v>227</v>
      </c>
      <c r="W357" t="str">
        <f t="shared" si="1"/>
        <v/>
      </c>
    </row>
    <row r="358">
      <c r="A358" s="113">
        <v>15.4</v>
      </c>
      <c r="B358" s="113">
        <v>2.7</v>
      </c>
      <c r="C358" s="113">
        <v>6.3</v>
      </c>
      <c r="D358" s="113">
        <v>0.9</v>
      </c>
      <c r="E358" s="113">
        <v>1.1</v>
      </c>
      <c r="F358" s="113">
        <v>0.9</v>
      </c>
      <c r="G358" s="113">
        <v>1.1</v>
      </c>
      <c r="H358" s="113">
        <v>1.7</v>
      </c>
      <c r="I358" s="113">
        <v>0.5</v>
      </c>
      <c r="J358" s="113">
        <v>0.1</v>
      </c>
      <c r="K358" s="113">
        <v>0.6</v>
      </c>
      <c r="L358" s="113">
        <v>7.3</v>
      </c>
      <c r="M358" s="113">
        <v>0.2</v>
      </c>
      <c r="N358" s="113">
        <v>0.0</v>
      </c>
      <c r="O358" t="str">
        <f>IFERROR(__xludf.DUMMYFUNCTION("regexextract(B358,""[\w]* [\w]*"")"),"#VALUE!")</f>
        <v>#VALUE!</v>
      </c>
      <c r="P358" t="str">
        <f t="shared" si="2"/>
        <v>#VALUE!</v>
      </c>
      <c r="Q358" t="str">
        <f t="shared" si="3"/>
        <v>#VALUE!</v>
      </c>
      <c r="R358" t="s">
        <v>227</v>
      </c>
      <c r="S358" s="14" t="s">
        <v>227</v>
      </c>
      <c r="T358" t="s">
        <v>227</v>
      </c>
      <c r="U358" t="s">
        <v>227</v>
      </c>
      <c r="V358" t="s">
        <v>227</v>
      </c>
      <c r="W358" t="str">
        <f t="shared" si="1"/>
        <v/>
      </c>
    </row>
    <row r="359">
      <c r="A359" s="112">
        <v>18.4</v>
      </c>
      <c r="B359" s="112">
        <v>2.5</v>
      </c>
      <c r="C359" s="112">
        <v>5.3</v>
      </c>
      <c r="D359" s="112">
        <v>1.3</v>
      </c>
      <c r="E359" s="112">
        <v>1.7</v>
      </c>
      <c r="F359" s="112">
        <v>0.5</v>
      </c>
      <c r="G359" s="112">
        <v>4.2</v>
      </c>
      <c r="H359" s="112">
        <v>1.0</v>
      </c>
      <c r="I359" s="112">
        <v>0.3</v>
      </c>
      <c r="J359" s="112">
        <v>0.8</v>
      </c>
      <c r="K359" s="112">
        <v>1.1</v>
      </c>
      <c r="L359" s="112">
        <v>6.9</v>
      </c>
      <c r="M359" s="112">
        <v>0.7</v>
      </c>
      <c r="N359" s="116">
        <v>-0.2</v>
      </c>
      <c r="O359" t="str">
        <f>IFERROR(__xludf.DUMMYFUNCTION("regexextract(B359,""[\w]* [\w]*"")"),"#VALUE!")</f>
        <v>#VALUE!</v>
      </c>
      <c r="P359" t="str">
        <f t="shared" si="2"/>
        <v>#VALUE!</v>
      </c>
      <c r="Q359" t="str">
        <f t="shared" si="3"/>
        <v>#VALUE!</v>
      </c>
      <c r="R359" t="s">
        <v>227</v>
      </c>
      <c r="S359" s="14" t="s">
        <v>227</v>
      </c>
      <c r="T359" t="s">
        <v>227</v>
      </c>
      <c r="U359" t="s">
        <v>227</v>
      </c>
      <c r="V359" t="s">
        <v>227</v>
      </c>
      <c r="W359" t="str">
        <f t="shared" si="1"/>
        <v/>
      </c>
    </row>
    <row r="360">
      <c r="A360" s="113">
        <v>15.6</v>
      </c>
      <c r="B360" s="113">
        <v>2.6</v>
      </c>
      <c r="C360" s="113">
        <v>5.1</v>
      </c>
      <c r="D360" s="113">
        <v>1.1</v>
      </c>
      <c r="E360" s="113">
        <v>1.4</v>
      </c>
      <c r="F360" s="113">
        <v>0.6</v>
      </c>
      <c r="G360" s="113">
        <v>1.7</v>
      </c>
      <c r="H360" s="113">
        <v>1.0</v>
      </c>
      <c r="I360" s="113">
        <v>0.6</v>
      </c>
      <c r="J360" s="113">
        <v>0.2</v>
      </c>
      <c r="K360" s="113">
        <v>0.9</v>
      </c>
      <c r="L360" s="113">
        <v>6.8</v>
      </c>
      <c r="M360" s="113">
        <v>0.2</v>
      </c>
      <c r="N360" s="117">
        <v>-0.1</v>
      </c>
      <c r="O360" t="str">
        <f>IFERROR(__xludf.DUMMYFUNCTION("regexextract(B360,""[\w]* [\w]*"")"),"#VALUE!")</f>
        <v>#VALUE!</v>
      </c>
      <c r="P360" t="str">
        <f t="shared" si="2"/>
        <v>#VALUE!</v>
      </c>
      <c r="Q360" t="str">
        <f t="shared" si="3"/>
        <v>#VALUE!</v>
      </c>
      <c r="R360" t="s">
        <v>227</v>
      </c>
      <c r="S360" s="14" t="s">
        <v>227</v>
      </c>
      <c r="T360" t="s">
        <v>227</v>
      </c>
      <c r="U360" t="s">
        <v>227</v>
      </c>
      <c r="V360" t="s">
        <v>227</v>
      </c>
      <c r="W360" t="str">
        <f t="shared" si="1"/>
        <v/>
      </c>
    </row>
    <row r="361">
      <c r="A361" s="112">
        <v>14.4</v>
      </c>
      <c r="B361" s="112">
        <v>2.2</v>
      </c>
      <c r="C361" s="112">
        <v>5.0</v>
      </c>
      <c r="D361" s="112">
        <v>0.3</v>
      </c>
      <c r="E361" s="112">
        <v>0.3</v>
      </c>
      <c r="F361" s="112">
        <v>1.5</v>
      </c>
      <c r="G361" s="112">
        <v>2.2</v>
      </c>
      <c r="H361" s="112">
        <v>0.7</v>
      </c>
      <c r="I361" s="112">
        <v>0.3</v>
      </c>
      <c r="J361" s="112">
        <v>0.1</v>
      </c>
      <c r="K361" s="112">
        <v>0.6</v>
      </c>
      <c r="L361" s="112">
        <v>6.2</v>
      </c>
      <c r="M361" s="112">
        <v>0.1</v>
      </c>
      <c r="N361" s="112">
        <v>0.0</v>
      </c>
      <c r="O361" t="str">
        <f>IFERROR(__xludf.DUMMYFUNCTION("regexextract(B361,""[\w]* [\w]*"")"),"#VALUE!")</f>
        <v>#VALUE!</v>
      </c>
      <c r="P361" t="str">
        <f t="shared" si="2"/>
        <v>#VALUE!</v>
      </c>
      <c r="Q361" t="str">
        <f t="shared" si="3"/>
        <v>#VALUE!</v>
      </c>
      <c r="R361" t="s">
        <v>227</v>
      </c>
      <c r="S361" s="14" t="s">
        <v>227</v>
      </c>
      <c r="T361" t="s">
        <v>227</v>
      </c>
      <c r="U361" t="s">
        <v>227</v>
      </c>
      <c r="V361" t="s">
        <v>227</v>
      </c>
      <c r="W361" t="str">
        <f t="shared" si="1"/>
        <v/>
      </c>
    </row>
    <row r="362">
      <c r="A362" s="113">
        <v>19.0</v>
      </c>
      <c r="B362" s="113">
        <v>2.9</v>
      </c>
      <c r="C362" s="113">
        <v>6.3</v>
      </c>
      <c r="D362" s="113">
        <v>0.8</v>
      </c>
      <c r="E362" s="113">
        <v>1.1</v>
      </c>
      <c r="F362" s="113">
        <v>0.7</v>
      </c>
      <c r="G362" s="113">
        <v>5.2</v>
      </c>
      <c r="H362" s="113">
        <v>1.1</v>
      </c>
      <c r="I362" s="113">
        <v>0.3</v>
      </c>
      <c r="J362" s="113">
        <v>0.5</v>
      </c>
      <c r="K362" s="113">
        <v>0.9</v>
      </c>
      <c r="L362" s="113">
        <v>7.4</v>
      </c>
      <c r="M362" s="113">
        <v>0.2</v>
      </c>
      <c r="N362" s="113">
        <v>0.0</v>
      </c>
      <c r="O362" t="str">
        <f>IFERROR(__xludf.DUMMYFUNCTION("regexextract(B362,""[\w]* [\w]*"")"),"#VALUE!")</f>
        <v>#VALUE!</v>
      </c>
      <c r="P362" t="str">
        <f t="shared" si="2"/>
        <v>#VALUE!</v>
      </c>
      <c r="Q362" t="str">
        <f t="shared" si="3"/>
        <v>#VALUE!</v>
      </c>
      <c r="R362" t="s">
        <v>227</v>
      </c>
      <c r="S362" s="14" t="s">
        <v>227</v>
      </c>
      <c r="T362" t="s">
        <v>227</v>
      </c>
      <c r="U362" t="s">
        <v>227</v>
      </c>
      <c r="V362" t="s">
        <v>227</v>
      </c>
      <c r="W362" t="str">
        <f t="shared" si="1"/>
        <v/>
      </c>
    </row>
    <row r="363">
      <c r="A363" s="112">
        <v>17.2</v>
      </c>
      <c r="B363" s="112">
        <v>1.9</v>
      </c>
      <c r="C363" s="112">
        <v>4.8</v>
      </c>
      <c r="D363" s="112">
        <v>1.4</v>
      </c>
      <c r="E363" s="112">
        <v>1.6</v>
      </c>
      <c r="F363" s="112">
        <v>0.4</v>
      </c>
      <c r="G363" s="112">
        <v>1.7</v>
      </c>
      <c r="H363" s="112">
        <v>2.6</v>
      </c>
      <c r="I363" s="112">
        <v>0.7</v>
      </c>
      <c r="J363" s="112">
        <v>0.2</v>
      </c>
      <c r="K363" s="112">
        <v>1.1</v>
      </c>
      <c r="L363" s="112">
        <v>5.7</v>
      </c>
      <c r="M363" s="112">
        <v>0.1</v>
      </c>
      <c r="N363" s="112">
        <v>0.0</v>
      </c>
      <c r="O363" t="str">
        <f>IFERROR(__xludf.DUMMYFUNCTION("regexextract(B363,""[\w]* [\w]*"")"),"#VALUE!")</f>
        <v>#VALUE!</v>
      </c>
      <c r="P363" t="str">
        <f t="shared" si="2"/>
        <v>#VALUE!</v>
      </c>
      <c r="Q363" t="str">
        <f t="shared" si="3"/>
        <v>#VALUE!</v>
      </c>
      <c r="R363" t="s">
        <v>227</v>
      </c>
      <c r="S363" s="14" t="s">
        <v>227</v>
      </c>
      <c r="T363" t="s">
        <v>227</v>
      </c>
      <c r="U363" t="s">
        <v>227</v>
      </c>
      <c r="V363" t="s">
        <v>227</v>
      </c>
      <c r="W363" t="str">
        <f t="shared" si="1"/>
        <v/>
      </c>
    </row>
    <row r="364">
      <c r="A364" s="113">
        <v>13.3</v>
      </c>
      <c r="B364" s="113">
        <v>2.5</v>
      </c>
      <c r="C364" s="113">
        <v>4.2</v>
      </c>
      <c r="D364" s="113">
        <v>0.8</v>
      </c>
      <c r="E364" s="113">
        <v>1.1</v>
      </c>
      <c r="F364" s="113">
        <v>0.1</v>
      </c>
      <c r="G364" s="113">
        <v>2.5</v>
      </c>
      <c r="H364" s="113">
        <v>0.6</v>
      </c>
      <c r="I364" s="113">
        <v>0.1</v>
      </c>
      <c r="J364" s="113">
        <v>0.5</v>
      </c>
      <c r="K364" s="113">
        <v>0.8</v>
      </c>
      <c r="L364" s="113">
        <v>5.9</v>
      </c>
      <c r="M364" s="113">
        <v>0.3</v>
      </c>
      <c r="N364" s="113">
        <v>0.0</v>
      </c>
      <c r="O364" t="str">
        <f>IFERROR(__xludf.DUMMYFUNCTION("regexextract(B364,""[\w]* [\w]*"")"),"#VALUE!")</f>
        <v>#VALUE!</v>
      </c>
      <c r="P364" t="str">
        <f t="shared" si="2"/>
        <v>#VALUE!</v>
      </c>
      <c r="Q364" t="str">
        <f t="shared" si="3"/>
        <v>#VALUE!</v>
      </c>
      <c r="R364" t="s">
        <v>227</v>
      </c>
      <c r="S364" s="14" t="s">
        <v>227</v>
      </c>
      <c r="T364" t="s">
        <v>227</v>
      </c>
      <c r="U364" t="s">
        <v>227</v>
      </c>
      <c r="V364" t="s">
        <v>227</v>
      </c>
      <c r="W364" t="str">
        <f t="shared" si="1"/>
        <v/>
      </c>
    </row>
    <row r="365">
      <c r="A365" s="90" t="s">
        <v>531</v>
      </c>
      <c r="C365" s="92"/>
      <c r="D365" s="92"/>
      <c r="E365" s="92"/>
      <c r="F365" s="92"/>
      <c r="G365" s="92"/>
      <c r="O365" t="str">
        <f>IFERROR(__xludf.DUMMYFUNCTION("regexextract(B365,""[\w]* [\w]*"")"),"#N/A")</f>
        <v>#N/A</v>
      </c>
      <c r="P365" t="str">
        <f t="shared" si="2"/>
        <v>#N/A</v>
      </c>
      <c r="Q365" t="str">
        <f t="shared" si="3"/>
        <v>#N/A</v>
      </c>
      <c r="R365" t="s">
        <v>227</v>
      </c>
      <c r="S365" s="14" t="s">
        <v>227</v>
      </c>
      <c r="T365" t="s">
        <v>227</v>
      </c>
      <c r="U365" t="s">
        <v>227</v>
      </c>
      <c r="V365" t="s">
        <v>227</v>
      </c>
      <c r="W365" t="str">
        <f t="shared" si="1"/>
        <v/>
      </c>
    </row>
    <row r="366">
      <c r="A366" s="118" t="s">
        <v>532</v>
      </c>
      <c r="B366" s="118" t="s">
        <v>533</v>
      </c>
      <c r="C366" s="96"/>
      <c r="D366" s="96"/>
      <c r="E366" s="96"/>
      <c r="F366" s="96"/>
      <c r="G366" s="96"/>
      <c r="O366" t="str">
        <f>IFERROR(__xludf.DUMMYFUNCTION("regexextract(B366,""[\w]* [\w]*"")"),"#N/A")</f>
        <v>#N/A</v>
      </c>
      <c r="P366" t="str">
        <f t="shared" si="2"/>
        <v>#N/A</v>
      </c>
      <c r="Q366" t="str">
        <f t="shared" si="3"/>
        <v>#N/A</v>
      </c>
      <c r="R366" t="s">
        <v>227</v>
      </c>
      <c r="S366" s="14" t="s">
        <v>227</v>
      </c>
      <c r="T366" t="s">
        <v>227</v>
      </c>
      <c r="U366" t="s">
        <v>227</v>
      </c>
      <c r="V366" t="s">
        <v>227</v>
      </c>
      <c r="W366" t="str">
        <f t="shared" si="1"/>
        <v/>
      </c>
    </row>
    <row r="367">
      <c r="A367" s="112">
        <v>1176.0</v>
      </c>
      <c r="B367" s="112">
        <v>16.1</v>
      </c>
      <c r="C367" s="92"/>
      <c r="D367" s="92"/>
      <c r="E367" s="92"/>
      <c r="F367" s="92"/>
      <c r="G367" s="92"/>
      <c r="O367" t="str">
        <f>IFERROR(__xludf.DUMMYFUNCTION("regexextract(B367,""[\w]* [\w]*"")"),"#VALUE!")</f>
        <v>#VALUE!</v>
      </c>
      <c r="P367" t="str">
        <f t="shared" si="2"/>
        <v>#VALUE!</v>
      </c>
      <c r="Q367" t="str">
        <f t="shared" si="3"/>
        <v>#VALUE!</v>
      </c>
      <c r="R367" t="s">
        <v>227</v>
      </c>
      <c r="S367" s="14" t="s">
        <v>227</v>
      </c>
      <c r="T367" t="s">
        <v>227</v>
      </c>
      <c r="U367" t="s">
        <v>227</v>
      </c>
      <c r="V367" t="s">
        <v>227</v>
      </c>
      <c r="W367" t="str">
        <f t="shared" si="1"/>
        <v/>
      </c>
    </row>
    <row r="368">
      <c r="A368" s="119">
        <v>1166.0</v>
      </c>
      <c r="B368" s="119">
        <v>16.9</v>
      </c>
      <c r="C368" s="96"/>
      <c r="D368" s="96"/>
      <c r="E368" s="96"/>
      <c r="F368" s="96"/>
      <c r="G368" s="96"/>
      <c r="O368" t="str">
        <f>IFERROR(__xludf.DUMMYFUNCTION("regexextract(B368,""[\w]* [\w]*"")"),"#VALUE!")</f>
        <v>#VALUE!</v>
      </c>
      <c r="P368" t="str">
        <f t="shared" si="2"/>
        <v>#VALUE!</v>
      </c>
      <c r="Q368" t="str">
        <f t="shared" si="3"/>
        <v>#VALUE!</v>
      </c>
      <c r="R368" t="s">
        <v>227</v>
      </c>
      <c r="S368" s="14" t="s">
        <v>227</v>
      </c>
      <c r="T368" t="s">
        <v>227</v>
      </c>
      <c r="U368" t="s">
        <v>227</v>
      </c>
      <c r="V368" t="s">
        <v>227</v>
      </c>
      <c r="W368" t="str">
        <f t="shared" si="1"/>
        <v/>
      </c>
    </row>
    <row r="369">
      <c r="A369" s="112">
        <v>1152.0</v>
      </c>
      <c r="B369" s="112">
        <v>17.2</v>
      </c>
      <c r="C369" s="92"/>
      <c r="D369" s="92"/>
      <c r="E369" s="92"/>
      <c r="F369" s="92"/>
      <c r="G369" s="92"/>
      <c r="O369" t="str">
        <f>IFERROR(__xludf.DUMMYFUNCTION("regexextract(B369,""[\w]* [\w]*"")"),"#VALUE!")</f>
        <v>#VALUE!</v>
      </c>
      <c r="P369" t="str">
        <f t="shared" si="2"/>
        <v>#VALUE!</v>
      </c>
      <c r="Q369" t="str">
        <f t="shared" si="3"/>
        <v>#VALUE!</v>
      </c>
      <c r="R369" t="s">
        <v>227</v>
      </c>
      <c r="S369" s="14" t="s">
        <v>227</v>
      </c>
      <c r="T369" t="s">
        <v>227</v>
      </c>
      <c r="U369" t="s">
        <v>227</v>
      </c>
      <c r="V369" t="s">
        <v>227</v>
      </c>
      <c r="W369" t="str">
        <f t="shared" si="1"/>
        <v/>
      </c>
    </row>
    <row r="370">
      <c r="A370" s="119">
        <v>1151.0</v>
      </c>
      <c r="B370" s="119">
        <v>16.9</v>
      </c>
      <c r="C370" s="96"/>
      <c r="D370" s="96"/>
      <c r="E370" s="96"/>
      <c r="F370" s="96"/>
      <c r="G370" s="96"/>
      <c r="O370" t="str">
        <f>IFERROR(__xludf.DUMMYFUNCTION("regexextract(B370,""[\w]* [\w]*"")"),"#VALUE!")</f>
        <v>#VALUE!</v>
      </c>
      <c r="P370" t="str">
        <f t="shared" si="2"/>
        <v>#VALUE!</v>
      </c>
      <c r="Q370" t="str">
        <f t="shared" si="3"/>
        <v>#VALUE!</v>
      </c>
      <c r="R370" t="s">
        <v>227</v>
      </c>
      <c r="S370" s="14" t="s">
        <v>227</v>
      </c>
      <c r="T370" t="s">
        <v>227</v>
      </c>
      <c r="U370" t="s">
        <v>227</v>
      </c>
      <c r="V370" t="s">
        <v>227</v>
      </c>
      <c r="W370" t="str">
        <f t="shared" si="1"/>
        <v/>
      </c>
    </row>
    <row r="371">
      <c r="A371" s="112">
        <v>1148.0</v>
      </c>
      <c r="B371" s="112">
        <v>16.2</v>
      </c>
      <c r="C371" s="92"/>
      <c r="D371" s="92"/>
      <c r="E371" s="92"/>
      <c r="F371" s="92"/>
      <c r="G371" s="92"/>
      <c r="O371" t="str">
        <f>IFERROR(__xludf.DUMMYFUNCTION("regexextract(B371,""[\w]* [\w]*"")"),"#VALUE!")</f>
        <v>#VALUE!</v>
      </c>
      <c r="P371" t="str">
        <f t="shared" si="2"/>
        <v>#VALUE!</v>
      </c>
      <c r="Q371" t="str">
        <f t="shared" si="3"/>
        <v>#VALUE!</v>
      </c>
      <c r="R371" t="s">
        <v>227</v>
      </c>
      <c r="S371" s="14" t="s">
        <v>227</v>
      </c>
      <c r="T371" t="s">
        <v>227</v>
      </c>
      <c r="U371" t="s">
        <v>227</v>
      </c>
      <c r="V371" t="s">
        <v>227</v>
      </c>
      <c r="W371" t="str">
        <f t="shared" si="1"/>
        <v/>
      </c>
    </row>
    <row r="372">
      <c r="A372" s="119">
        <v>1136.0</v>
      </c>
      <c r="B372" s="119">
        <v>15.8</v>
      </c>
      <c r="C372" s="96"/>
      <c r="D372" s="96"/>
      <c r="E372" s="96"/>
      <c r="F372" s="96"/>
      <c r="G372" s="96"/>
      <c r="O372" t="str">
        <f>IFERROR(__xludf.DUMMYFUNCTION("regexextract(B372,""[\w]* [\w]*"")"),"#VALUE!")</f>
        <v>#VALUE!</v>
      </c>
      <c r="P372" t="str">
        <f t="shared" si="2"/>
        <v>#VALUE!</v>
      </c>
      <c r="Q372" t="str">
        <f t="shared" si="3"/>
        <v>#VALUE!</v>
      </c>
      <c r="R372" t="s">
        <v>227</v>
      </c>
      <c r="S372" s="14" t="s">
        <v>227</v>
      </c>
      <c r="T372" t="s">
        <v>227</v>
      </c>
      <c r="U372" t="s">
        <v>227</v>
      </c>
      <c r="V372" t="s">
        <v>227</v>
      </c>
      <c r="W372" t="str">
        <f t="shared" si="1"/>
        <v/>
      </c>
    </row>
    <row r="373">
      <c r="A373" s="112">
        <v>1134.0</v>
      </c>
      <c r="B373" s="112">
        <v>15.8</v>
      </c>
      <c r="C373" s="92"/>
      <c r="D373" s="92"/>
      <c r="E373" s="92"/>
      <c r="F373" s="92"/>
      <c r="G373" s="92"/>
      <c r="O373" t="str">
        <f>IFERROR(__xludf.DUMMYFUNCTION("regexextract(B373,""[\w]* [\w]*"")"),"#VALUE!")</f>
        <v>#VALUE!</v>
      </c>
      <c r="P373" t="str">
        <f t="shared" si="2"/>
        <v>#VALUE!</v>
      </c>
      <c r="Q373" t="str">
        <f t="shared" si="3"/>
        <v>#VALUE!</v>
      </c>
      <c r="R373" t="s">
        <v>227</v>
      </c>
      <c r="S373" s="14" t="s">
        <v>227</v>
      </c>
      <c r="T373" t="s">
        <v>227</v>
      </c>
      <c r="U373" t="s">
        <v>227</v>
      </c>
      <c r="V373" t="s">
        <v>227</v>
      </c>
      <c r="W373" t="str">
        <f t="shared" si="1"/>
        <v/>
      </c>
    </row>
    <row r="374">
      <c r="A374" s="119">
        <v>1131.0</v>
      </c>
      <c r="B374" s="119">
        <v>16.4</v>
      </c>
      <c r="C374" s="96"/>
      <c r="D374" s="96"/>
      <c r="E374" s="96"/>
      <c r="F374" s="96"/>
      <c r="G374" s="96"/>
      <c r="O374" t="str">
        <f>IFERROR(__xludf.DUMMYFUNCTION("regexextract(B374,""[\w]* [\w]*"")"),"#VALUE!")</f>
        <v>#VALUE!</v>
      </c>
      <c r="P374" t="str">
        <f t="shared" si="2"/>
        <v>#VALUE!</v>
      </c>
      <c r="Q374" t="str">
        <f t="shared" si="3"/>
        <v>#VALUE!</v>
      </c>
      <c r="R374" t="s">
        <v>227</v>
      </c>
      <c r="S374" s="14" t="s">
        <v>227</v>
      </c>
      <c r="T374" t="s">
        <v>227</v>
      </c>
      <c r="U374" t="s">
        <v>227</v>
      </c>
      <c r="V374" t="s">
        <v>227</v>
      </c>
      <c r="W374" t="str">
        <f t="shared" si="1"/>
        <v/>
      </c>
    </row>
    <row r="375">
      <c r="A375" s="112">
        <v>1126.0</v>
      </c>
      <c r="B375" s="112">
        <v>36.3</v>
      </c>
      <c r="C375" s="92"/>
      <c r="D375" s="92"/>
      <c r="E375" s="92"/>
      <c r="F375" s="92"/>
      <c r="G375" s="92"/>
      <c r="O375" t="str">
        <f>IFERROR(__xludf.DUMMYFUNCTION("regexextract(B375,""[\w]* [\w]*"")"),"#VALUE!")</f>
        <v>#VALUE!</v>
      </c>
      <c r="P375" t="str">
        <f t="shared" si="2"/>
        <v>#VALUE!</v>
      </c>
      <c r="Q375" t="str">
        <f t="shared" si="3"/>
        <v>#VALUE!</v>
      </c>
      <c r="R375" t="s">
        <v>227</v>
      </c>
      <c r="S375" s="14" t="s">
        <v>227</v>
      </c>
      <c r="T375" t="s">
        <v>227</v>
      </c>
      <c r="U375" t="s">
        <v>227</v>
      </c>
      <c r="V375" t="s">
        <v>227</v>
      </c>
      <c r="W375" t="str">
        <f t="shared" si="1"/>
        <v/>
      </c>
    </row>
    <row r="376">
      <c r="A376" s="119">
        <v>1123.0</v>
      </c>
      <c r="B376" s="119">
        <v>17.0</v>
      </c>
      <c r="C376" s="96"/>
      <c r="D376" s="96"/>
      <c r="E376" s="96"/>
      <c r="F376" s="96"/>
      <c r="G376" s="96"/>
      <c r="O376" t="str">
        <f>IFERROR(__xludf.DUMMYFUNCTION("regexextract(B376,""[\w]* [\w]*"")"),"#VALUE!")</f>
        <v>#VALUE!</v>
      </c>
      <c r="P376" t="str">
        <f t="shared" si="2"/>
        <v>#VALUE!</v>
      </c>
      <c r="Q376" t="str">
        <f t="shared" si="3"/>
        <v>#VALUE!</v>
      </c>
      <c r="R376" t="s">
        <v>227</v>
      </c>
      <c r="S376" s="14" t="s">
        <v>227</v>
      </c>
      <c r="T376" t="s">
        <v>227</v>
      </c>
      <c r="U376" t="s">
        <v>227</v>
      </c>
      <c r="V376" t="s">
        <v>227</v>
      </c>
      <c r="W376" t="str">
        <f t="shared" si="1"/>
        <v/>
      </c>
    </row>
    <row r="377">
      <c r="A377" s="112">
        <v>1116.0</v>
      </c>
      <c r="B377" s="112">
        <v>16.4</v>
      </c>
      <c r="C377" s="92"/>
      <c r="D377" s="92"/>
      <c r="E377" s="92"/>
      <c r="F377" s="92"/>
      <c r="G377" s="92"/>
      <c r="O377" t="str">
        <f>IFERROR(__xludf.DUMMYFUNCTION("regexextract(B377,""[\w]* [\w]*"")"),"#VALUE!")</f>
        <v>#VALUE!</v>
      </c>
      <c r="P377" t="str">
        <f t="shared" si="2"/>
        <v>#VALUE!</v>
      </c>
      <c r="Q377" t="str">
        <f t="shared" si="3"/>
        <v>#VALUE!</v>
      </c>
      <c r="R377" t="s">
        <v>227</v>
      </c>
      <c r="S377" s="14" t="s">
        <v>227</v>
      </c>
      <c r="T377" t="s">
        <v>227</v>
      </c>
      <c r="U377" t="s">
        <v>227</v>
      </c>
      <c r="V377" t="s">
        <v>227</v>
      </c>
      <c r="W377" t="str">
        <f t="shared" si="1"/>
        <v/>
      </c>
    </row>
    <row r="378">
      <c r="A378" s="119">
        <v>1116.0</v>
      </c>
      <c r="B378" s="119">
        <v>16.2</v>
      </c>
      <c r="C378" s="96"/>
      <c r="D378" s="96"/>
      <c r="E378" s="96"/>
      <c r="F378" s="96"/>
      <c r="G378" s="96"/>
      <c r="O378" t="str">
        <f>IFERROR(__xludf.DUMMYFUNCTION("regexextract(B378,""[\w]* [\w]*"")"),"#VALUE!")</f>
        <v>#VALUE!</v>
      </c>
      <c r="P378" t="str">
        <f t="shared" si="2"/>
        <v>#VALUE!</v>
      </c>
      <c r="Q378" t="str">
        <f t="shared" si="3"/>
        <v>#VALUE!</v>
      </c>
      <c r="R378" t="s">
        <v>227</v>
      </c>
      <c r="S378" s="14" t="s">
        <v>227</v>
      </c>
      <c r="T378" t="s">
        <v>227</v>
      </c>
      <c r="U378" t="s">
        <v>227</v>
      </c>
      <c r="V378" t="s">
        <v>227</v>
      </c>
      <c r="W378" t="str">
        <f t="shared" si="1"/>
        <v/>
      </c>
    </row>
    <row r="379">
      <c r="A379" s="112">
        <v>1115.0</v>
      </c>
      <c r="B379" s="112">
        <v>16.6</v>
      </c>
      <c r="C379" s="92"/>
      <c r="D379" s="92"/>
      <c r="E379" s="92"/>
      <c r="F379" s="92"/>
      <c r="G379" s="92"/>
      <c r="O379" t="str">
        <f>IFERROR(__xludf.DUMMYFUNCTION("regexextract(B379,""[\w]* [\w]*"")"),"#VALUE!")</f>
        <v>#VALUE!</v>
      </c>
      <c r="P379" t="str">
        <f t="shared" si="2"/>
        <v>#VALUE!</v>
      </c>
      <c r="Q379" t="str">
        <f t="shared" si="3"/>
        <v>#VALUE!</v>
      </c>
      <c r="R379" t="s">
        <v>227</v>
      </c>
      <c r="S379" s="14" t="s">
        <v>227</v>
      </c>
      <c r="T379" t="s">
        <v>227</v>
      </c>
      <c r="U379" t="s">
        <v>227</v>
      </c>
      <c r="V379" t="s">
        <v>227</v>
      </c>
      <c r="W379" t="str">
        <f t="shared" si="1"/>
        <v/>
      </c>
    </row>
    <row r="380">
      <c r="A380" s="119">
        <v>1115.0</v>
      </c>
      <c r="B380" s="119">
        <v>16.9</v>
      </c>
      <c r="C380" s="96"/>
      <c r="D380" s="96"/>
      <c r="E380" s="96"/>
      <c r="F380" s="96"/>
      <c r="G380" s="96"/>
      <c r="O380" t="str">
        <f>IFERROR(__xludf.DUMMYFUNCTION("regexextract(B380,""[\w]* [\w]*"")"),"#VALUE!")</f>
        <v>#VALUE!</v>
      </c>
      <c r="P380" t="str">
        <f t="shared" si="2"/>
        <v>#VALUE!</v>
      </c>
      <c r="Q380" t="str">
        <f t="shared" si="3"/>
        <v>#VALUE!</v>
      </c>
      <c r="R380" t="s">
        <v>227</v>
      </c>
      <c r="S380" s="14" t="s">
        <v>227</v>
      </c>
      <c r="T380" t="s">
        <v>227</v>
      </c>
      <c r="U380" t="s">
        <v>227</v>
      </c>
      <c r="V380" t="s">
        <v>227</v>
      </c>
      <c r="W380" t="str">
        <f t="shared" si="1"/>
        <v/>
      </c>
    </row>
    <row r="381">
      <c r="A381" s="112">
        <v>1114.0</v>
      </c>
      <c r="B381" s="112">
        <v>17.4</v>
      </c>
      <c r="C381" s="92"/>
      <c r="D381" s="107"/>
      <c r="E381" s="92"/>
      <c r="F381" s="92"/>
      <c r="G381" s="92"/>
      <c r="O381" t="str">
        <f>IFERROR(__xludf.DUMMYFUNCTION("regexextract(B381,""[\w]* [\w]*"")"),"#VALUE!")</f>
        <v>#VALUE!</v>
      </c>
      <c r="P381" t="str">
        <f t="shared" si="2"/>
        <v>#VALUE!</v>
      </c>
      <c r="Q381" t="str">
        <f t="shared" si="3"/>
        <v>#VALUE!</v>
      </c>
      <c r="R381" t="s">
        <v>227</v>
      </c>
      <c r="S381" s="14" t="s">
        <v>227</v>
      </c>
      <c r="T381" t="s">
        <v>227</v>
      </c>
      <c r="U381" t="s">
        <v>227</v>
      </c>
      <c r="V381" t="s">
        <v>227</v>
      </c>
      <c r="W381" t="str">
        <f t="shared" si="1"/>
        <v/>
      </c>
    </row>
    <row r="382">
      <c r="A382" s="119">
        <v>1104.0</v>
      </c>
      <c r="B382" s="119">
        <v>16.2</v>
      </c>
      <c r="C382" s="96"/>
      <c r="D382" s="96"/>
      <c r="E382" s="96"/>
      <c r="F382" s="96"/>
      <c r="G382" s="96"/>
      <c r="O382" t="str">
        <f>IFERROR(__xludf.DUMMYFUNCTION("regexextract(B382,""[\w]* [\w]*"")"),"#VALUE!")</f>
        <v>#VALUE!</v>
      </c>
      <c r="P382" t="str">
        <f t="shared" si="2"/>
        <v>#VALUE!</v>
      </c>
      <c r="Q382" t="str">
        <f t="shared" si="3"/>
        <v>#VALUE!</v>
      </c>
      <c r="R382" t="s">
        <v>227</v>
      </c>
      <c r="S382" s="14" t="s">
        <v>227</v>
      </c>
      <c r="T382" t="s">
        <v>227</v>
      </c>
      <c r="U382" t="s">
        <v>227</v>
      </c>
      <c r="V382" t="s">
        <v>227</v>
      </c>
      <c r="W382" t="str">
        <f t="shared" si="1"/>
        <v/>
      </c>
    </row>
    <row r="383">
      <c r="A383" s="112">
        <v>1090.0</v>
      </c>
      <c r="B383" s="112">
        <v>15.4</v>
      </c>
      <c r="C383" s="92"/>
      <c r="D383" s="92"/>
      <c r="E383" s="92"/>
      <c r="F383" s="92"/>
      <c r="G383" s="92"/>
      <c r="O383" t="str">
        <f>IFERROR(__xludf.DUMMYFUNCTION("regexextract(B383,""[\w]* [\w]*"")"),"#VALUE!")</f>
        <v>#VALUE!</v>
      </c>
      <c r="P383" t="str">
        <f t="shared" si="2"/>
        <v>#VALUE!</v>
      </c>
      <c r="Q383" t="str">
        <f t="shared" si="3"/>
        <v>#VALUE!</v>
      </c>
      <c r="R383" t="s">
        <v>227</v>
      </c>
      <c r="S383" s="14" t="s">
        <v>227</v>
      </c>
      <c r="T383" t="s">
        <v>227</v>
      </c>
      <c r="U383" t="s">
        <v>227</v>
      </c>
      <c r="V383" t="s">
        <v>227</v>
      </c>
      <c r="W383" t="str">
        <f t="shared" si="1"/>
        <v/>
      </c>
    </row>
    <row r="384">
      <c r="A384" s="119">
        <v>1079.0</v>
      </c>
      <c r="B384" s="119">
        <v>15.2</v>
      </c>
      <c r="C384" s="96"/>
      <c r="D384" s="96"/>
      <c r="E384" s="96"/>
      <c r="F384" s="96"/>
      <c r="G384" s="96"/>
      <c r="O384" t="str">
        <f>IFERROR(__xludf.DUMMYFUNCTION("regexextract(B384,""[\w]* [\w]*"")"),"#VALUE!")</f>
        <v>#VALUE!</v>
      </c>
      <c r="P384" t="str">
        <f t="shared" si="2"/>
        <v>#VALUE!</v>
      </c>
      <c r="Q384" t="str">
        <f t="shared" si="3"/>
        <v>#VALUE!</v>
      </c>
      <c r="R384" t="s">
        <v>227</v>
      </c>
      <c r="S384" s="14" t="s">
        <v>227</v>
      </c>
      <c r="T384" t="s">
        <v>227</v>
      </c>
      <c r="U384" t="s">
        <v>227</v>
      </c>
      <c r="V384" t="s">
        <v>227</v>
      </c>
      <c r="W384" t="str">
        <f t="shared" si="1"/>
        <v/>
      </c>
    </row>
    <row r="385">
      <c r="A385" s="112">
        <v>1078.0</v>
      </c>
      <c r="B385" s="112">
        <v>14.8</v>
      </c>
      <c r="C385" s="92"/>
      <c r="D385" s="92"/>
      <c r="E385" s="92"/>
      <c r="F385" s="92"/>
      <c r="G385" s="92"/>
      <c r="O385" t="str">
        <f>IFERROR(__xludf.DUMMYFUNCTION("regexextract(B385,""[\w]* [\w]*"")"),"#VALUE!")</f>
        <v>#VALUE!</v>
      </c>
      <c r="P385" t="str">
        <f t="shared" si="2"/>
        <v>#VALUE!</v>
      </c>
      <c r="Q385" t="str">
        <f t="shared" si="3"/>
        <v>#VALUE!</v>
      </c>
      <c r="R385" t="s">
        <v>227</v>
      </c>
      <c r="S385" s="14" t="s">
        <v>227</v>
      </c>
      <c r="T385" t="s">
        <v>227</v>
      </c>
      <c r="U385" t="s">
        <v>227</v>
      </c>
      <c r="V385" t="s">
        <v>227</v>
      </c>
      <c r="W385" t="str">
        <f t="shared" si="1"/>
        <v/>
      </c>
    </row>
    <row r="386">
      <c r="A386" s="119">
        <v>1077.0</v>
      </c>
      <c r="B386" s="119">
        <v>16.6</v>
      </c>
      <c r="C386" s="96"/>
      <c r="D386" s="96"/>
      <c r="E386" s="96"/>
      <c r="F386" s="96"/>
      <c r="G386" s="96"/>
      <c r="O386" t="str">
        <f>IFERROR(__xludf.DUMMYFUNCTION("regexextract(B386,""[\w]* [\w]*"")"),"#VALUE!")</f>
        <v>#VALUE!</v>
      </c>
      <c r="P386" t="str">
        <f t="shared" si="2"/>
        <v>#VALUE!</v>
      </c>
      <c r="Q386" t="str">
        <f t="shared" si="3"/>
        <v>#VALUE!</v>
      </c>
      <c r="R386" t="s">
        <v>227</v>
      </c>
      <c r="S386" s="14" t="s">
        <v>227</v>
      </c>
      <c r="T386" t="s">
        <v>227</v>
      </c>
      <c r="U386" t="s">
        <v>227</v>
      </c>
      <c r="V386" t="s">
        <v>227</v>
      </c>
      <c r="W386" t="str">
        <f t="shared" si="1"/>
        <v/>
      </c>
    </row>
    <row r="387">
      <c r="A387" s="112">
        <v>1076.0</v>
      </c>
      <c r="B387" s="112">
        <v>16.6</v>
      </c>
      <c r="C387" s="92"/>
      <c r="D387" s="92"/>
      <c r="E387" s="92"/>
      <c r="F387" s="92"/>
      <c r="G387" s="92"/>
      <c r="O387" t="str">
        <f>IFERROR(__xludf.DUMMYFUNCTION("regexextract(B387,""[\w]* [\w]*"")"),"#VALUE!")</f>
        <v>#VALUE!</v>
      </c>
      <c r="P387" t="str">
        <f t="shared" si="2"/>
        <v>#VALUE!</v>
      </c>
      <c r="Q387" t="str">
        <f t="shared" si="3"/>
        <v>#VALUE!</v>
      </c>
      <c r="R387" t="s">
        <v>227</v>
      </c>
      <c r="S387" s="14" t="s">
        <v>227</v>
      </c>
      <c r="T387" t="s">
        <v>227</v>
      </c>
      <c r="U387" t="s">
        <v>227</v>
      </c>
      <c r="V387" t="s">
        <v>227</v>
      </c>
      <c r="W387" t="str">
        <f t="shared" si="1"/>
        <v/>
      </c>
    </row>
    <row r="388">
      <c r="A388" s="119">
        <v>1076.0</v>
      </c>
      <c r="B388" s="119">
        <v>14.7</v>
      </c>
      <c r="C388" s="96"/>
      <c r="D388" s="96"/>
      <c r="E388" s="96"/>
      <c r="F388" s="96"/>
      <c r="G388" s="96"/>
      <c r="O388" t="str">
        <f>IFERROR(__xludf.DUMMYFUNCTION("regexextract(B388,""[\w]* [\w]*"")"),"#VALUE!")</f>
        <v>#VALUE!</v>
      </c>
      <c r="P388" t="str">
        <f t="shared" si="2"/>
        <v>#VALUE!</v>
      </c>
      <c r="Q388" t="str">
        <f t="shared" si="3"/>
        <v>#VALUE!</v>
      </c>
      <c r="R388" t="s">
        <v>227</v>
      </c>
      <c r="S388" s="14" t="s">
        <v>227</v>
      </c>
      <c r="T388" t="s">
        <v>227</v>
      </c>
      <c r="U388" t="s">
        <v>227</v>
      </c>
      <c r="V388" t="s">
        <v>227</v>
      </c>
      <c r="W388" t="str">
        <f t="shared" si="1"/>
        <v/>
      </c>
    </row>
    <row r="389">
      <c r="A389" s="112">
        <v>1075.0</v>
      </c>
      <c r="B389" s="112">
        <v>14.9</v>
      </c>
      <c r="C389" s="92"/>
      <c r="D389" s="92"/>
      <c r="E389" s="92"/>
      <c r="F389" s="92"/>
      <c r="G389" s="92"/>
      <c r="O389" t="str">
        <f>IFERROR(__xludf.DUMMYFUNCTION("regexextract(B389,""[\w]* [\w]*"")"),"#VALUE!")</f>
        <v>#VALUE!</v>
      </c>
      <c r="P389" t="str">
        <f t="shared" si="2"/>
        <v>#VALUE!</v>
      </c>
      <c r="Q389" t="str">
        <f t="shared" si="3"/>
        <v>#VALUE!</v>
      </c>
      <c r="R389" t="s">
        <v>227</v>
      </c>
      <c r="S389" s="14" t="s">
        <v>227</v>
      </c>
      <c r="T389" t="s">
        <v>227</v>
      </c>
      <c r="U389" t="s">
        <v>227</v>
      </c>
      <c r="V389" t="s">
        <v>227</v>
      </c>
      <c r="W389" t="str">
        <f t="shared" si="1"/>
        <v/>
      </c>
    </row>
    <row r="390">
      <c r="A390" s="119">
        <v>1069.0</v>
      </c>
      <c r="B390" s="119">
        <v>15.7</v>
      </c>
      <c r="C390" s="96"/>
      <c r="D390" s="96"/>
      <c r="E390" s="96"/>
      <c r="F390" s="96"/>
      <c r="G390" s="96"/>
      <c r="O390" t="str">
        <f>IFERROR(__xludf.DUMMYFUNCTION("regexextract(B390,""[\w]* [\w]*"")"),"#VALUE!")</f>
        <v>#VALUE!</v>
      </c>
      <c r="P390" t="str">
        <f t="shared" si="2"/>
        <v>#VALUE!</v>
      </c>
      <c r="Q390" t="str">
        <f t="shared" si="3"/>
        <v>#VALUE!</v>
      </c>
      <c r="R390" t="s">
        <v>227</v>
      </c>
      <c r="S390" s="14" t="s">
        <v>227</v>
      </c>
      <c r="T390" t="s">
        <v>227</v>
      </c>
      <c r="U390" t="s">
        <v>227</v>
      </c>
      <c r="V390" t="s">
        <v>227</v>
      </c>
      <c r="W390" t="str">
        <f t="shared" si="1"/>
        <v/>
      </c>
    </row>
    <row r="391">
      <c r="A391" s="112">
        <v>1065.0</v>
      </c>
      <c r="B391" s="112">
        <v>14.6</v>
      </c>
      <c r="C391" s="92"/>
      <c r="D391" s="92"/>
      <c r="E391" s="92"/>
      <c r="F391" s="92"/>
      <c r="G391" s="92"/>
      <c r="O391" t="str">
        <f>IFERROR(__xludf.DUMMYFUNCTION("regexextract(B391,""[\w]* [\w]*"")"),"#VALUE!")</f>
        <v>#VALUE!</v>
      </c>
      <c r="P391" t="str">
        <f t="shared" si="2"/>
        <v>#VALUE!</v>
      </c>
      <c r="Q391" t="str">
        <f t="shared" si="3"/>
        <v>#VALUE!</v>
      </c>
      <c r="R391" t="s">
        <v>227</v>
      </c>
      <c r="S391" s="14" t="s">
        <v>227</v>
      </c>
      <c r="T391" t="s">
        <v>227</v>
      </c>
      <c r="U391" t="s">
        <v>227</v>
      </c>
      <c r="V391" t="s">
        <v>227</v>
      </c>
      <c r="W391" t="str">
        <f t="shared" si="1"/>
        <v/>
      </c>
    </row>
    <row r="392">
      <c r="A392" s="119">
        <v>1052.0</v>
      </c>
      <c r="B392" s="119">
        <v>15.2</v>
      </c>
      <c r="C392" s="96"/>
      <c r="D392" s="96"/>
      <c r="E392" s="96"/>
      <c r="F392" s="96"/>
      <c r="G392" s="96"/>
      <c r="O392" t="str">
        <f>IFERROR(__xludf.DUMMYFUNCTION("regexextract(B392,""[\w]* [\w]*"")"),"#VALUE!")</f>
        <v>#VALUE!</v>
      </c>
      <c r="P392" t="str">
        <f t="shared" si="2"/>
        <v>#VALUE!</v>
      </c>
      <c r="Q392" t="str">
        <f t="shared" si="3"/>
        <v>#VALUE!</v>
      </c>
      <c r="R392" t="s">
        <v>227</v>
      </c>
      <c r="S392" s="14" t="s">
        <v>227</v>
      </c>
      <c r="T392" t="s">
        <v>227</v>
      </c>
      <c r="U392" t="s">
        <v>227</v>
      </c>
      <c r="V392" t="s">
        <v>227</v>
      </c>
      <c r="W392" t="str">
        <f t="shared" si="1"/>
        <v/>
      </c>
    </row>
    <row r="393">
      <c r="A393" s="112">
        <v>1029.0</v>
      </c>
      <c r="B393" s="112">
        <v>14.1</v>
      </c>
      <c r="C393" s="92"/>
      <c r="D393" s="92"/>
      <c r="E393" s="92"/>
      <c r="F393" s="92"/>
      <c r="G393" s="92"/>
      <c r="O393" t="str">
        <f>IFERROR(__xludf.DUMMYFUNCTION("regexextract(B393,""[\w]* [\w]*"")"),"#VALUE!")</f>
        <v>#VALUE!</v>
      </c>
      <c r="P393" t="str">
        <f t="shared" si="2"/>
        <v>#VALUE!</v>
      </c>
      <c r="Q393" t="str">
        <f t="shared" si="3"/>
        <v>#VALUE!</v>
      </c>
      <c r="R393" t="s">
        <v>227</v>
      </c>
      <c r="S393" s="14" t="s">
        <v>227</v>
      </c>
      <c r="T393" t="s">
        <v>227</v>
      </c>
      <c r="U393" t="s">
        <v>227</v>
      </c>
      <c r="V393" t="s">
        <v>227</v>
      </c>
      <c r="W393" t="str">
        <f t="shared" si="1"/>
        <v/>
      </c>
    </row>
    <row r="394">
      <c r="A394" s="119">
        <v>1024.0</v>
      </c>
      <c r="B394" s="119">
        <v>15.5</v>
      </c>
      <c r="C394" s="96"/>
      <c r="D394" s="96"/>
      <c r="E394" s="96"/>
      <c r="F394" s="96"/>
      <c r="G394" s="96"/>
      <c r="O394" t="str">
        <f>IFERROR(__xludf.DUMMYFUNCTION("regexextract(B394,""[\w]* [\w]*"")"),"#VALUE!")</f>
        <v>#VALUE!</v>
      </c>
      <c r="P394" t="str">
        <f t="shared" si="2"/>
        <v>#VALUE!</v>
      </c>
      <c r="Q394" t="str">
        <f t="shared" si="3"/>
        <v>#VALUE!</v>
      </c>
      <c r="R394" t="s">
        <v>227</v>
      </c>
      <c r="S394" s="14" t="s">
        <v>227</v>
      </c>
      <c r="T394" t="s">
        <v>227</v>
      </c>
      <c r="U394" t="s">
        <v>227</v>
      </c>
      <c r="V394" t="s">
        <v>227</v>
      </c>
      <c r="W394" t="str">
        <f t="shared" si="1"/>
        <v/>
      </c>
    </row>
    <row r="395">
      <c r="A395" s="112">
        <v>1022.0</v>
      </c>
      <c r="B395" s="112">
        <v>14.2</v>
      </c>
      <c r="C395" s="92"/>
      <c r="D395" s="92"/>
      <c r="E395" s="92"/>
      <c r="F395" s="92"/>
      <c r="G395" s="92"/>
      <c r="O395" t="str">
        <f>IFERROR(__xludf.DUMMYFUNCTION("regexextract(B395,""[\w]* [\w]*"")"),"#VALUE!")</f>
        <v>#VALUE!</v>
      </c>
      <c r="P395" t="str">
        <f t="shared" si="2"/>
        <v>#VALUE!</v>
      </c>
      <c r="Q395" t="str">
        <f t="shared" si="3"/>
        <v>#VALUE!</v>
      </c>
      <c r="R395" t="s">
        <v>227</v>
      </c>
      <c r="S395" s="14" t="s">
        <v>227</v>
      </c>
      <c r="T395" t="s">
        <v>227</v>
      </c>
      <c r="U395" t="s">
        <v>227</v>
      </c>
      <c r="V395" t="s">
        <v>227</v>
      </c>
      <c r="W395" t="str">
        <f t="shared" si="1"/>
        <v/>
      </c>
    </row>
    <row r="396">
      <c r="A396" s="119">
        <v>1004.0</v>
      </c>
      <c r="B396" s="119">
        <v>17.3</v>
      </c>
      <c r="C396" s="96"/>
      <c r="D396" s="96"/>
      <c r="E396" s="96"/>
      <c r="F396" s="96"/>
      <c r="G396" s="96"/>
      <c r="O396" t="str">
        <f>IFERROR(__xludf.DUMMYFUNCTION("regexextract(B396,""[\w]* [\w]*"")"),"#VALUE!")</f>
        <v>#VALUE!</v>
      </c>
      <c r="P396" t="str">
        <f t="shared" si="2"/>
        <v>#VALUE!</v>
      </c>
      <c r="Q396" t="str">
        <f t="shared" si="3"/>
        <v>#VALUE!</v>
      </c>
      <c r="R396" t="s">
        <v>227</v>
      </c>
      <c r="S396" s="14" t="s">
        <v>227</v>
      </c>
      <c r="T396" t="s">
        <v>227</v>
      </c>
      <c r="U396" t="s">
        <v>227</v>
      </c>
      <c r="V396" t="s">
        <v>227</v>
      </c>
      <c r="W396" t="str">
        <f t="shared" si="1"/>
        <v/>
      </c>
    </row>
    <row r="397">
      <c r="A397" s="112">
        <v>997.0</v>
      </c>
      <c r="B397" s="112">
        <v>13.8</v>
      </c>
      <c r="C397" s="92"/>
      <c r="D397" s="92"/>
      <c r="E397" s="92"/>
      <c r="F397" s="92"/>
      <c r="G397" s="92"/>
      <c r="O397" t="str">
        <f>IFERROR(__xludf.DUMMYFUNCTION("regexextract(B397,""[\w]* [\w]*"")"),"#VALUE!")</f>
        <v>#VALUE!</v>
      </c>
      <c r="P397" t="str">
        <f t="shared" si="2"/>
        <v>#VALUE!</v>
      </c>
      <c r="Q397" t="str">
        <f t="shared" si="3"/>
        <v>#VALUE!</v>
      </c>
      <c r="R397" t="s">
        <v>227</v>
      </c>
      <c r="S397" s="14" t="s">
        <v>227</v>
      </c>
      <c r="T397" t="s">
        <v>227</v>
      </c>
      <c r="U397" t="s">
        <v>227</v>
      </c>
      <c r="V397" t="s">
        <v>227</v>
      </c>
      <c r="W397" t="str">
        <f t="shared" si="1"/>
        <v/>
      </c>
    </row>
    <row r="398">
      <c r="A398" s="119">
        <v>991.0</v>
      </c>
      <c r="B398" s="119">
        <v>15.5</v>
      </c>
      <c r="C398" s="96"/>
      <c r="D398" s="96"/>
      <c r="E398" s="96"/>
      <c r="F398" s="96"/>
      <c r="G398" s="96"/>
      <c r="O398" t="str">
        <f>IFERROR(__xludf.DUMMYFUNCTION("regexextract(B398,""[\w]* [\w]*"")"),"#VALUE!")</f>
        <v>#VALUE!</v>
      </c>
      <c r="P398" t="str">
        <f t="shared" si="2"/>
        <v>#VALUE!</v>
      </c>
      <c r="Q398" t="str">
        <f t="shared" si="3"/>
        <v>#VALUE!</v>
      </c>
      <c r="R398" t="s">
        <v>227</v>
      </c>
      <c r="S398" s="14" t="s">
        <v>227</v>
      </c>
      <c r="T398" t="s">
        <v>227</v>
      </c>
      <c r="U398" t="s">
        <v>227</v>
      </c>
      <c r="V398" t="s">
        <v>227</v>
      </c>
      <c r="W398" t="str">
        <f t="shared" si="1"/>
        <v/>
      </c>
    </row>
    <row r="399">
      <c r="A399" s="112">
        <v>952.0</v>
      </c>
      <c r="B399" s="112">
        <v>14.2</v>
      </c>
      <c r="C399" s="92"/>
      <c r="D399" s="92"/>
      <c r="E399" s="92"/>
      <c r="F399" s="92"/>
      <c r="G399" s="92"/>
      <c r="O399" t="str">
        <f>IFERROR(__xludf.DUMMYFUNCTION("regexextract(B399,""[\w]* [\w]*"")"),"#VALUE!")</f>
        <v>#VALUE!</v>
      </c>
      <c r="P399" t="str">
        <f t="shared" si="2"/>
        <v>#VALUE!</v>
      </c>
      <c r="Q399" t="str">
        <f t="shared" si="3"/>
        <v>#VALUE!</v>
      </c>
      <c r="R399" t="s">
        <v>227</v>
      </c>
      <c r="S399" s="14" t="s">
        <v>227</v>
      </c>
      <c r="T399" t="s">
        <v>227</v>
      </c>
      <c r="U399" t="s">
        <v>227</v>
      </c>
      <c r="V399" t="s">
        <v>227</v>
      </c>
      <c r="W399" t="str">
        <f t="shared" si="1"/>
        <v/>
      </c>
    </row>
    <row r="400">
      <c r="A400" s="119">
        <v>946.0</v>
      </c>
      <c r="B400" s="119">
        <v>14.3</v>
      </c>
      <c r="C400" s="96"/>
      <c r="D400" s="96"/>
      <c r="E400" s="96"/>
      <c r="F400" s="96"/>
      <c r="G400" s="96"/>
      <c r="O400" t="str">
        <f>IFERROR(__xludf.DUMMYFUNCTION("regexextract(B400,""[\w]* [\w]*"")"),"#VALUE!")</f>
        <v>#VALUE!</v>
      </c>
      <c r="P400" t="str">
        <f t="shared" si="2"/>
        <v>#VALUE!</v>
      </c>
      <c r="Q400" t="str">
        <f t="shared" si="3"/>
        <v>#VALUE!</v>
      </c>
      <c r="R400" t="s">
        <v>227</v>
      </c>
      <c r="S400" s="14" t="s">
        <v>227</v>
      </c>
      <c r="T400" t="s">
        <v>227</v>
      </c>
      <c r="U400" t="s">
        <v>227</v>
      </c>
      <c r="V400" t="s">
        <v>227</v>
      </c>
      <c r="W400" t="str">
        <f t="shared" si="1"/>
        <v/>
      </c>
    </row>
    <row r="401">
      <c r="A401" s="112">
        <v>945.0</v>
      </c>
      <c r="B401" s="112">
        <v>25.5</v>
      </c>
      <c r="C401" s="92"/>
      <c r="D401" s="92"/>
      <c r="E401" s="92"/>
      <c r="F401" s="92"/>
      <c r="G401" s="92"/>
      <c r="O401" t="str">
        <f>IFERROR(__xludf.DUMMYFUNCTION("regexextract(B401,""[\w]* [\w]*"")"),"#VALUE!")</f>
        <v>#VALUE!</v>
      </c>
      <c r="P401" t="str">
        <f t="shared" si="2"/>
        <v>#VALUE!</v>
      </c>
      <c r="Q401" t="str">
        <f t="shared" si="3"/>
        <v>#VALUE!</v>
      </c>
      <c r="R401" t="s">
        <v>227</v>
      </c>
      <c r="S401" s="14" t="s">
        <v>227</v>
      </c>
      <c r="T401" t="s">
        <v>227</v>
      </c>
      <c r="U401" t="s">
        <v>227</v>
      </c>
      <c r="V401" t="s">
        <v>227</v>
      </c>
      <c r="W401" t="str">
        <f t="shared" si="1"/>
        <v/>
      </c>
    </row>
    <row r="402">
      <c r="A402" s="119">
        <v>942.0</v>
      </c>
      <c r="B402" s="119">
        <v>13.7</v>
      </c>
      <c r="C402" s="96"/>
      <c r="D402" s="96"/>
      <c r="E402" s="96"/>
      <c r="F402" s="96"/>
      <c r="G402" s="96"/>
      <c r="O402" t="str">
        <f>IFERROR(__xludf.DUMMYFUNCTION("regexextract(B402,""[\w]* [\w]*"")"),"#VALUE!")</f>
        <v>#VALUE!</v>
      </c>
      <c r="P402" t="str">
        <f t="shared" si="2"/>
        <v>#VALUE!</v>
      </c>
      <c r="Q402" t="str">
        <f t="shared" si="3"/>
        <v>#VALUE!</v>
      </c>
      <c r="R402" t="s">
        <v>227</v>
      </c>
      <c r="S402" s="14" t="s">
        <v>227</v>
      </c>
      <c r="T402" t="s">
        <v>227</v>
      </c>
      <c r="U402" t="s">
        <v>227</v>
      </c>
      <c r="V402" t="s">
        <v>227</v>
      </c>
      <c r="W402" t="str">
        <f t="shared" si="1"/>
        <v/>
      </c>
    </row>
    <row r="403">
      <c r="A403" s="112">
        <v>934.0</v>
      </c>
      <c r="B403" s="112">
        <v>15.6</v>
      </c>
      <c r="C403" s="92"/>
      <c r="D403" s="92"/>
      <c r="E403" s="92"/>
      <c r="F403" s="92"/>
      <c r="G403" s="92"/>
      <c r="O403" t="str">
        <f>IFERROR(__xludf.DUMMYFUNCTION("regexextract(B403,""[\w]* [\w]*"")"),"#VALUE!")</f>
        <v>#VALUE!</v>
      </c>
      <c r="P403" t="str">
        <f t="shared" si="2"/>
        <v>#VALUE!</v>
      </c>
      <c r="Q403" t="str">
        <f t="shared" si="3"/>
        <v>#VALUE!</v>
      </c>
      <c r="R403" t="s">
        <v>227</v>
      </c>
      <c r="S403" s="14" t="s">
        <v>227</v>
      </c>
      <c r="T403" t="s">
        <v>227</v>
      </c>
      <c r="U403" t="s">
        <v>227</v>
      </c>
      <c r="V403" t="s">
        <v>227</v>
      </c>
      <c r="W403" t="str">
        <f t="shared" si="1"/>
        <v/>
      </c>
    </row>
    <row r="404">
      <c r="A404" s="119">
        <v>905.0</v>
      </c>
      <c r="B404" s="119">
        <v>13.9</v>
      </c>
      <c r="C404" s="96"/>
      <c r="D404" s="96"/>
      <c r="E404" s="96"/>
      <c r="F404" s="96"/>
      <c r="G404" s="96"/>
      <c r="O404" t="str">
        <f>IFERROR(__xludf.DUMMYFUNCTION("regexextract(B404,""[\w]* [\w]*"")"),"#VALUE!")</f>
        <v>#VALUE!</v>
      </c>
      <c r="P404" t="str">
        <f t="shared" si="2"/>
        <v>#VALUE!</v>
      </c>
      <c r="Q404" t="str">
        <f t="shared" si="3"/>
        <v>#VALUE!</v>
      </c>
      <c r="R404" t="s">
        <v>227</v>
      </c>
      <c r="S404" s="14" t="s">
        <v>227</v>
      </c>
      <c r="T404" t="s">
        <v>227</v>
      </c>
      <c r="U404" t="s">
        <v>227</v>
      </c>
      <c r="V404" t="s">
        <v>227</v>
      </c>
      <c r="W404" t="str">
        <f t="shared" si="1"/>
        <v/>
      </c>
    </row>
    <row r="405">
      <c r="A405" s="112">
        <v>902.0</v>
      </c>
      <c r="B405" s="112">
        <v>16.7</v>
      </c>
      <c r="C405" s="92"/>
      <c r="D405" s="92"/>
      <c r="E405" s="92"/>
      <c r="F405" s="92"/>
      <c r="G405" s="92"/>
      <c r="O405" t="str">
        <f>IFERROR(__xludf.DUMMYFUNCTION("regexextract(B405,""[\w]* [\w]*"")"),"#VALUE!")</f>
        <v>#VALUE!</v>
      </c>
      <c r="P405" t="str">
        <f t="shared" si="2"/>
        <v>#VALUE!</v>
      </c>
      <c r="Q405" t="str">
        <f t="shared" si="3"/>
        <v>#VALUE!</v>
      </c>
      <c r="R405" t="s">
        <v>227</v>
      </c>
      <c r="S405" s="14" t="s">
        <v>227</v>
      </c>
      <c r="T405" t="s">
        <v>227</v>
      </c>
      <c r="U405" t="s">
        <v>227</v>
      </c>
      <c r="V405" t="s">
        <v>227</v>
      </c>
      <c r="W405" t="str">
        <f t="shared" si="1"/>
        <v/>
      </c>
    </row>
    <row r="406">
      <c r="A406" s="119">
        <v>891.0</v>
      </c>
      <c r="B406" s="119">
        <v>12.9</v>
      </c>
      <c r="C406" s="96"/>
      <c r="D406" s="96"/>
      <c r="E406" s="96"/>
      <c r="F406" s="96"/>
      <c r="G406" s="96"/>
      <c r="O406" t="str">
        <f>IFERROR(__xludf.DUMMYFUNCTION("regexextract(B406,""[\w]* [\w]*"")"),"#VALUE!")</f>
        <v>#VALUE!</v>
      </c>
      <c r="P406" t="str">
        <f t="shared" si="2"/>
        <v>#VALUE!</v>
      </c>
      <c r="Q406" t="str">
        <f t="shared" si="3"/>
        <v>#VALUE!</v>
      </c>
      <c r="R406" t="s">
        <v>227</v>
      </c>
      <c r="S406" s="14" t="s">
        <v>227</v>
      </c>
      <c r="T406" t="s">
        <v>227</v>
      </c>
      <c r="U406" t="s">
        <v>227</v>
      </c>
      <c r="V406" t="s">
        <v>227</v>
      </c>
      <c r="W406" t="str">
        <f t="shared" si="1"/>
        <v/>
      </c>
    </row>
    <row r="407">
      <c r="A407" s="112">
        <v>882.0</v>
      </c>
      <c r="B407" s="112">
        <v>14.7</v>
      </c>
      <c r="C407" s="92"/>
      <c r="D407" s="92"/>
      <c r="E407" s="92"/>
      <c r="F407" s="92"/>
      <c r="G407" s="92"/>
      <c r="O407" t="str">
        <f>IFERROR(__xludf.DUMMYFUNCTION("regexextract(B407,""[\w]* [\w]*"")"),"#VALUE!")</f>
        <v>#VALUE!</v>
      </c>
      <c r="P407" t="str">
        <f t="shared" si="2"/>
        <v>#VALUE!</v>
      </c>
      <c r="Q407" t="str">
        <f t="shared" si="3"/>
        <v>#VALUE!</v>
      </c>
      <c r="R407" t="s">
        <v>227</v>
      </c>
      <c r="S407" s="14" t="s">
        <v>227</v>
      </c>
      <c r="T407" t="s">
        <v>227</v>
      </c>
      <c r="U407" t="s">
        <v>227</v>
      </c>
      <c r="V407" t="s">
        <v>227</v>
      </c>
      <c r="W407" t="str">
        <f t="shared" si="1"/>
        <v/>
      </c>
    </row>
    <row r="408">
      <c r="A408" s="119">
        <v>877.0</v>
      </c>
      <c r="B408" s="119">
        <v>13.5</v>
      </c>
      <c r="C408" s="96"/>
      <c r="D408" s="96"/>
      <c r="E408" s="96"/>
      <c r="F408" s="96"/>
      <c r="G408" s="96"/>
      <c r="O408" t="str">
        <f>IFERROR(__xludf.DUMMYFUNCTION("regexextract(B408,""[\w]* [\w]*"")"),"#VALUE!")</f>
        <v>#VALUE!</v>
      </c>
      <c r="P408" t="str">
        <f t="shared" si="2"/>
        <v>#VALUE!</v>
      </c>
      <c r="Q408" t="str">
        <f t="shared" si="3"/>
        <v>#VALUE!</v>
      </c>
      <c r="R408" t="s">
        <v>227</v>
      </c>
      <c r="S408" s="14" t="s">
        <v>227</v>
      </c>
      <c r="T408" t="s">
        <v>227</v>
      </c>
      <c r="U408" t="s">
        <v>227</v>
      </c>
      <c r="V408" t="s">
        <v>227</v>
      </c>
      <c r="W408" t="str">
        <f t="shared" si="1"/>
        <v/>
      </c>
    </row>
    <row r="409">
      <c r="A409" s="112">
        <v>381.0</v>
      </c>
      <c r="B409" s="112">
        <v>10.9</v>
      </c>
      <c r="C409" s="92"/>
      <c r="D409" s="92"/>
      <c r="E409" s="92"/>
      <c r="F409" s="92"/>
      <c r="G409" s="92"/>
      <c r="O409" t="str">
        <f>IFERROR(__xludf.DUMMYFUNCTION("regexextract(B409,""[\w]* [\w]*"")"),"#VALUE!")</f>
        <v>#VALUE!</v>
      </c>
      <c r="P409" t="str">
        <f t="shared" si="2"/>
        <v>#VALUE!</v>
      </c>
      <c r="Q409" t="str">
        <f t="shared" si="3"/>
        <v>#VALUE!</v>
      </c>
      <c r="R409" t="s">
        <v>227</v>
      </c>
      <c r="S409" s="14" t="s">
        <v>227</v>
      </c>
      <c r="T409" t="s">
        <v>227</v>
      </c>
      <c r="U409" t="s">
        <v>227</v>
      </c>
      <c r="V409" t="s">
        <v>227</v>
      </c>
      <c r="W409" t="str">
        <f t="shared" si="1"/>
        <v/>
      </c>
    </row>
    <row r="410">
      <c r="A410" s="119">
        <v>876.0</v>
      </c>
      <c r="B410" s="119">
        <v>12.9</v>
      </c>
      <c r="C410" s="96"/>
      <c r="D410" s="96"/>
      <c r="E410" s="96"/>
      <c r="F410" s="96"/>
      <c r="G410" s="96"/>
      <c r="O410" t="str">
        <f>IFERROR(__xludf.DUMMYFUNCTION("regexextract(B410,""[\w]* [\w]*"")"),"#VALUE!")</f>
        <v>#VALUE!</v>
      </c>
      <c r="P410" t="str">
        <f t="shared" si="2"/>
        <v>#VALUE!</v>
      </c>
      <c r="Q410" t="str">
        <f t="shared" si="3"/>
        <v>#VALUE!</v>
      </c>
      <c r="R410" t="s">
        <v>227</v>
      </c>
      <c r="S410" s="14" t="s">
        <v>227</v>
      </c>
      <c r="T410" t="s">
        <v>227</v>
      </c>
      <c r="U410" t="s">
        <v>227</v>
      </c>
      <c r="V410" t="s">
        <v>227</v>
      </c>
      <c r="W410" t="str">
        <f t="shared" si="1"/>
        <v/>
      </c>
    </row>
    <row r="411">
      <c r="A411" s="112">
        <v>862.0</v>
      </c>
      <c r="B411" s="112">
        <v>15.1</v>
      </c>
      <c r="C411" s="92"/>
      <c r="D411" s="92"/>
      <c r="E411" s="92"/>
      <c r="F411" s="92"/>
      <c r="G411" s="92"/>
      <c r="O411" t="str">
        <f>IFERROR(__xludf.DUMMYFUNCTION("regexextract(B411,""[\w]* [\w]*"")"),"#VALUE!")</f>
        <v>#VALUE!</v>
      </c>
      <c r="P411" t="str">
        <f t="shared" si="2"/>
        <v>#VALUE!</v>
      </c>
      <c r="Q411" t="str">
        <f t="shared" si="3"/>
        <v>#VALUE!</v>
      </c>
      <c r="R411" t="s">
        <v>227</v>
      </c>
      <c r="S411" s="14" t="s">
        <v>227</v>
      </c>
      <c r="T411" t="s">
        <v>227</v>
      </c>
      <c r="U411" t="s">
        <v>227</v>
      </c>
      <c r="V411" t="s">
        <v>227</v>
      </c>
      <c r="W411" t="str">
        <f t="shared" si="1"/>
        <v/>
      </c>
    </row>
    <row r="412">
      <c r="A412" s="119">
        <v>846.0</v>
      </c>
      <c r="B412" s="119">
        <v>12.3</v>
      </c>
      <c r="C412" s="96"/>
      <c r="D412" s="96"/>
      <c r="E412" s="96"/>
      <c r="F412" s="96"/>
      <c r="G412" s="96"/>
      <c r="O412" t="str">
        <f>IFERROR(__xludf.DUMMYFUNCTION("regexextract(B412,""[\w]* [\w]*"")"),"#VALUE!")</f>
        <v>#VALUE!</v>
      </c>
      <c r="P412" t="str">
        <f t="shared" si="2"/>
        <v>#VALUE!</v>
      </c>
      <c r="Q412" t="str">
        <f t="shared" si="3"/>
        <v>#VALUE!</v>
      </c>
      <c r="R412" t="s">
        <v>227</v>
      </c>
      <c r="S412" s="14" t="s">
        <v>227</v>
      </c>
      <c r="T412" t="s">
        <v>227</v>
      </c>
      <c r="U412" t="s">
        <v>227</v>
      </c>
      <c r="V412" t="s">
        <v>227</v>
      </c>
      <c r="W412" t="str">
        <f t="shared" si="1"/>
        <v/>
      </c>
    </row>
    <row r="413">
      <c r="A413" s="112">
        <v>808.0</v>
      </c>
      <c r="B413" s="112">
        <v>11.1</v>
      </c>
      <c r="C413" s="92"/>
      <c r="D413" s="92"/>
      <c r="E413" s="92"/>
      <c r="F413" s="92"/>
      <c r="G413" s="92"/>
      <c r="O413" t="str">
        <f>IFERROR(__xludf.DUMMYFUNCTION("regexextract(B413,""[\w]* [\w]*"")"),"#VALUE!")</f>
        <v>#VALUE!</v>
      </c>
      <c r="P413" t="str">
        <f t="shared" si="2"/>
        <v>#VALUE!</v>
      </c>
      <c r="Q413" t="str">
        <f t="shared" si="3"/>
        <v>#VALUE!</v>
      </c>
      <c r="R413" t="s">
        <v>227</v>
      </c>
      <c r="S413" s="14" t="s">
        <v>227</v>
      </c>
      <c r="T413" t="s">
        <v>227</v>
      </c>
      <c r="U413" t="s">
        <v>227</v>
      </c>
      <c r="V413" t="s">
        <v>227</v>
      </c>
      <c r="W413" t="str">
        <f t="shared" si="1"/>
        <v/>
      </c>
    </row>
    <row r="414">
      <c r="A414" s="119">
        <v>794.0</v>
      </c>
      <c r="B414" s="119">
        <v>16.2</v>
      </c>
      <c r="C414" s="96"/>
      <c r="D414" s="96"/>
      <c r="E414" s="96"/>
      <c r="F414" s="96"/>
      <c r="G414" s="96"/>
      <c r="O414" t="str">
        <f>IFERROR(__xludf.DUMMYFUNCTION("regexextract(B414,""[\w]* [\w]*"")"),"#VALUE!")</f>
        <v>#VALUE!</v>
      </c>
      <c r="P414" t="str">
        <f t="shared" si="2"/>
        <v>#VALUE!</v>
      </c>
      <c r="Q414" t="str">
        <f t="shared" si="3"/>
        <v>#VALUE!</v>
      </c>
      <c r="R414" t="s">
        <v>227</v>
      </c>
      <c r="S414" s="14" t="s">
        <v>227</v>
      </c>
      <c r="T414" t="s">
        <v>227</v>
      </c>
      <c r="U414" t="s">
        <v>227</v>
      </c>
      <c r="V414" t="s">
        <v>227</v>
      </c>
      <c r="W414" t="str">
        <f t="shared" si="1"/>
        <v/>
      </c>
    </row>
    <row r="415">
      <c r="A415" s="112">
        <v>778.0</v>
      </c>
      <c r="B415" s="112">
        <v>13.4</v>
      </c>
      <c r="C415" s="92"/>
      <c r="D415" s="92"/>
      <c r="E415" s="92"/>
      <c r="F415" s="92"/>
      <c r="G415" s="92"/>
      <c r="O415" t="str">
        <f>IFERROR(__xludf.DUMMYFUNCTION("regexextract(B415,""[\w]* [\w]*"")"),"#VALUE!")</f>
        <v>#VALUE!</v>
      </c>
      <c r="P415" t="str">
        <f t="shared" si="2"/>
        <v>#VALUE!</v>
      </c>
      <c r="Q415" t="str">
        <f t="shared" si="3"/>
        <v>#VALUE!</v>
      </c>
      <c r="R415" t="s">
        <v>227</v>
      </c>
      <c r="S415" s="14" t="s">
        <v>227</v>
      </c>
      <c r="T415" t="s">
        <v>227</v>
      </c>
      <c r="U415" t="s">
        <v>227</v>
      </c>
      <c r="V415" t="s">
        <v>227</v>
      </c>
      <c r="W415" t="str">
        <f t="shared" si="1"/>
        <v/>
      </c>
    </row>
    <row r="416">
      <c r="A416" s="119">
        <v>747.0</v>
      </c>
      <c r="B416" s="119">
        <v>11.0</v>
      </c>
      <c r="C416" s="96"/>
      <c r="D416" s="96"/>
      <c r="E416" s="96"/>
      <c r="F416" s="96"/>
      <c r="G416" s="96"/>
      <c r="O416" t="str">
        <f>IFERROR(__xludf.DUMMYFUNCTION("regexextract(B416,""[\w]* [\w]*"")"),"#VALUE!")</f>
        <v>#VALUE!</v>
      </c>
      <c r="P416" t="str">
        <f t="shared" si="2"/>
        <v>#VALUE!</v>
      </c>
      <c r="Q416" t="str">
        <f t="shared" si="3"/>
        <v>#VALUE!</v>
      </c>
      <c r="R416" t="s">
        <v>227</v>
      </c>
      <c r="S416" s="14" t="s">
        <v>227</v>
      </c>
      <c r="T416" t="s">
        <v>227</v>
      </c>
      <c r="U416" t="s">
        <v>227</v>
      </c>
      <c r="V416" t="s">
        <v>227</v>
      </c>
      <c r="W416" t="str">
        <f t="shared" si="1"/>
        <v/>
      </c>
    </row>
    <row r="417">
      <c r="A417" s="92"/>
      <c r="B417" s="99"/>
      <c r="C417" s="92"/>
      <c r="D417" s="92"/>
      <c r="E417" s="92"/>
      <c r="F417" s="92"/>
      <c r="G417" s="92"/>
      <c r="O417" t="str">
        <f>IFERROR(__xludf.DUMMYFUNCTION("regexextract(B417,""[\w]* [\w]*"")"),"#N/A")</f>
        <v>#N/A</v>
      </c>
      <c r="P417" t="str">
        <f t="shared" si="2"/>
        <v>#N/A</v>
      </c>
      <c r="Q417" t="str">
        <f t="shared" si="3"/>
        <v>#N/A</v>
      </c>
      <c r="R417" t="s">
        <v>227</v>
      </c>
      <c r="S417" s="14" t="s">
        <v>227</v>
      </c>
      <c r="T417" t="s">
        <v>227</v>
      </c>
      <c r="U417" t="s">
        <v>227</v>
      </c>
      <c r="V417" t="s">
        <v>227</v>
      </c>
      <c r="W417" t="str">
        <f t="shared" si="1"/>
        <v/>
      </c>
    </row>
    <row r="418">
      <c r="A418" s="96"/>
      <c r="B418" s="102"/>
      <c r="C418" s="96"/>
      <c r="D418" s="96"/>
      <c r="E418" s="96"/>
      <c r="F418" s="96"/>
      <c r="G418" s="96"/>
      <c r="O418" t="str">
        <f>IFERROR(__xludf.DUMMYFUNCTION("regexextract(B418,""[\w]* [\w]*"")"),"#N/A")</f>
        <v>#N/A</v>
      </c>
      <c r="P418" t="str">
        <f t="shared" si="2"/>
        <v>#N/A</v>
      </c>
      <c r="Q418" t="str">
        <f t="shared" si="3"/>
        <v>#N/A</v>
      </c>
      <c r="R418" t="s">
        <v>227</v>
      </c>
      <c r="S418" s="14" t="s">
        <v>227</v>
      </c>
      <c r="T418" t="s">
        <v>227</v>
      </c>
      <c r="U418" t="s">
        <v>227</v>
      </c>
      <c r="V418" t="s">
        <v>227</v>
      </c>
      <c r="W418" t="str">
        <f t="shared" si="1"/>
        <v/>
      </c>
    </row>
    <row r="419">
      <c r="A419" s="92"/>
      <c r="B419" s="99"/>
      <c r="C419" s="92"/>
      <c r="D419" s="92"/>
      <c r="E419" s="92"/>
      <c r="F419" s="92"/>
      <c r="G419" s="92"/>
      <c r="O419" t="str">
        <f>IFERROR(__xludf.DUMMYFUNCTION("regexextract(B419,""[\w]* [\w]*"")"),"#N/A")</f>
        <v>#N/A</v>
      </c>
      <c r="P419" t="str">
        <f t="shared" si="2"/>
        <v>#N/A</v>
      </c>
      <c r="Q419" t="str">
        <f t="shared" si="3"/>
        <v>#N/A</v>
      </c>
      <c r="R419" t="s">
        <v>227</v>
      </c>
      <c r="S419" s="14" t="s">
        <v>227</v>
      </c>
      <c r="T419" t="s">
        <v>227</v>
      </c>
      <c r="U419" t="s">
        <v>227</v>
      </c>
      <c r="V419" t="s">
        <v>227</v>
      </c>
      <c r="W419" t="str">
        <f t="shared" si="1"/>
        <v/>
      </c>
    </row>
    <row r="420">
      <c r="A420" s="96"/>
      <c r="B420" s="102"/>
      <c r="C420" s="96"/>
      <c r="D420" s="96"/>
      <c r="E420" s="96"/>
      <c r="F420" s="96"/>
      <c r="G420" s="96"/>
      <c r="O420" t="str">
        <f>IFERROR(__xludf.DUMMYFUNCTION("regexextract(B420,""[\w]* [\w]*"")"),"#N/A")</f>
        <v>#N/A</v>
      </c>
      <c r="P420" t="str">
        <f t="shared" si="2"/>
        <v>#N/A</v>
      </c>
      <c r="Q420" t="str">
        <f t="shared" si="3"/>
        <v>#N/A</v>
      </c>
      <c r="R420" t="s">
        <v>227</v>
      </c>
      <c r="S420" s="14" t="s">
        <v>227</v>
      </c>
      <c r="T420" t="s">
        <v>227</v>
      </c>
      <c r="U420" t="s">
        <v>227</v>
      </c>
      <c r="V420" t="s">
        <v>227</v>
      </c>
      <c r="W420" t="str">
        <f t="shared" si="1"/>
        <v/>
      </c>
    </row>
    <row r="421">
      <c r="A421" s="92"/>
      <c r="B421" s="99"/>
      <c r="C421" s="92"/>
      <c r="D421" s="92"/>
      <c r="E421" s="92"/>
      <c r="F421" s="92"/>
      <c r="G421" s="92"/>
      <c r="O421" t="str">
        <f>IFERROR(__xludf.DUMMYFUNCTION("regexextract(B421,""[\w]* [\w]*"")"),"#N/A")</f>
        <v>#N/A</v>
      </c>
      <c r="P421" t="str">
        <f t="shared" si="2"/>
        <v>#N/A</v>
      </c>
      <c r="Q421" t="str">
        <f t="shared" si="3"/>
        <v>#N/A</v>
      </c>
      <c r="R421" t="s">
        <v>227</v>
      </c>
      <c r="S421" s="14" t="s">
        <v>227</v>
      </c>
      <c r="T421" t="s">
        <v>227</v>
      </c>
      <c r="U421" t="s">
        <v>227</v>
      </c>
      <c r="V421" t="s">
        <v>227</v>
      </c>
      <c r="W421" t="str">
        <f t="shared" si="1"/>
        <v/>
      </c>
    </row>
    <row r="422">
      <c r="A422" s="96"/>
      <c r="B422" s="102"/>
      <c r="C422" s="96"/>
      <c r="D422" s="96"/>
      <c r="E422" s="96"/>
      <c r="F422" s="96"/>
      <c r="G422" s="96"/>
      <c r="O422" t="str">
        <f>IFERROR(__xludf.DUMMYFUNCTION("regexextract(B422,""[\w]* [\w]*"")"),"#N/A")</f>
        <v>#N/A</v>
      </c>
      <c r="P422" t="str">
        <f t="shared" si="2"/>
        <v>#N/A</v>
      </c>
      <c r="Q422" t="str">
        <f t="shared" si="3"/>
        <v>#N/A</v>
      </c>
      <c r="R422" t="s">
        <v>227</v>
      </c>
      <c r="S422" s="14" t="s">
        <v>227</v>
      </c>
      <c r="T422" t="s">
        <v>227</v>
      </c>
      <c r="U422" t="s">
        <v>227</v>
      </c>
      <c r="V422" t="s">
        <v>227</v>
      </c>
      <c r="W422" t="str">
        <f t="shared" si="1"/>
        <v/>
      </c>
    </row>
    <row r="423">
      <c r="A423" s="92"/>
      <c r="B423" s="99"/>
      <c r="C423" s="92"/>
      <c r="D423" s="92"/>
      <c r="E423" s="92"/>
      <c r="F423" s="92"/>
      <c r="G423" s="92"/>
      <c r="O423" t="str">
        <f>IFERROR(__xludf.DUMMYFUNCTION("regexextract(B423,""[\w]* [\w]*"")"),"#N/A")</f>
        <v>#N/A</v>
      </c>
      <c r="P423" t="str">
        <f t="shared" si="2"/>
        <v>#N/A</v>
      </c>
      <c r="Q423" t="str">
        <f t="shared" si="3"/>
        <v>#N/A</v>
      </c>
      <c r="R423" t="s">
        <v>227</v>
      </c>
      <c r="S423" s="14" t="s">
        <v>227</v>
      </c>
      <c r="T423" t="s">
        <v>227</v>
      </c>
      <c r="U423" t="s">
        <v>227</v>
      </c>
      <c r="V423" t="s">
        <v>227</v>
      </c>
      <c r="W423" t="str">
        <f t="shared" si="1"/>
        <v/>
      </c>
    </row>
    <row r="424">
      <c r="A424" s="96"/>
      <c r="B424" s="102"/>
      <c r="C424" s="96"/>
      <c r="D424" s="96"/>
      <c r="E424" s="96"/>
      <c r="F424" s="96"/>
      <c r="G424" s="96"/>
      <c r="O424" t="str">
        <f>IFERROR(__xludf.DUMMYFUNCTION("regexextract(B424,""[\w]* [\w]*"")"),"#N/A")</f>
        <v>#N/A</v>
      </c>
      <c r="P424" t="str">
        <f t="shared" si="2"/>
        <v>#N/A</v>
      </c>
      <c r="Q424" t="str">
        <f t="shared" si="3"/>
        <v>#N/A</v>
      </c>
      <c r="R424" t="s">
        <v>227</v>
      </c>
      <c r="S424" s="14" t="s">
        <v>227</v>
      </c>
      <c r="T424" t="s">
        <v>227</v>
      </c>
      <c r="U424" t="s">
        <v>227</v>
      </c>
      <c r="V424" t="s">
        <v>227</v>
      </c>
      <c r="W424" t="str">
        <f t="shared" si="1"/>
        <v/>
      </c>
    </row>
    <row r="425">
      <c r="A425" s="92"/>
      <c r="B425" s="99"/>
      <c r="C425" s="92"/>
      <c r="D425" s="92"/>
      <c r="E425" s="92"/>
      <c r="F425" s="92"/>
      <c r="G425" s="92"/>
      <c r="O425" t="str">
        <f>IFERROR(__xludf.DUMMYFUNCTION("regexextract(B425,""[\w]* [\w]*"")"),"#N/A")</f>
        <v>#N/A</v>
      </c>
      <c r="P425" t="str">
        <f t="shared" si="2"/>
        <v>#N/A</v>
      </c>
      <c r="Q425" t="str">
        <f t="shared" si="3"/>
        <v>#N/A</v>
      </c>
      <c r="R425" t="s">
        <v>227</v>
      </c>
      <c r="S425" s="14" t="s">
        <v>227</v>
      </c>
      <c r="T425" t="s">
        <v>227</v>
      </c>
      <c r="U425" t="s">
        <v>227</v>
      </c>
      <c r="V425" t="s">
        <v>227</v>
      </c>
      <c r="W425" t="str">
        <f t="shared" si="1"/>
        <v/>
      </c>
    </row>
    <row r="426">
      <c r="A426" s="96"/>
      <c r="B426" s="102"/>
      <c r="C426" s="96"/>
      <c r="D426" s="96"/>
      <c r="E426" s="96"/>
      <c r="F426" s="96"/>
      <c r="G426" s="96"/>
      <c r="O426" t="str">
        <f>IFERROR(__xludf.DUMMYFUNCTION("regexextract(B426,""[\w]* [\w]*"")"),"#N/A")</f>
        <v>#N/A</v>
      </c>
      <c r="P426" t="str">
        <f t="shared" si="2"/>
        <v>#N/A</v>
      </c>
      <c r="Q426" t="str">
        <f t="shared" si="3"/>
        <v>#N/A</v>
      </c>
      <c r="R426" t="s">
        <v>227</v>
      </c>
      <c r="S426" s="14" t="s">
        <v>227</v>
      </c>
      <c r="T426" t="s">
        <v>227</v>
      </c>
      <c r="U426" t="s">
        <v>227</v>
      </c>
      <c r="V426" t="s">
        <v>227</v>
      </c>
      <c r="W426" t="str">
        <f t="shared" si="1"/>
        <v/>
      </c>
    </row>
    <row r="427">
      <c r="A427" s="92"/>
      <c r="B427" s="99"/>
      <c r="C427" s="92"/>
      <c r="D427" s="92"/>
      <c r="E427" s="92"/>
      <c r="F427" s="92"/>
      <c r="G427" s="92"/>
      <c r="O427" t="str">
        <f>IFERROR(__xludf.DUMMYFUNCTION("regexextract(B427,""[\w]* [\w]*"")"),"#N/A")</f>
        <v>#N/A</v>
      </c>
      <c r="P427" t="str">
        <f t="shared" si="2"/>
        <v>#N/A</v>
      </c>
      <c r="Q427" t="str">
        <f t="shared" si="3"/>
        <v>#N/A</v>
      </c>
      <c r="R427" t="s">
        <v>227</v>
      </c>
      <c r="S427" s="14" t="s">
        <v>227</v>
      </c>
      <c r="T427" t="s">
        <v>227</v>
      </c>
      <c r="U427" t="s">
        <v>227</v>
      </c>
      <c r="V427" t="s">
        <v>227</v>
      </c>
      <c r="W427" t="str">
        <f t="shared" si="1"/>
        <v/>
      </c>
    </row>
    <row r="428">
      <c r="A428" s="96"/>
      <c r="B428" s="102"/>
      <c r="C428" s="96"/>
      <c r="D428" s="96"/>
      <c r="E428" s="96"/>
      <c r="F428" s="96"/>
      <c r="G428" s="96"/>
      <c r="O428" t="str">
        <f>IFERROR(__xludf.DUMMYFUNCTION("regexextract(B428,""[\w]* [\w]*"")"),"#N/A")</f>
        <v>#N/A</v>
      </c>
      <c r="P428" t="str">
        <f t="shared" si="2"/>
        <v>#N/A</v>
      </c>
      <c r="Q428" t="str">
        <f t="shared" si="3"/>
        <v>#N/A</v>
      </c>
      <c r="R428" t="s">
        <v>227</v>
      </c>
      <c r="S428" s="14" t="s">
        <v>227</v>
      </c>
      <c r="T428" t="s">
        <v>227</v>
      </c>
      <c r="U428" t="s">
        <v>227</v>
      </c>
      <c r="V428" t="s">
        <v>227</v>
      </c>
      <c r="W428" t="str">
        <f t="shared" si="1"/>
        <v/>
      </c>
    </row>
    <row r="429">
      <c r="A429" s="92"/>
      <c r="B429" s="99"/>
      <c r="C429" s="92"/>
      <c r="D429" s="92"/>
      <c r="E429" s="92"/>
      <c r="F429" s="92"/>
      <c r="G429" s="92"/>
      <c r="O429" t="str">
        <f>IFERROR(__xludf.DUMMYFUNCTION("regexextract(B429,""[\w]* [\w]*"")"),"#N/A")</f>
        <v>#N/A</v>
      </c>
      <c r="P429" t="str">
        <f t="shared" si="2"/>
        <v>#N/A</v>
      </c>
      <c r="Q429" t="str">
        <f t="shared" si="3"/>
        <v>#N/A</v>
      </c>
      <c r="R429" t="s">
        <v>227</v>
      </c>
      <c r="S429" s="14" t="s">
        <v>227</v>
      </c>
      <c r="T429" t="s">
        <v>227</v>
      </c>
      <c r="U429" t="s">
        <v>227</v>
      </c>
      <c r="V429" t="s">
        <v>227</v>
      </c>
      <c r="W429" t="str">
        <f t="shared" si="1"/>
        <v/>
      </c>
    </row>
    <row r="430">
      <c r="A430" s="96"/>
      <c r="B430" s="102"/>
      <c r="C430" s="96"/>
      <c r="D430" s="96"/>
      <c r="E430" s="96"/>
      <c r="F430" s="96"/>
      <c r="G430" s="96"/>
      <c r="O430" t="str">
        <f>IFERROR(__xludf.DUMMYFUNCTION("regexextract(B430,""[\w]* [\w]*"")"),"#N/A")</f>
        <v>#N/A</v>
      </c>
      <c r="P430" t="str">
        <f t="shared" si="2"/>
        <v>#N/A</v>
      </c>
      <c r="Q430" t="str">
        <f t="shared" si="3"/>
        <v>#N/A</v>
      </c>
      <c r="R430" t="s">
        <v>227</v>
      </c>
      <c r="S430" s="14" t="s">
        <v>227</v>
      </c>
      <c r="T430" t="s">
        <v>227</v>
      </c>
      <c r="U430" t="s">
        <v>227</v>
      </c>
      <c r="V430" t="s">
        <v>227</v>
      </c>
      <c r="W430" t="str">
        <f t="shared" si="1"/>
        <v/>
      </c>
    </row>
    <row r="431">
      <c r="A431" s="92"/>
      <c r="B431" s="99"/>
      <c r="C431" s="92"/>
      <c r="D431" s="92"/>
      <c r="E431" s="92"/>
      <c r="F431" s="92"/>
      <c r="G431" s="92"/>
      <c r="O431" t="str">
        <f>IFERROR(__xludf.DUMMYFUNCTION("regexextract(B431,""[\w]* [\w]*"")"),"#N/A")</f>
        <v>#N/A</v>
      </c>
      <c r="P431" t="str">
        <f t="shared" si="2"/>
        <v>#N/A</v>
      </c>
      <c r="Q431" t="str">
        <f t="shared" si="3"/>
        <v>#N/A</v>
      </c>
      <c r="R431" t="s">
        <v>227</v>
      </c>
      <c r="S431" s="14" t="s">
        <v>227</v>
      </c>
      <c r="T431" t="s">
        <v>227</v>
      </c>
      <c r="U431" t="s">
        <v>227</v>
      </c>
      <c r="V431" t="s">
        <v>227</v>
      </c>
      <c r="W431" t="str">
        <f t="shared" si="1"/>
        <v/>
      </c>
    </row>
    <row r="432">
      <c r="A432" s="96"/>
      <c r="B432" s="102"/>
      <c r="C432" s="96"/>
      <c r="D432" s="96"/>
      <c r="E432" s="96"/>
      <c r="F432" s="96"/>
      <c r="G432" s="96"/>
      <c r="O432" t="str">
        <f>IFERROR(__xludf.DUMMYFUNCTION("regexextract(B432,""[\w]* [\w]*"")"),"#N/A")</f>
        <v>#N/A</v>
      </c>
      <c r="P432" t="str">
        <f t="shared" si="2"/>
        <v>#N/A</v>
      </c>
      <c r="Q432" t="str">
        <f t="shared" si="3"/>
        <v>#N/A</v>
      </c>
      <c r="R432" t="s">
        <v>227</v>
      </c>
      <c r="S432" s="14" t="s">
        <v>227</v>
      </c>
      <c r="T432" t="s">
        <v>227</v>
      </c>
      <c r="U432" t="s">
        <v>227</v>
      </c>
      <c r="V432" t="s">
        <v>227</v>
      </c>
      <c r="W432" t="str">
        <f t="shared" si="1"/>
        <v/>
      </c>
    </row>
    <row r="433">
      <c r="A433" s="92"/>
      <c r="B433" s="99"/>
      <c r="C433" s="92"/>
      <c r="D433" s="92"/>
      <c r="E433" s="92"/>
      <c r="F433" s="92"/>
      <c r="G433" s="92"/>
      <c r="O433" t="str">
        <f>IFERROR(__xludf.DUMMYFUNCTION("regexextract(B433,""[\w]* [\w]*"")"),"#N/A")</f>
        <v>#N/A</v>
      </c>
      <c r="P433" t="str">
        <f t="shared" si="2"/>
        <v>#N/A</v>
      </c>
      <c r="Q433" t="str">
        <f t="shared" si="3"/>
        <v>#N/A</v>
      </c>
      <c r="R433" t="s">
        <v>227</v>
      </c>
      <c r="S433" s="14" t="s">
        <v>227</v>
      </c>
      <c r="T433" t="s">
        <v>227</v>
      </c>
      <c r="U433" t="s">
        <v>227</v>
      </c>
      <c r="V433" t="s">
        <v>227</v>
      </c>
      <c r="W433" t="str">
        <f t="shared" si="1"/>
        <v/>
      </c>
    </row>
    <row r="434">
      <c r="A434" s="96"/>
      <c r="B434" s="102"/>
      <c r="C434" s="96"/>
      <c r="D434" s="96"/>
      <c r="E434" s="96"/>
      <c r="F434" s="96"/>
      <c r="G434" s="96"/>
      <c r="O434" t="str">
        <f>IFERROR(__xludf.DUMMYFUNCTION("regexextract(B434,""[\w]* [\w]*"")"),"#N/A")</f>
        <v>#N/A</v>
      </c>
      <c r="P434" t="str">
        <f t="shared" si="2"/>
        <v>#N/A</v>
      </c>
      <c r="Q434" t="str">
        <f t="shared" si="3"/>
        <v>#N/A</v>
      </c>
      <c r="R434" t="s">
        <v>227</v>
      </c>
      <c r="S434" s="14" t="s">
        <v>227</v>
      </c>
      <c r="T434" t="s">
        <v>227</v>
      </c>
      <c r="U434" t="s">
        <v>227</v>
      </c>
      <c r="V434" t="s">
        <v>227</v>
      </c>
      <c r="W434" t="str">
        <f t="shared" si="1"/>
        <v/>
      </c>
    </row>
    <row r="435">
      <c r="A435" s="92"/>
      <c r="B435" s="99"/>
      <c r="C435" s="92"/>
      <c r="D435" s="92"/>
      <c r="E435" s="92"/>
      <c r="F435" s="92"/>
      <c r="G435" s="92"/>
      <c r="O435" t="str">
        <f>IFERROR(__xludf.DUMMYFUNCTION("regexextract(B435,""[\w]* [\w]*"")"),"#N/A")</f>
        <v>#N/A</v>
      </c>
      <c r="P435" t="str">
        <f t="shared" si="2"/>
        <v>#N/A</v>
      </c>
      <c r="Q435" t="str">
        <f t="shared" si="3"/>
        <v>#N/A</v>
      </c>
      <c r="R435" t="s">
        <v>227</v>
      </c>
      <c r="S435" s="14" t="s">
        <v>227</v>
      </c>
      <c r="T435" t="s">
        <v>227</v>
      </c>
      <c r="U435" t="s">
        <v>227</v>
      </c>
      <c r="V435" t="s">
        <v>227</v>
      </c>
      <c r="W435" t="str">
        <f t="shared" si="1"/>
        <v/>
      </c>
    </row>
    <row r="436">
      <c r="A436" s="96"/>
      <c r="B436" s="102"/>
      <c r="C436" s="96"/>
      <c r="D436" s="96"/>
      <c r="E436" s="96"/>
      <c r="F436" s="96"/>
      <c r="G436" s="96"/>
      <c r="O436" t="str">
        <f>IFERROR(__xludf.DUMMYFUNCTION("regexextract(B436,""[\w]* [\w]*"")"),"#N/A")</f>
        <v>#N/A</v>
      </c>
      <c r="P436" t="str">
        <f t="shared" si="2"/>
        <v>#N/A</v>
      </c>
      <c r="Q436" t="str">
        <f t="shared" si="3"/>
        <v>#N/A</v>
      </c>
      <c r="R436" t="s">
        <v>227</v>
      </c>
      <c r="S436" s="14" t="s">
        <v>227</v>
      </c>
      <c r="T436" t="s">
        <v>227</v>
      </c>
      <c r="U436" t="s">
        <v>227</v>
      </c>
      <c r="V436" t="s">
        <v>227</v>
      </c>
      <c r="W436" t="str">
        <f t="shared" si="1"/>
        <v/>
      </c>
    </row>
    <row r="437">
      <c r="A437" s="92"/>
      <c r="B437" s="99"/>
      <c r="C437" s="92"/>
      <c r="D437" s="92"/>
      <c r="E437" s="92"/>
      <c r="F437" s="92"/>
      <c r="G437" s="92"/>
      <c r="O437" t="str">
        <f>IFERROR(__xludf.DUMMYFUNCTION("regexextract(B437,""[\w]* [\w]*"")"),"#N/A")</f>
        <v>#N/A</v>
      </c>
      <c r="P437" t="str">
        <f t="shared" si="2"/>
        <v>#N/A</v>
      </c>
      <c r="Q437" t="str">
        <f t="shared" si="3"/>
        <v>#N/A</v>
      </c>
      <c r="R437" t="s">
        <v>227</v>
      </c>
      <c r="S437" s="14" t="s">
        <v>227</v>
      </c>
      <c r="T437" t="s">
        <v>227</v>
      </c>
      <c r="U437" t="s">
        <v>227</v>
      </c>
      <c r="V437" t="s">
        <v>227</v>
      </c>
      <c r="W437" t="str">
        <f t="shared" si="1"/>
        <v/>
      </c>
    </row>
    <row r="438">
      <c r="A438" s="96"/>
      <c r="B438" s="102"/>
      <c r="C438" s="96"/>
      <c r="D438" s="96"/>
      <c r="E438" s="96"/>
      <c r="F438" s="96"/>
      <c r="G438" s="96"/>
      <c r="O438" t="str">
        <f>IFERROR(__xludf.DUMMYFUNCTION("regexextract(B438,""[\w]* [\w]*"")"),"#N/A")</f>
        <v>#N/A</v>
      </c>
      <c r="P438" t="str">
        <f t="shared" si="2"/>
        <v>#N/A</v>
      </c>
      <c r="Q438" t="str">
        <f t="shared" si="3"/>
        <v>#N/A</v>
      </c>
      <c r="R438" t="s">
        <v>227</v>
      </c>
      <c r="S438" s="14" t="s">
        <v>227</v>
      </c>
      <c r="T438" t="s">
        <v>227</v>
      </c>
      <c r="U438" t="s">
        <v>227</v>
      </c>
      <c r="V438" t="s">
        <v>227</v>
      </c>
      <c r="W438" t="str">
        <f t="shared" si="1"/>
        <v/>
      </c>
    </row>
    <row r="439">
      <c r="A439" s="92"/>
      <c r="B439" s="99"/>
      <c r="C439" s="92"/>
      <c r="D439" s="92"/>
      <c r="E439" s="92"/>
      <c r="F439" s="92"/>
      <c r="G439" s="92"/>
      <c r="O439" t="str">
        <f>IFERROR(__xludf.DUMMYFUNCTION("regexextract(B439,""[\w]* [\w]*"")"),"#N/A")</f>
        <v>#N/A</v>
      </c>
      <c r="P439" t="str">
        <f t="shared" si="2"/>
        <v>#N/A</v>
      </c>
      <c r="Q439" t="str">
        <f t="shared" si="3"/>
        <v>#N/A</v>
      </c>
      <c r="R439" t="s">
        <v>227</v>
      </c>
      <c r="S439" s="14" t="s">
        <v>227</v>
      </c>
      <c r="T439" t="s">
        <v>227</v>
      </c>
      <c r="U439" t="s">
        <v>227</v>
      </c>
      <c r="V439" t="s">
        <v>227</v>
      </c>
      <c r="W439" t="str">
        <f t="shared" si="1"/>
        <v/>
      </c>
    </row>
    <row r="440">
      <c r="A440" s="96"/>
      <c r="B440" s="102"/>
      <c r="C440" s="96"/>
      <c r="D440" s="96"/>
      <c r="E440" s="96"/>
      <c r="F440" s="96"/>
      <c r="G440" s="96"/>
      <c r="O440" t="str">
        <f>IFERROR(__xludf.DUMMYFUNCTION("regexextract(B440,""[\w]* [\w]*"")"),"#N/A")</f>
        <v>#N/A</v>
      </c>
      <c r="P440" t="str">
        <f t="shared" si="2"/>
        <v>#N/A</v>
      </c>
      <c r="Q440" t="str">
        <f t="shared" si="3"/>
        <v>#N/A</v>
      </c>
      <c r="R440" t="s">
        <v>227</v>
      </c>
      <c r="S440" s="14" t="s">
        <v>227</v>
      </c>
      <c r="T440" t="s">
        <v>227</v>
      </c>
      <c r="U440" t="s">
        <v>227</v>
      </c>
      <c r="V440" t="s">
        <v>227</v>
      </c>
      <c r="W440" t="str">
        <f t="shared" si="1"/>
        <v/>
      </c>
    </row>
    <row r="441">
      <c r="A441" s="92"/>
      <c r="B441" s="99"/>
      <c r="C441" s="92"/>
      <c r="D441" s="92"/>
      <c r="E441" s="92"/>
      <c r="F441" s="92"/>
      <c r="G441" s="92"/>
      <c r="O441" t="str">
        <f>IFERROR(__xludf.DUMMYFUNCTION("regexextract(B441,""[\w]* [\w]*"")"),"#N/A")</f>
        <v>#N/A</v>
      </c>
      <c r="P441" t="str">
        <f t="shared" si="2"/>
        <v>#N/A</v>
      </c>
      <c r="Q441" t="str">
        <f t="shared" si="3"/>
        <v>#N/A</v>
      </c>
      <c r="R441" t="s">
        <v>227</v>
      </c>
      <c r="S441" s="14" t="s">
        <v>227</v>
      </c>
      <c r="T441" t="s">
        <v>227</v>
      </c>
      <c r="U441" t="s">
        <v>227</v>
      </c>
      <c r="V441" t="s">
        <v>227</v>
      </c>
      <c r="W441" t="str">
        <f t="shared" si="1"/>
        <v/>
      </c>
    </row>
    <row r="442">
      <c r="A442" s="96"/>
      <c r="B442" s="102"/>
      <c r="C442" s="96"/>
      <c r="D442" s="96"/>
      <c r="E442" s="96"/>
      <c r="F442" s="96"/>
      <c r="G442" s="96"/>
      <c r="O442" t="str">
        <f>IFERROR(__xludf.DUMMYFUNCTION("regexextract(B442,""[\w]* [\w]*"")"),"#N/A")</f>
        <v>#N/A</v>
      </c>
      <c r="P442" t="str">
        <f t="shared" si="2"/>
        <v>#N/A</v>
      </c>
      <c r="Q442" t="str">
        <f t="shared" si="3"/>
        <v>#N/A</v>
      </c>
      <c r="R442" t="s">
        <v>227</v>
      </c>
      <c r="S442" s="14" t="s">
        <v>227</v>
      </c>
      <c r="T442" t="s">
        <v>227</v>
      </c>
      <c r="U442" t="s">
        <v>227</v>
      </c>
      <c r="V442" t="s">
        <v>227</v>
      </c>
      <c r="W442" t="str">
        <f t="shared" si="1"/>
        <v/>
      </c>
    </row>
    <row r="443">
      <c r="A443" s="92"/>
      <c r="B443" s="99"/>
      <c r="C443" s="92"/>
      <c r="D443" s="92"/>
      <c r="E443" s="92"/>
      <c r="F443" s="92"/>
      <c r="G443" s="92"/>
      <c r="O443" t="str">
        <f>IFERROR(__xludf.DUMMYFUNCTION("regexextract(B443,""[\w]* [\w]*"")"),"#N/A")</f>
        <v>#N/A</v>
      </c>
      <c r="P443" t="str">
        <f t="shared" si="2"/>
        <v>#N/A</v>
      </c>
      <c r="Q443" t="str">
        <f t="shared" si="3"/>
        <v>#N/A</v>
      </c>
      <c r="R443" t="s">
        <v>227</v>
      </c>
      <c r="S443" s="14" t="s">
        <v>227</v>
      </c>
      <c r="T443" t="s">
        <v>227</v>
      </c>
      <c r="U443" t="s">
        <v>227</v>
      </c>
      <c r="V443" t="s">
        <v>227</v>
      </c>
      <c r="W443" t="str">
        <f t="shared" si="1"/>
        <v/>
      </c>
    </row>
    <row r="444">
      <c r="A444" s="96"/>
      <c r="B444" s="102"/>
      <c r="C444" s="96"/>
      <c r="D444" s="96"/>
      <c r="E444" s="96"/>
      <c r="F444" s="96"/>
      <c r="G444" s="96"/>
      <c r="O444" t="str">
        <f>IFERROR(__xludf.DUMMYFUNCTION("regexextract(B444,""[\w]* [\w]*"")"),"#N/A")</f>
        <v>#N/A</v>
      </c>
      <c r="P444" t="str">
        <f t="shared" si="2"/>
        <v>#N/A</v>
      </c>
      <c r="Q444" t="str">
        <f t="shared" si="3"/>
        <v>#N/A</v>
      </c>
      <c r="R444" t="s">
        <v>227</v>
      </c>
      <c r="S444" s="14" t="s">
        <v>227</v>
      </c>
      <c r="T444" t="s">
        <v>227</v>
      </c>
      <c r="U444" t="s">
        <v>227</v>
      </c>
      <c r="V444" t="s">
        <v>227</v>
      </c>
      <c r="W444" t="str">
        <f t="shared" si="1"/>
        <v/>
      </c>
    </row>
    <row r="445">
      <c r="A445" s="92"/>
      <c r="B445" s="99"/>
      <c r="C445" s="92"/>
      <c r="D445" s="92"/>
      <c r="E445" s="92"/>
      <c r="F445" s="92"/>
      <c r="G445" s="92"/>
      <c r="O445" t="str">
        <f>IFERROR(__xludf.DUMMYFUNCTION("regexextract(B445,""[\w]* [\w]*"")"),"#N/A")</f>
        <v>#N/A</v>
      </c>
      <c r="P445" t="str">
        <f t="shared" si="2"/>
        <v>#N/A</v>
      </c>
      <c r="Q445" t="str">
        <f t="shared" si="3"/>
        <v>#N/A</v>
      </c>
      <c r="R445" t="s">
        <v>227</v>
      </c>
      <c r="S445" s="14" t="s">
        <v>227</v>
      </c>
      <c r="T445" t="s">
        <v>227</v>
      </c>
      <c r="U445" t="s">
        <v>227</v>
      </c>
      <c r="V445" t="s">
        <v>227</v>
      </c>
      <c r="W445" t="str">
        <f t="shared" si="1"/>
        <v/>
      </c>
    </row>
    <row r="446">
      <c r="A446" s="96"/>
      <c r="B446" s="102"/>
      <c r="C446" s="96"/>
      <c r="D446" s="96"/>
      <c r="E446" s="96"/>
      <c r="F446" s="96"/>
      <c r="G446" s="96"/>
      <c r="O446" t="str">
        <f>IFERROR(__xludf.DUMMYFUNCTION("regexextract(B446,""[\w]* [\w]*"")"),"#N/A")</f>
        <v>#N/A</v>
      </c>
      <c r="P446" t="str">
        <f t="shared" si="2"/>
        <v>#N/A</v>
      </c>
      <c r="Q446" t="str">
        <f t="shared" si="3"/>
        <v>#N/A</v>
      </c>
      <c r="R446" t="s">
        <v>227</v>
      </c>
      <c r="S446" s="14" t="s">
        <v>227</v>
      </c>
      <c r="T446" t="s">
        <v>227</v>
      </c>
      <c r="U446" t="s">
        <v>227</v>
      </c>
      <c r="V446" t="s">
        <v>227</v>
      </c>
      <c r="W446" t="str">
        <f t="shared" si="1"/>
        <v/>
      </c>
    </row>
    <row r="447">
      <c r="A447" s="92"/>
      <c r="B447" s="99"/>
      <c r="C447" s="92"/>
      <c r="D447" s="92"/>
      <c r="E447" s="92"/>
      <c r="F447" s="92"/>
      <c r="G447" s="92"/>
      <c r="O447" t="str">
        <f>IFERROR(__xludf.DUMMYFUNCTION("regexextract(B447,""[\w]* [\w]*"")"),"#N/A")</f>
        <v>#N/A</v>
      </c>
      <c r="P447" t="str">
        <f t="shared" si="2"/>
        <v>#N/A</v>
      </c>
      <c r="Q447" t="str">
        <f t="shared" si="3"/>
        <v>#N/A</v>
      </c>
      <c r="R447" t="s">
        <v>227</v>
      </c>
      <c r="S447" s="14" t="s">
        <v>227</v>
      </c>
      <c r="T447" t="s">
        <v>227</v>
      </c>
      <c r="U447" t="s">
        <v>227</v>
      </c>
      <c r="V447" t="s">
        <v>227</v>
      </c>
      <c r="W447" t="str">
        <f t="shared" si="1"/>
        <v/>
      </c>
    </row>
    <row r="448">
      <c r="A448" s="96"/>
      <c r="B448" s="102"/>
      <c r="C448" s="96"/>
      <c r="D448" s="96"/>
      <c r="E448" s="96"/>
      <c r="F448" s="96"/>
      <c r="G448" s="96"/>
      <c r="O448" t="str">
        <f>IFERROR(__xludf.DUMMYFUNCTION("regexextract(B448,""[\w]* [\w]*"")"),"#N/A")</f>
        <v>#N/A</v>
      </c>
      <c r="P448" t="str">
        <f t="shared" si="2"/>
        <v>#N/A</v>
      </c>
      <c r="Q448" t="str">
        <f t="shared" si="3"/>
        <v>#N/A</v>
      </c>
      <c r="R448" t="s">
        <v>227</v>
      </c>
      <c r="S448" s="14" t="s">
        <v>227</v>
      </c>
      <c r="T448" t="s">
        <v>227</v>
      </c>
      <c r="U448" t="s">
        <v>227</v>
      </c>
      <c r="V448" t="s">
        <v>227</v>
      </c>
      <c r="W448" t="str">
        <f t="shared" si="1"/>
        <v/>
      </c>
    </row>
    <row r="449">
      <c r="A449" s="92"/>
      <c r="B449" s="99"/>
      <c r="C449" s="92"/>
      <c r="D449" s="92"/>
      <c r="E449" s="92"/>
      <c r="F449" s="92"/>
      <c r="G449" s="92"/>
      <c r="O449" t="str">
        <f>IFERROR(__xludf.DUMMYFUNCTION("regexextract(B449,""[\w]* [\w]*"")"),"#N/A")</f>
        <v>#N/A</v>
      </c>
      <c r="P449" t="str">
        <f t="shared" si="2"/>
        <v>#N/A</v>
      </c>
      <c r="Q449" t="str">
        <f t="shared" si="3"/>
        <v>#N/A</v>
      </c>
      <c r="R449" t="s">
        <v>227</v>
      </c>
      <c r="S449" s="14" t="s">
        <v>227</v>
      </c>
      <c r="T449" t="s">
        <v>227</v>
      </c>
      <c r="U449" t="s">
        <v>227</v>
      </c>
      <c r="V449" t="s">
        <v>227</v>
      </c>
      <c r="W449" t="str">
        <f t="shared" si="1"/>
        <v/>
      </c>
    </row>
    <row r="450">
      <c r="A450" s="96"/>
      <c r="B450" s="102"/>
      <c r="C450" s="96"/>
      <c r="D450" s="96"/>
      <c r="E450" s="96"/>
      <c r="F450" s="96"/>
      <c r="G450" s="96"/>
      <c r="O450" t="str">
        <f>IFERROR(__xludf.DUMMYFUNCTION("regexextract(B450,""[\w]* [\w]*"")"),"#N/A")</f>
        <v>#N/A</v>
      </c>
      <c r="P450" t="str">
        <f t="shared" si="2"/>
        <v>#N/A</v>
      </c>
      <c r="Q450" t="str">
        <f t="shared" si="3"/>
        <v>#N/A</v>
      </c>
      <c r="R450" t="s">
        <v>227</v>
      </c>
      <c r="S450" s="14" t="s">
        <v>227</v>
      </c>
      <c r="T450" t="s">
        <v>227</v>
      </c>
      <c r="U450" t="s">
        <v>227</v>
      </c>
      <c r="V450" t="s">
        <v>227</v>
      </c>
      <c r="W450" t="str">
        <f t="shared" si="1"/>
        <v/>
      </c>
    </row>
    <row r="451">
      <c r="A451" s="92"/>
      <c r="B451" s="99"/>
      <c r="C451" s="92"/>
      <c r="D451" s="92"/>
      <c r="E451" s="92"/>
      <c r="F451" s="92"/>
      <c r="G451" s="92"/>
      <c r="O451" t="str">
        <f>IFERROR(__xludf.DUMMYFUNCTION("regexextract(B451,""[\w]* [\w]*"")"),"#N/A")</f>
        <v>#N/A</v>
      </c>
      <c r="P451" t="str">
        <f t="shared" si="2"/>
        <v>#N/A</v>
      </c>
      <c r="Q451" t="str">
        <f t="shared" si="3"/>
        <v>#N/A</v>
      </c>
      <c r="R451" t="s">
        <v>227</v>
      </c>
      <c r="S451" s="14" t="s">
        <v>227</v>
      </c>
      <c r="T451" t="s">
        <v>227</v>
      </c>
      <c r="U451" t="s">
        <v>227</v>
      </c>
      <c r="V451" t="s">
        <v>227</v>
      </c>
      <c r="W451" t="str">
        <f t="shared" si="1"/>
        <v/>
      </c>
    </row>
    <row r="452">
      <c r="A452" s="96"/>
      <c r="B452" s="102"/>
      <c r="C452" s="96"/>
      <c r="D452" s="96"/>
      <c r="E452" s="96"/>
      <c r="F452" s="96"/>
      <c r="G452" s="96"/>
      <c r="O452" t="str">
        <f>IFERROR(__xludf.DUMMYFUNCTION("regexextract(B452,""[\w]* [\w]*"")"),"#N/A")</f>
        <v>#N/A</v>
      </c>
      <c r="P452" t="str">
        <f t="shared" si="2"/>
        <v>#N/A</v>
      </c>
      <c r="Q452" t="str">
        <f t="shared" si="3"/>
        <v>#N/A</v>
      </c>
      <c r="R452" t="s">
        <v>227</v>
      </c>
      <c r="S452" s="14" t="s">
        <v>227</v>
      </c>
      <c r="T452" t="s">
        <v>227</v>
      </c>
      <c r="U452" t="s">
        <v>227</v>
      </c>
      <c r="V452" t="s">
        <v>227</v>
      </c>
      <c r="W452" t="str">
        <f t="shared" si="1"/>
        <v/>
      </c>
    </row>
    <row r="453">
      <c r="A453" s="92"/>
      <c r="B453" s="99"/>
      <c r="C453" s="92"/>
      <c r="D453" s="92"/>
      <c r="E453" s="92"/>
      <c r="F453" s="92"/>
      <c r="G453" s="92"/>
      <c r="O453" t="str">
        <f>IFERROR(__xludf.DUMMYFUNCTION("regexextract(B453,""[\w]* [\w]*"")"),"#N/A")</f>
        <v>#N/A</v>
      </c>
      <c r="P453" t="str">
        <f t="shared" si="2"/>
        <v>#N/A</v>
      </c>
      <c r="Q453" t="str">
        <f t="shared" si="3"/>
        <v>#N/A</v>
      </c>
      <c r="R453" t="s">
        <v>227</v>
      </c>
      <c r="S453" s="14" t="s">
        <v>227</v>
      </c>
      <c r="T453" t="s">
        <v>227</v>
      </c>
      <c r="U453" t="s">
        <v>227</v>
      </c>
      <c r="V453" t="s">
        <v>227</v>
      </c>
      <c r="W453" t="str">
        <f t="shared" si="1"/>
        <v/>
      </c>
    </row>
    <row r="454">
      <c r="A454" s="96"/>
      <c r="B454" s="102"/>
      <c r="C454" s="96"/>
      <c r="D454" s="96"/>
      <c r="E454" s="96"/>
      <c r="F454" s="96"/>
      <c r="G454" s="96"/>
      <c r="O454" t="str">
        <f>IFERROR(__xludf.DUMMYFUNCTION("regexextract(B454,""[\w]* [\w]*"")"),"#N/A")</f>
        <v>#N/A</v>
      </c>
      <c r="P454" t="str">
        <f t="shared" si="2"/>
        <v>#N/A</v>
      </c>
      <c r="Q454" t="str">
        <f t="shared" si="3"/>
        <v>#N/A</v>
      </c>
      <c r="R454" t="s">
        <v>227</v>
      </c>
      <c r="S454" s="14" t="s">
        <v>227</v>
      </c>
      <c r="T454" t="s">
        <v>227</v>
      </c>
      <c r="U454" t="s">
        <v>227</v>
      </c>
      <c r="V454" t="s">
        <v>227</v>
      </c>
      <c r="W454" t="str">
        <f t="shared" si="1"/>
        <v/>
      </c>
    </row>
    <row r="455">
      <c r="A455" s="92"/>
      <c r="B455" s="99"/>
      <c r="C455" s="92"/>
      <c r="D455" s="92"/>
      <c r="E455" s="92"/>
      <c r="F455" s="92"/>
      <c r="G455" s="92"/>
      <c r="O455" t="str">
        <f>IFERROR(__xludf.DUMMYFUNCTION("regexextract(B455,""[\w]* [\w]*"")"),"#N/A")</f>
        <v>#N/A</v>
      </c>
      <c r="P455" t="str">
        <f t="shared" si="2"/>
        <v>#N/A</v>
      </c>
      <c r="Q455" t="str">
        <f t="shared" si="3"/>
        <v>#N/A</v>
      </c>
      <c r="R455" t="s">
        <v>227</v>
      </c>
      <c r="S455" s="14" t="s">
        <v>227</v>
      </c>
      <c r="T455" t="s">
        <v>227</v>
      </c>
      <c r="U455" t="s">
        <v>227</v>
      </c>
      <c r="V455" t="s">
        <v>227</v>
      </c>
      <c r="W455" t="str">
        <f t="shared" si="1"/>
        <v/>
      </c>
    </row>
    <row r="456">
      <c r="A456" s="96"/>
      <c r="B456" s="102"/>
      <c r="C456" s="96"/>
      <c r="D456" s="96"/>
      <c r="E456" s="96"/>
      <c r="F456" s="96"/>
      <c r="G456" s="96"/>
      <c r="O456" t="str">
        <f>IFERROR(__xludf.DUMMYFUNCTION("regexextract(B456,""[\w]* [\w]*"")"),"#N/A")</f>
        <v>#N/A</v>
      </c>
      <c r="P456" t="str">
        <f t="shared" si="2"/>
        <v>#N/A</v>
      </c>
      <c r="Q456" t="str">
        <f t="shared" si="3"/>
        <v>#N/A</v>
      </c>
      <c r="R456" t="s">
        <v>227</v>
      </c>
      <c r="S456" s="14" t="s">
        <v>227</v>
      </c>
      <c r="T456" t="s">
        <v>227</v>
      </c>
      <c r="U456" t="s">
        <v>227</v>
      </c>
      <c r="V456" t="s">
        <v>227</v>
      </c>
      <c r="W456" t="str">
        <f t="shared" si="1"/>
        <v/>
      </c>
    </row>
    <row r="457">
      <c r="A457" s="92"/>
      <c r="B457" s="99"/>
      <c r="C457" s="92"/>
      <c r="D457" s="92"/>
      <c r="E457" s="92"/>
      <c r="F457" s="92"/>
      <c r="G457" s="92"/>
      <c r="O457" t="str">
        <f>IFERROR(__xludf.DUMMYFUNCTION("regexextract(B457,""[\w]* [\w]*"")"),"#N/A")</f>
        <v>#N/A</v>
      </c>
      <c r="P457" t="str">
        <f t="shared" si="2"/>
        <v>#N/A</v>
      </c>
      <c r="Q457" t="str">
        <f t="shared" si="3"/>
        <v>#N/A</v>
      </c>
      <c r="R457" t="s">
        <v>227</v>
      </c>
      <c r="S457" s="14" t="s">
        <v>227</v>
      </c>
      <c r="T457" t="s">
        <v>227</v>
      </c>
      <c r="U457" t="s">
        <v>227</v>
      </c>
      <c r="V457" t="s">
        <v>227</v>
      </c>
      <c r="W457" t="str">
        <f t="shared" si="1"/>
        <v/>
      </c>
    </row>
    <row r="458">
      <c r="A458" s="96"/>
      <c r="B458" s="102"/>
      <c r="C458" s="96"/>
      <c r="D458" s="96"/>
      <c r="E458" s="96"/>
      <c r="F458" s="96"/>
      <c r="G458" s="96"/>
      <c r="O458" t="str">
        <f>IFERROR(__xludf.DUMMYFUNCTION("regexextract(B458,""[\w]* [\w]*"")"),"#N/A")</f>
        <v>#N/A</v>
      </c>
      <c r="P458" t="str">
        <f t="shared" si="2"/>
        <v>#N/A</v>
      </c>
      <c r="Q458" t="str">
        <f t="shared" si="3"/>
        <v>#N/A</v>
      </c>
      <c r="R458" t="s">
        <v>227</v>
      </c>
      <c r="S458" s="14" t="s">
        <v>227</v>
      </c>
      <c r="T458" t="s">
        <v>227</v>
      </c>
      <c r="U458" t="s">
        <v>227</v>
      </c>
      <c r="V458" t="s">
        <v>227</v>
      </c>
      <c r="W458" t="str">
        <f t="shared" si="1"/>
        <v/>
      </c>
    </row>
    <row r="459">
      <c r="A459" s="92"/>
      <c r="B459" s="99"/>
      <c r="C459" s="92"/>
      <c r="D459" s="92"/>
      <c r="E459" s="92"/>
      <c r="F459" s="92"/>
      <c r="G459" s="92"/>
      <c r="O459" t="str">
        <f>IFERROR(__xludf.DUMMYFUNCTION("regexextract(B459,""[\w]* [\w]*"")"),"#N/A")</f>
        <v>#N/A</v>
      </c>
      <c r="P459" t="str">
        <f t="shared" si="2"/>
        <v>#N/A</v>
      </c>
      <c r="Q459" t="str">
        <f t="shared" si="3"/>
        <v>#N/A</v>
      </c>
      <c r="R459" t="s">
        <v>227</v>
      </c>
      <c r="S459" s="14" t="s">
        <v>227</v>
      </c>
      <c r="T459" t="s">
        <v>227</v>
      </c>
      <c r="U459" t="s">
        <v>227</v>
      </c>
      <c r="V459" t="s">
        <v>227</v>
      </c>
      <c r="W459" t="str">
        <f t="shared" si="1"/>
        <v/>
      </c>
    </row>
    <row r="460">
      <c r="A460" s="96"/>
      <c r="B460" s="102"/>
      <c r="C460" s="96"/>
      <c r="D460" s="96"/>
      <c r="E460" s="96"/>
      <c r="F460" s="96"/>
      <c r="G460" s="96"/>
      <c r="O460" t="str">
        <f>IFERROR(__xludf.DUMMYFUNCTION("regexextract(B460,""[\w]* [\w]*"")"),"#N/A")</f>
        <v>#N/A</v>
      </c>
      <c r="P460" t="str">
        <f t="shared" si="2"/>
        <v>#N/A</v>
      </c>
      <c r="Q460" t="str">
        <f t="shared" si="3"/>
        <v>#N/A</v>
      </c>
      <c r="R460" t="s">
        <v>227</v>
      </c>
      <c r="S460" s="14" t="s">
        <v>227</v>
      </c>
      <c r="T460" t="s">
        <v>227</v>
      </c>
      <c r="U460" t="s">
        <v>227</v>
      </c>
      <c r="V460" t="s">
        <v>227</v>
      </c>
      <c r="W460" t="str">
        <f t="shared" si="1"/>
        <v/>
      </c>
    </row>
    <row r="461">
      <c r="A461" s="92"/>
      <c r="B461" s="99"/>
      <c r="C461" s="92"/>
      <c r="D461" s="92"/>
      <c r="E461" s="92"/>
      <c r="F461" s="92"/>
      <c r="G461" s="92"/>
      <c r="O461" t="str">
        <f>IFERROR(__xludf.DUMMYFUNCTION("regexextract(B461,""[\w]* [\w]*"")"),"#N/A")</f>
        <v>#N/A</v>
      </c>
      <c r="P461" t="str">
        <f t="shared" si="2"/>
        <v>#N/A</v>
      </c>
      <c r="Q461" t="str">
        <f t="shared" si="3"/>
        <v>#N/A</v>
      </c>
      <c r="R461" t="s">
        <v>227</v>
      </c>
      <c r="S461" s="14" t="s">
        <v>227</v>
      </c>
      <c r="T461" t="s">
        <v>227</v>
      </c>
      <c r="U461" t="s">
        <v>227</v>
      </c>
      <c r="V461" t="s">
        <v>227</v>
      </c>
      <c r="W461" t="str">
        <f t="shared" si="1"/>
        <v/>
      </c>
    </row>
    <row r="462">
      <c r="A462" s="96"/>
      <c r="B462" s="102"/>
      <c r="C462" s="96"/>
      <c r="D462" s="96"/>
      <c r="E462" s="96"/>
      <c r="F462" s="96"/>
      <c r="G462" s="96"/>
      <c r="O462" t="str">
        <f>IFERROR(__xludf.DUMMYFUNCTION("regexextract(B462,""[\w]* [\w]*"")"),"#N/A")</f>
        <v>#N/A</v>
      </c>
      <c r="P462" t="str">
        <f t="shared" si="2"/>
        <v>#N/A</v>
      </c>
      <c r="Q462" t="str">
        <f t="shared" si="3"/>
        <v>#N/A</v>
      </c>
      <c r="R462" t="s">
        <v>227</v>
      </c>
      <c r="S462" s="14" t="s">
        <v>227</v>
      </c>
      <c r="T462" t="s">
        <v>227</v>
      </c>
      <c r="U462" t="s">
        <v>227</v>
      </c>
      <c r="V462" t="s">
        <v>227</v>
      </c>
      <c r="W462" t="str">
        <f t="shared" si="1"/>
        <v/>
      </c>
    </row>
    <row r="463">
      <c r="A463" s="92"/>
      <c r="B463" s="99"/>
      <c r="C463" s="92"/>
      <c r="D463" s="92"/>
      <c r="E463" s="92"/>
      <c r="F463" s="92"/>
      <c r="G463" s="92"/>
      <c r="O463" t="str">
        <f>IFERROR(__xludf.DUMMYFUNCTION("regexextract(B463,""[\w]* [\w]*"")"),"#N/A")</f>
        <v>#N/A</v>
      </c>
      <c r="P463" t="str">
        <f t="shared" si="2"/>
        <v>#N/A</v>
      </c>
      <c r="Q463" t="str">
        <f t="shared" si="3"/>
        <v>#N/A</v>
      </c>
      <c r="R463" t="s">
        <v>227</v>
      </c>
      <c r="S463" s="14" t="s">
        <v>227</v>
      </c>
      <c r="T463" t="s">
        <v>227</v>
      </c>
      <c r="U463" t="s">
        <v>227</v>
      </c>
      <c r="V463" t="s">
        <v>227</v>
      </c>
      <c r="W463" t="str">
        <f t="shared" si="1"/>
        <v/>
      </c>
    </row>
    <row r="464">
      <c r="A464" s="96"/>
      <c r="B464" s="102"/>
      <c r="C464" s="96"/>
      <c r="D464" s="96"/>
      <c r="E464" s="96"/>
      <c r="F464" s="96"/>
      <c r="G464" s="96"/>
      <c r="O464" t="str">
        <f>IFERROR(__xludf.DUMMYFUNCTION("regexextract(B464,""[\w]* [\w]*"")"),"#N/A")</f>
        <v>#N/A</v>
      </c>
      <c r="P464" t="str">
        <f t="shared" si="2"/>
        <v>#N/A</v>
      </c>
      <c r="Q464" t="str">
        <f t="shared" si="3"/>
        <v>#N/A</v>
      </c>
      <c r="R464" t="s">
        <v>227</v>
      </c>
      <c r="S464" s="14" t="s">
        <v>227</v>
      </c>
      <c r="T464" t="s">
        <v>227</v>
      </c>
      <c r="U464" t="s">
        <v>227</v>
      </c>
      <c r="V464" t="s">
        <v>227</v>
      </c>
      <c r="W464" t="str">
        <f t="shared" si="1"/>
        <v/>
      </c>
    </row>
    <row r="465">
      <c r="A465" s="92"/>
      <c r="B465" s="99"/>
      <c r="C465" s="92"/>
      <c r="D465" s="92"/>
      <c r="E465" s="92"/>
      <c r="F465" s="92"/>
      <c r="G465" s="92"/>
      <c r="O465" t="str">
        <f>IFERROR(__xludf.DUMMYFUNCTION("regexextract(B465,""[\w]* [\w]*"")"),"#N/A")</f>
        <v>#N/A</v>
      </c>
      <c r="P465" t="str">
        <f t="shared" si="2"/>
        <v>#N/A</v>
      </c>
      <c r="Q465" t="str">
        <f t="shared" si="3"/>
        <v>#N/A</v>
      </c>
      <c r="R465" t="s">
        <v>227</v>
      </c>
      <c r="S465" s="14" t="s">
        <v>227</v>
      </c>
      <c r="T465" t="s">
        <v>227</v>
      </c>
      <c r="U465" t="s">
        <v>227</v>
      </c>
      <c r="V465" t="s">
        <v>227</v>
      </c>
      <c r="W465" t="str">
        <f t="shared" si="1"/>
        <v/>
      </c>
    </row>
    <row r="466">
      <c r="A466" s="96"/>
      <c r="B466" s="102"/>
      <c r="C466" s="96"/>
      <c r="D466" s="96"/>
      <c r="E466" s="96"/>
      <c r="F466" s="96"/>
      <c r="G466" s="96"/>
      <c r="O466" t="str">
        <f>IFERROR(__xludf.DUMMYFUNCTION("regexextract(B466,""[\w]* [\w]*"")"),"#N/A")</f>
        <v>#N/A</v>
      </c>
      <c r="P466" t="str">
        <f t="shared" si="2"/>
        <v>#N/A</v>
      </c>
      <c r="Q466" t="str">
        <f t="shared" si="3"/>
        <v>#N/A</v>
      </c>
      <c r="R466" t="s">
        <v>227</v>
      </c>
      <c r="S466" s="14" t="s">
        <v>227</v>
      </c>
      <c r="T466" t="s">
        <v>227</v>
      </c>
      <c r="U466" t="s">
        <v>227</v>
      </c>
      <c r="V466" t="s">
        <v>227</v>
      </c>
      <c r="W466" t="str">
        <f t="shared" si="1"/>
        <v/>
      </c>
    </row>
    <row r="467">
      <c r="A467" s="92"/>
      <c r="B467" s="99"/>
      <c r="C467" s="92"/>
      <c r="D467" s="92"/>
      <c r="E467" s="92"/>
      <c r="F467" s="92"/>
      <c r="G467" s="92"/>
      <c r="O467" t="str">
        <f>IFERROR(__xludf.DUMMYFUNCTION("regexextract(B467,""[\w]* [\w]*"")"),"#N/A")</f>
        <v>#N/A</v>
      </c>
      <c r="P467" t="str">
        <f t="shared" si="2"/>
        <v>#N/A</v>
      </c>
      <c r="Q467" t="str">
        <f t="shared" si="3"/>
        <v>#N/A</v>
      </c>
      <c r="R467" t="s">
        <v>227</v>
      </c>
      <c r="S467" s="14" t="s">
        <v>227</v>
      </c>
      <c r="T467" t="s">
        <v>227</v>
      </c>
      <c r="U467" t="s">
        <v>227</v>
      </c>
      <c r="V467" t="s">
        <v>227</v>
      </c>
      <c r="W467" t="str">
        <f t="shared" si="1"/>
        <v/>
      </c>
    </row>
    <row r="468">
      <c r="A468" s="96"/>
      <c r="B468" s="102"/>
      <c r="C468" s="96"/>
      <c r="D468" s="96"/>
      <c r="E468" s="96"/>
      <c r="F468" s="96"/>
      <c r="G468" s="96"/>
      <c r="O468" t="str">
        <f>IFERROR(__xludf.DUMMYFUNCTION("regexextract(B468,""[\w]* [\w]*"")"),"#N/A")</f>
        <v>#N/A</v>
      </c>
      <c r="P468" t="str">
        <f t="shared" si="2"/>
        <v>#N/A</v>
      </c>
      <c r="Q468" t="str">
        <f t="shared" si="3"/>
        <v>#N/A</v>
      </c>
      <c r="R468" t="s">
        <v>227</v>
      </c>
      <c r="S468" s="14" t="s">
        <v>227</v>
      </c>
      <c r="T468" t="s">
        <v>227</v>
      </c>
      <c r="U468" t="s">
        <v>227</v>
      </c>
      <c r="V468" t="s">
        <v>227</v>
      </c>
      <c r="W468" t="str">
        <f t="shared" si="1"/>
        <v/>
      </c>
    </row>
    <row r="469">
      <c r="A469" s="92"/>
      <c r="B469" s="99"/>
      <c r="C469" s="92"/>
      <c r="D469" s="92"/>
      <c r="E469" s="92"/>
      <c r="F469" s="92"/>
      <c r="G469" s="92"/>
      <c r="O469" t="str">
        <f>IFERROR(__xludf.DUMMYFUNCTION("regexextract(B469,""[\w]* [\w]*"")"),"#N/A")</f>
        <v>#N/A</v>
      </c>
      <c r="P469" t="str">
        <f t="shared" si="2"/>
        <v>#N/A</v>
      </c>
      <c r="Q469" t="str">
        <f t="shared" si="3"/>
        <v>#N/A</v>
      </c>
      <c r="R469" t="s">
        <v>227</v>
      </c>
      <c r="S469" s="14" t="s">
        <v>227</v>
      </c>
      <c r="T469" t="s">
        <v>227</v>
      </c>
      <c r="U469" t="s">
        <v>227</v>
      </c>
      <c r="V469" t="s">
        <v>227</v>
      </c>
      <c r="W469" t="str">
        <f t="shared" si="1"/>
        <v/>
      </c>
    </row>
    <row r="470">
      <c r="A470" s="96"/>
      <c r="B470" s="102"/>
      <c r="C470" s="96"/>
      <c r="D470" s="96"/>
      <c r="E470" s="96"/>
      <c r="F470" s="96"/>
      <c r="G470" s="96"/>
      <c r="O470" t="str">
        <f>IFERROR(__xludf.DUMMYFUNCTION("regexextract(B470,""[\w]* [\w]*"")"),"#N/A")</f>
        <v>#N/A</v>
      </c>
      <c r="P470" t="str">
        <f t="shared" si="2"/>
        <v>#N/A</v>
      </c>
      <c r="Q470" t="str">
        <f t="shared" si="3"/>
        <v>#N/A</v>
      </c>
      <c r="R470" t="s">
        <v>227</v>
      </c>
      <c r="S470" s="14" t="s">
        <v>227</v>
      </c>
      <c r="T470" t="s">
        <v>227</v>
      </c>
      <c r="U470" t="s">
        <v>227</v>
      </c>
      <c r="V470" t="s">
        <v>227</v>
      </c>
      <c r="W470" t="str">
        <f t="shared" si="1"/>
        <v/>
      </c>
    </row>
    <row r="471">
      <c r="A471" s="92"/>
      <c r="B471" s="99"/>
      <c r="C471" s="92"/>
      <c r="D471" s="92"/>
      <c r="E471" s="92"/>
      <c r="F471" s="92"/>
      <c r="G471" s="92"/>
      <c r="O471" t="str">
        <f>IFERROR(__xludf.DUMMYFUNCTION("regexextract(B471,""[\w]* [\w]*"")"),"#N/A")</f>
        <v>#N/A</v>
      </c>
      <c r="P471" t="str">
        <f t="shared" si="2"/>
        <v>#N/A</v>
      </c>
      <c r="Q471" t="str">
        <f t="shared" si="3"/>
        <v>#N/A</v>
      </c>
      <c r="R471" t="s">
        <v>227</v>
      </c>
      <c r="S471" s="14" t="s">
        <v>227</v>
      </c>
      <c r="T471" t="s">
        <v>227</v>
      </c>
      <c r="U471" t="s">
        <v>227</v>
      </c>
      <c r="V471" t="s">
        <v>227</v>
      </c>
      <c r="W471" t="str">
        <f t="shared" si="1"/>
        <v/>
      </c>
    </row>
    <row r="472">
      <c r="A472" s="96"/>
      <c r="B472" s="102"/>
      <c r="C472" s="96"/>
      <c r="D472" s="96"/>
      <c r="E472" s="96"/>
      <c r="F472" s="96"/>
      <c r="G472" s="96"/>
      <c r="O472" t="str">
        <f>IFERROR(__xludf.DUMMYFUNCTION("regexextract(B472,""[\w]* [\w]*"")"),"#N/A")</f>
        <v>#N/A</v>
      </c>
      <c r="P472" t="str">
        <f t="shared" si="2"/>
        <v>#N/A</v>
      </c>
      <c r="Q472" t="str">
        <f t="shared" si="3"/>
        <v>#N/A</v>
      </c>
      <c r="R472" t="s">
        <v>227</v>
      </c>
      <c r="S472" s="14" t="s">
        <v>227</v>
      </c>
      <c r="T472" t="s">
        <v>227</v>
      </c>
      <c r="U472" t="s">
        <v>227</v>
      </c>
      <c r="V472" t="s">
        <v>227</v>
      </c>
      <c r="W472" t="str">
        <f t="shared" si="1"/>
        <v/>
      </c>
    </row>
    <row r="473">
      <c r="A473" s="92"/>
      <c r="B473" s="99"/>
      <c r="C473" s="92"/>
      <c r="D473" s="92"/>
      <c r="E473" s="92"/>
      <c r="F473" s="92"/>
      <c r="G473" s="92"/>
      <c r="O473" t="str">
        <f>IFERROR(__xludf.DUMMYFUNCTION("regexextract(B473,""[\w]* [\w]*"")"),"#N/A")</f>
        <v>#N/A</v>
      </c>
      <c r="P473" t="str">
        <f t="shared" si="2"/>
        <v>#N/A</v>
      </c>
      <c r="Q473" t="str">
        <f t="shared" si="3"/>
        <v>#N/A</v>
      </c>
      <c r="R473" t="s">
        <v>227</v>
      </c>
      <c r="S473" s="14" t="s">
        <v>227</v>
      </c>
      <c r="T473" t="s">
        <v>227</v>
      </c>
      <c r="U473" t="s">
        <v>227</v>
      </c>
      <c r="V473" t="s">
        <v>227</v>
      </c>
      <c r="W473" t="str">
        <f t="shared" si="1"/>
        <v/>
      </c>
    </row>
    <row r="474">
      <c r="A474" s="96"/>
      <c r="B474" s="102"/>
      <c r="C474" s="96"/>
      <c r="D474" s="96"/>
      <c r="E474" s="96"/>
      <c r="F474" s="96"/>
      <c r="G474" s="96"/>
      <c r="O474" t="str">
        <f>IFERROR(__xludf.DUMMYFUNCTION("regexextract(B474,""[\w]* [\w]*"")"),"#N/A")</f>
        <v>#N/A</v>
      </c>
      <c r="P474" t="str">
        <f t="shared" si="2"/>
        <v>#N/A</v>
      </c>
      <c r="Q474" t="str">
        <f t="shared" si="3"/>
        <v>#N/A</v>
      </c>
      <c r="R474" t="s">
        <v>227</v>
      </c>
      <c r="S474" s="14" t="s">
        <v>227</v>
      </c>
      <c r="T474" t="s">
        <v>227</v>
      </c>
      <c r="U474" t="s">
        <v>227</v>
      </c>
      <c r="V474" t="s">
        <v>227</v>
      </c>
      <c r="W474" t="str">
        <f t="shared" si="1"/>
        <v/>
      </c>
    </row>
    <row r="475">
      <c r="A475" s="92"/>
      <c r="B475" s="99"/>
      <c r="C475" s="92"/>
      <c r="D475" s="92"/>
      <c r="E475" s="92"/>
      <c r="F475" s="92"/>
      <c r="G475" s="92"/>
      <c r="O475" t="str">
        <f>IFERROR(__xludf.DUMMYFUNCTION("regexextract(B475,""[\w]* [\w]*"")"),"#N/A")</f>
        <v>#N/A</v>
      </c>
      <c r="P475" t="str">
        <f t="shared" si="2"/>
        <v>#N/A</v>
      </c>
      <c r="Q475" t="str">
        <f t="shared" si="3"/>
        <v>#N/A</v>
      </c>
      <c r="R475" t="s">
        <v>227</v>
      </c>
      <c r="S475" s="14" t="s">
        <v>227</v>
      </c>
      <c r="T475" t="s">
        <v>227</v>
      </c>
      <c r="U475" t="s">
        <v>227</v>
      </c>
      <c r="V475" t="s">
        <v>227</v>
      </c>
      <c r="W475" t="str">
        <f t="shared" si="1"/>
        <v/>
      </c>
    </row>
    <row r="476">
      <c r="A476" s="96"/>
      <c r="B476" s="102"/>
      <c r="C476" s="96"/>
      <c r="D476" s="96"/>
      <c r="E476" s="96"/>
      <c r="F476" s="96"/>
      <c r="G476" s="96"/>
      <c r="O476" t="str">
        <f>IFERROR(__xludf.DUMMYFUNCTION("regexextract(B476,""[\w]* [\w]*"")"),"#N/A")</f>
        <v>#N/A</v>
      </c>
      <c r="P476" t="str">
        <f t="shared" si="2"/>
        <v>#N/A</v>
      </c>
      <c r="Q476" t="str">
        <f t="shared" si="3"/>
        <v>#N/A</v>
      </c>
      <c r="R476" t="s">
        <v>227</v>
      </c>
      <c r="S476" s="14" t="s">
        <v>227</v>
      </c>
      <c r="T476" t="s">
        <v>227</v>
      </c>
      <c r="U476" t="s">
        <v>227</v>
      </c>
      <c r="V476" t="s">
        <v>227</v>
      </c>
      <c r="W476" t="str">
        <f t="shared" si="1"/>
        <v/>
      </c>
    </row>
    <row r="477">
      <c r="A477" s="92"/>
      <c r="B477" s="99"/>
      <c r="C477" s="92"/>
      <c r="D477" s="92"/>
      <c r="E477" s="92"/>
      <c r="F477" s="92"/>
      <c r="G477" s="92"/>
      <c r="O477" t="str">
        <f>IFERROR(__xludf.DUMMYFUNCTION("regexextract(B477,""[\w]* [\w]*"")"),"#N/A")</f>
        <v>#N/A</v>
      </c>
      <c r="P477" t="str">
        <f t="shared" si="2"/>
        <v>#N/A</v>
      </c>
      <c r="Q477" t="str">
        <f t="shared" si="3"/>
        <v>#N/A</v>
      </c>
      <c r="R477" t="s">
        <v>227</v>
      </c>
      <c r="S477" s="14" t="s">
        <v>227</v>
      </c>
      <c r="T477" t="s">
        <v>227</v>
      </c>
      <c r="U477" t="s">
        <v>227</v>
      </c>
      <c r="V477" t="s">
        <v>227</v>
      </c>
      <c r="W477" t="str">
        <f t="shared" si="1"/>
        <v/>
      </c>
    </row>
    <row r="478">
      <c r="A478" s="96"/>
      <c r="B478" s="102"/>
      <c r="C478" s="96"/>
      <c r="D478" s="96"/>
      <c r="E478" s="96"/>
      <c r="F478" s="96"/>
      <c r="G478" s="96"/>
      <c r="O478" t="str">
        <f>IFERROR(__xludf.DUMMYFUNCTION("regexextract(B478,""[\w]* [\w]*"")"),"#N/A")</f>
        <v>#N/A</v>
      </c>
      <c r="P478" t="str">
        <f t="shared" si="2"/>
        <v>#N/A</v>
      </c>
      <c r="Q478" t="str">
        <f t="shared" si="3"/>
        <v>#N/A</v>
      </c>
      <c r="R478" t="s">
        <v>227</v>
      </c>
      <c r="S478" s="14" t="s">
        <v>227</v>
      </c>
      <c r="T478" t="s">
        <v>227</v>
      </c>
      <c r="U478" t="s">
        <v>227</v>
      </c>
      <c r="V478" t="s">
        <v>227</v>
      </c>
      <c r="W478" t="str">
        <f t="shared" si="1"/>
        <v/>
      </c>
    </row>
    <row r="479">
      <c r="A479" s="92"/>
      <c r="B479" s="99"/>
      <c r="C479" s="92"/>
      <c r="D479" s="92"/>
      <c r="E479" s="92"/>
      <c r="F479" s="92"/>
      <c r="G479" s="92"/>
      <c r="O479" t="str">
        <f>IFERROR(__xludf.DUMMYFUNCTION("regexextract(B479,""[\w]* [\w]*"")"),"#N/A")</f>
        <v>#N/A</v>
      </c>
      <c r="P479" t="str">
        <f t="shared" si="2"/>
        <v>#N/A</v>
      </c>
      <c r="Q479" t="str">
        <f t="shared" si="3"/>
        <v>#N/A</v>
      </c>
      <c r="R479" t="s">
        <v>227</v>
      </c>
      <c r="S479" s="14" t="s">
        <v>227</v>
      </c>
      <c r="T479" t="s">
        <v>227</v>
      </c>
      <c r="U479" t="s">
        <v>227</v>
      </c>
      <c r="V479" t="s">
        <v>227</v>
      </c>
      <c r="W479" t="str">
        <f t="shared" si="1"/>
        <v/>
      </c>
    </row>
    <row r="480">
      <c r="A480" s="96"/>
      <c r="B480" s="102"/>
      <c r="C480" s="96"/>
      <c r="D480" s="96"/>
      <c r="E480" s="96"/>
      <c r="F480" s="96"/>
      <c r="G480" s="96"/>
      <c r="O480" t="str">
        <f>IFERROR(__xludf.DUMMYFUNCTION("regexextract(B480,""[\w]* [\w]*"")"),"#N/A")</f>
        <v>#N/A</v>
      </c>
      <c r="P480" t="str">
        <f t="shared" si="2"/>
        <v>#N/A</v>
      </c>
      <c r="Q480" t="str">
        <f t="shared" si="3"/>
        <v>#N/A</v>
      </c>
      <c r="R480" t="s">
        <v>227</v>
      </c>
      <c r="S480" s="14" t="s">
        <v>227</v>
      </c>
      <c r="T480" t="s">
        <v>227</v>
      </c>
      <c r="U480" t="s">
        <v>227</v>
      </c>
      <c r="V480" t="s">
        <v>227</v>
      </c>
      <c r="W480" t="str">
        <f t="shared" si="1"/>
        <v/>
      </c>
    </row>
    <row r="481">
      <c r="A481" s="92"/>
      <c r="B481" s="99"/>
      <c r="C481" s="92"/>
      <c r="D481" s="92"/>
      <c r="E481" s="92"/>
      <c r="F481" s="92"/>
      <c r="G481" s="92"/>
      <c r="O481" t="str">
        <f>IFERROR(__xludf.DUMMYFUNCTION("regexextract(B481,""[\w]* [\w]*"")"),"#N/A")</f>
        <v>#N/A</v>
      </c>
      <c r="P481" t="str">
        <f t="shared" si="2"/>
        <v>#N/A</v>
      </c>
      <c r="Q481" t="str">
        <f t="shared" si="3"/>
        <v>#N/A</v>
      </c>
      <c r="R481" t="s">
        <v>227</v>
      </c>
      <c r="S481" s="14" t="s">
        <v>227</v>
      </c>
      <c r="T481" t="s">
        <v>227</v>
      </c>
      <c r="U481" t="s">
        <v>227</v>
      </c>
      <c r="V481" t="s">
        <v>227</v>
      </c>
      <c r="W481" t="str">
        <f t="shared" si="1"/>
        <v/>
      </c>
    </row>
    <row r="482">
      <c r="A482" s="96"/>
      <c r="B482" s="102"/>
      <c r="C482" s="96"/>
      <c r="D482" s="96"/>
      <c r="E482" s="96"/>
      <c r="F482" s="96"/>
      <c r="G482" s="96"/>
      <c r="O482" t="str">
        <f>IFERROR(__xludf.DUMMYFUNCTION("regexextract(B482,""[\w]* [\w]*"")"),"#N/A")</f>
        <v>#N/A</v>
      </c>
      <c r="P482" t="str">
        <f t="shared" si="2"/>
        <v>#N/A</v>
      </c>
      <c r="Q482" t="str">
        <f t="shared" si="3"/>
        <v>#N/A</v>
      </c>
      <c r="R482" t="s">
        <v>227</v>
      </c>
      <c r="S482" s="14" t="s">
        <v>227</v>
      </c>
      <c r="T482" t="s">
        <v>227</v>
      </c>
      <c r="U482" t="s">
        <v>227</v>
      </c>
      <c r="V482" t="s">
        <v>227</v>
      </c>
      <c r="W482" t="str">
        <f t="shared" si="1"/>
        <v/>
      </c>
    </row>
    <row r="483">
      <c r="A483" s="92"/>
      <c r="B483" s="99"/>
      <c r="C483" s="92"/>
      <c r="D483" s="92"/>
      <c r="E483" s="92"/>
      <c r="F483" s="92"/>
      <c r="G483" s="92"/>
      <c r="O483" t="str">
        <f>IFERROR(__xludf.DUMMYFUNCTION("regexextract(B483,""[\w]* [\w]*"")"),"#N/A")</f>
        <v>#N/A</v>
      </c>
      <c r="P483" t="str">
        <f t="shared" si="2"/>
        <v>#N/A</v>
      </c>
      <c r="Q483" t="str">
        <f t="shared" si="3"/>
        <v>#N/A</v>
      </c>
      <c r="R483" t="s">
        <v>227</v>
      </c>
      <c r="S483" s="14" t="s">
        <v>227</v>
      </c>
      <c r="T483" t="s">
        <v>227</v>
      </c>
      <c r="U483" t="s">
        <v>227</v>
      </c>
      <c r="V483" t="s">
        <v>227</v>
      </c>
      <c r="W483" t="str">
        <f t="shared" si="1"/>
        <v/>
      </c>
    </row>
    <row r="484">
      <c r="A484" s="96"/>
      <c r="B484" s="102"/>
      <c r="C484" s="96"/>
      <c r="D484" s="96"/>
      <c r="E484" s="96"/>
      <c r="F484" s="96"/>
      <c r="G484" s="96"/>
      <c r="O484" t="str">
        <f>IFERROR(__xludf.DUMMYFUNCTION("regexextract(B484,""[\w]* [\w]*"")"),"#N/A")</f>
        <v>#N/A</v>
      </c>
      <c r="P484" t="str">
        <f t="shared" si="2"/>
        <v>#N/A</v>
      </c>
      <c r="Q484" t="str">
        <f t="shared" si="3"/>
        <v>#N/A</v>
      </c>
      <c r="R484" t="s">
        <v>227</v>
      </c>
      <c r="S484" s="14" t="s">
        <v>227</v>
      </c>
      <c r="T484" t="s">
        <v>227</v>
      </c>
      <c r="U484" t="s">
        <v>227</v>
      </c>
      <c r="V484" t="s">
        <v>227</v>
      </c>
      <c r="W484" t="str">
        <f t="shared" si="1"/>
        <v/>
      </c>
    </row>
    <row r="485">
      <c r="A485" s="92"/>
      <c r="B485" s="99"/>
      <c r="C485" s="92"/>
      <c r="D485" s="92"/>
      <c r="E485" s="92"/>
      <c r="F485" s="92"/>
      <c r="G485" s="92"/>
      <c r="O485" t="str">
        <f>IFERROR(__xludf.DUMMYFUNCTION("regexextract(B485,""[\w]* [\w]*"")"),"#N/A")</f>
        <v>#N/A</v>
      </c>
      <c r="P485" t="str">
        <f t="shared" si="2"/>
        <v>#N/A</v>
      </c>
      <c r="Q485" t="str">
        <f t="shared" si="3"/>
        <v>#N/A</v>
      </c>
      <c r="R485" t="s">
        <v>227</v>
      </c>
      <c r="S485" s="14" t="s">
        <v>227</v>
      </c>
      <c r="T485" t="s">
        <v>227</v>
      </c>
      <c r="U485" t="s">
        <v>227</v>
      </c>
      <c r="V485" t="s">
        <v>227</v>
      </c>
      <c r="W485" t="str">
        <f t="shared" si="1"/>
        <v/>
      </c>
    </row>
    <row r="486">
      <c r="A486" s="96"/>
      <c r="B486" s="102"/>
      <c r="C486" s="96"/>
      <c r="D486" s="97"/>
      <c r="E486" s="96"/>
      <c r="F486" s="97"/>
      <c r="G486" s="96"/>
      <c r="O486" t="str">
        <f>IFERROR(__xludf.DUMMYFUNCTION("regexextract(B486,""[\w]* [\w]*"")"),"#N/A")</f>
        <v>#N/A</v>
      </c>
      <c r="P486" t="str">
        <f t="shared" si="2"/>
        <v>#N/A</v>
      </c>
      <c r="Q486" t="str">
        <f t="shared" si="3"/>
        <v>#N/A</v>
      </c>
      <c r="R486" t="s">
        <v>227</v>
      </c>
      <c r="S486" s="14" t="s">
        <v>227</v>
      </c>
      <c r="T486" t="s">
        <v>227</v>
      </c>
      <c r="U486" t="s">
        <v>227</v>
      </c>
      <c r="V486" t="s">
        <v>227</v>
      </c>
      <c r="W486" t="str">
        <f t="shared" si="1"/>
        <v/>
      </c>
    </row>
    <row r="487">
      <c r="A487" s="92"/>
      <c r="B487" s="99"/>
      <c r="C487" s="92"/>
      <c r="D487" s="92"/>
      <c r="E487" s="92"/>
      <c r="F487" s="92"/>
      <c r="G487" s="92"/>
      <c r="O487" t="str">
        <f>IFERROR(__xludf.DUMMYFUNCTION("regexextract(B487,""[\w]* [\w]*"")"),"#N/A")</f>
        <v>#N/A</v>
      </c>
      <c r="P487" t="str">
        <f t="shared" si="2"/>
        <v>#N/A</v>
      </c>
      <c r="Q487" t="str">
        <f t="shared" si="3"/>
        <v>#N/A</v>
      </c>
      <c r="R487" t="s">
        <v>227</v>
      </c>
      <c r="S487" s="14" t="s">
        <v>227</v>
      </c>
      <c r="T487" t="s">
        <v>227</v>
      </c>
      <c r="U487" t="s">
        <v>227</v>
      </c>
      <c r="V487" t="s">
        <v>227</v>
      </c>
      <c r="W487" t="str">
        <f t="shared" si="1"/>
        <v/>
      </c>
    </row>
    <row r="488">
      <c r="A488" s="96"/>
      <c r="B488" s="102"/>
      <c r="C488" s="96"/>
      <c r="D488" s="96"/>
      <c r="E488" s="96"/>
      <c r="F488" s="96"/>
      <c r="G488" s="96"/>
      <c r="O488" t="str">
        <f>IFERROR(__xludf.DUMMYFUNCTION("regexextract(B488,""[\w]* [\w]*"")"),"#N/A")</f>
        <v>#N/A</v>
      </c>
      <c r="P488" t="str">
        <f t="shared" si="2"/>
        <v>#N/A</v>
      </c>
      <c r="Q488" t="str">
        <f t="shared" si="3"/>
        <v>#N/A</v>
      </c>
      <c r="R488" t="s">
        <v>227</v>
      </c>
      <c r="S488" s="14" t="s">
        <v>227</v>
      </c>
      <c r="T488" t="s">
        <v>227</v>
      </c>
      <c r="U488" t="s">
        <v>227</v>
      </c>
      <c r="V488" t="s">
        <v>227</v>
      </c>
      <c r="W488" t="str">
        <f t="shared" si="1"/>
        <v/>
      </c>
    </row>
    <row r="489">
      <c r="A489" s="92"/>
      <c r="B489" s="99"/>
      <c r="C489" s="92"/>
      <c r="D489" s="92"/>
      <c r="E489" s="92"/>
      <c r="F489" s="92"/>
      <c r="G489" s="92"/>
      <c r="O489" t="str">
        <f>IFERROR(__xludf.DUMMYFUNCTION("regexextract(B489,""[\w]* [\w]*"")"),"#N/A")</f>
        <v>#N/A</v>
      </c>
      <c r="P489" t="str">
        <f t="shared" si="2"/>
        <v>#N/A</v>
      </c>
      <c r="Q489" t="str">
        <f t="shared" si="3"/>
        <v>#N/A</v>
      </c>
      <c r="R489" t="s">
        <v>227</v>
      </c>
      <c r="S489" s="14" t="s">
        <v>227</v>
      </c>
      <c r="T489" t="s">
        <v>227</v>
      </c>
      <c r="U489" t="s">
        <v>227</v>
      </c>
      <c r="V489" t="s">
        <v>227</v>
      </c>
      <c r="W489" t="str">
        <f t="shared" si="1"/>
        <v/>
      </c>
    </row>
    <row r="490">
      <c r="A490" s="96"/>
      <c r="B490" s="102"/>
      <c r="C490" s="96"/>
      <c r="D490" s="96"/>
      <c r="E490" s="96"/>
      <c r="F490" s="96"/>
      <c r="G490" s="96"/>
      <c r="O490" t="str">
        <f>IFERROR(__xludf.DUMMYFUNCTION("regexextract(B490,""[\w]* [\w]*"")"),"#N/A")</f>
        <v>#N/A</v>
      </c>
      <c r="P490" t="str">
        <f t="shared" si="2"/>
        <v>#N/A</v>
      </c>
      <c r="Q490" t="str">
        <f t="shared" si="3"/>
        <v>#N/A</v>
      </c>
      <c r="R490" t="s">
        <v>227</v>
      </c>
      <c r="S490" s="14" t="s">
        <v>227</v>
      </c>
      <c r="T490" t="s">
        <v>227</v>
      </c>
      <c r="U490" t="s">
        <v>227</v>
      </c>
      <c r="V490" t="s">
        <v>227</v>
      </c>
      <c r="W490" t="str">
        <f t="shared" si="1"/>
        <v/>
      </c>
    </row>
    <row r="491">
      <c r="A491" s="92"/>
      <c r="B491" s="99"/>
      <c r="C491" s="92"/>
      <c r="D491" s="92"/>
      <c r="E491" s="92"/>
      <c r="F491" s="92"/>
      <c r="G491" s="92"/>
      <c r="O491" t="str">
        <f>IFERROR(__xludf.DUMMYFUNCTION("regexextract(B491,""[\w]* [\w]*"")"),"#N/A")</f>
        <v>#N/A</v>
      </c>
      <c r="P491" t="str">
        <f t="shared" si="2"/>
        <v>#N/A</v>
      </c>
      <c r="Q491" t="str">
        <f t="shared" si="3"/>
        <v>#N/A</v>
      </c>
      <c r="R491" t="s">
        <v>227</v>
      </c>
      <c r="S491" s="14" t="s">
        <v>227</v>
      </c>
      <c r="T491" t="s">
        <v>227</v>
      </c>
      <c r="U491" t="s">
        <v>227</v>
      </c>
      <c r="V491" t="s">
        <v>227</v>
      </c>
      <c r="W491" t="str">
        <f t="shared" si="1"/>
        <v/>
      </c>
    </row>
    <row r="492">
      <c r="A492" s="96"/>
      <c r="B492" s="102"/>
      <c r="C492" s="96"/>
      <c r="D492" s="96"/>
      <c r="E492" s="96"/>
      <c r="F492" s="96"/>
      <c r="G492" s="96"/>
      <c r="O492" t="str">
        <f>IFERROR(__xludf.DUMMYFUNCTION("regexextract(B492,""[\w]* [\w]*"")"),"#N/A")</f>
        <v>#N/A</v>
      </c>
      <c r="P492" t="str">
        <f t="shared" si="2"/>
        <v>#N/A</v>
      </c>
      <c r="Q492" t="str">
        <f t="shared" si="3"/>
        <v>#N/A</v>
      </c>
      <c r="R492" t="s">
        <v>227</v>
      </c>
      <c r="S492" s="14" t="s">
        <v>227</v>
      </c>
      <c r="T492" t="s">
        <v>227</v>
      </c>
      <c r="U492" t="s">
        <v>227</v>
      </c>
      <c r="V492" t="s">
        <v>227</v>
      </c>
      <c r="W492" t="str">
        <f t="shared" si="1"/>
        <v/>
      </c>
    </row>
    <row r="493">
      <c r="A493" s="92"/>
      <c r="B493" s="99"/>
      <c r="C493" s="92"/>
      <c r="D493" s="92"/>
      <c r="E493" s="92"/>
      <c r="F493" s="92"/>
      <c r="G493" s="92"/>
      <c r="O493" t="str">
        <f>IFERROR(__xludf.DUMMYFUNCTION("regexextract(B493,""[\w]* [\w]*"")"),"#N/A")</f>
        <v>#N/A</v>
      </c>
      <c r="P493" t="str">
        <f t="shared" si="2"/>
        <v>#N/A</v>
      </c>
      <c r="Q493" t="str">
        <f t="shared" si="3"/>
        <v>#N/A</v>
      </c>
      <c r="R493" t="s">
        <v>227</v>
      </c>
      <c r="S493" s="14" t="s">
        <v>227</v>
      </c>
      <c r="T493" t="s">
        <v>227</v>
      </c>
      <c r="U493" t="s">
        <v>227</v>
      </c>
      <c r="V493" t="s">
        <v>227</v>
      </c>
      <c r="W493" t="str">
        <f t="shared" si="1"/>
        <v/>
      </c>
    </row>
    <row r="494">
      <c r="A494" s="96"/>
      <c r="B494" s="102"/>
      <c r="C494" s="96"/>
      <c r="D494" s="96"/>
      <c r="E494" s="96"/>
      <c r="F494" s="96"/>
      <c r="G494" s="96"/>
      <c r="O494" t="str">
        <f>IFERROR(__xludf.DUMMYFUNCTION("regexextract(B494,""[\w]* [\w]*"")"),"#N/A")</f>
        <v>#N/A</v>
      </c>
      <c r="P494" t="str">
        <f t="shared" si="2"/>
        <v>#N/A</v>
      </c>
      <c r="Q494" t="str">
        <f t="shared" si="3"/>
        <v>#N/A</v>
      </c>
      <c r="R494" t="s">
        <v>227</v>
      </c>
      <c r="S494" s="14" t="s">
        <v>227</v>
      </c>
      <c r="T494" t="s">
        <v>227</v>
      </c>
      <c r="U494" t="s">
        <v>227</v>
      </c>
      <c r="V494" t="s">
        <v>227</v>
      </c>
      <c r="W494" t="str">
        <f t="shared" si="1"/>
        <v/>
      </c>
    </row>
    <row r="495">
      <c r="A495" s="92"/>
      <c r="B495" s="99"/>
      <c r="C495" s="92"/>
      <c r="D495" s="92"/>
      <c r="E495" s="92"/>
      <c r="F495" s="92"/>
      <c r="G495" s="92"/>
      <c r="O495" t="str">
        <f>IFERROR(__xludf.DUMMYFUNCTION("regexextract(B495,""[\w]* [\w]*"")"),"#N/A")</f>
        <v>#N/A</v>
      </c>
      <c r="P495" t="str">
        <f t="shared" si="2"/>
        <v>#N/A</v>
      </c>
      <c r="Q495" t="str">
        <f t="shared" si="3"/>
        <v>#N/A</v>
      </c>
      <c r="R495" t="s">
        <v>227</v>
      </c>
      <c r="S495" s="14" t="s">
        <v>227</v>
      </c>
      <c r="T495" t="s">
        <v>227</v>
      </c>
      <c r="U495" t="s">
        <v>227</v>
      </c>
      <c r="V495" t="s">
        <v>227</v>
      </c>
      <c r="W495" t="str">
        <f t="shared" si="1"/>
        <v/>
      </c>
    </row>
    <row r="496">
      <c r="A496" s="96"/>
      <c r="B496" s="102"/>
      <c r="C496" s="96"/>
      <c r="D496" s="96"/>
      <c r="E496" s="96"/>
      <c r="F496" s="96"/>
      <c r="G496" s="96"/>
      <c r="O496" t="str">
        <f>IFERROR(__xludf.DUMMYFUNCTION("regexextract(B496,""[\w]* [\w]*"")"),"#N/A")</f>
        <v>#N/A</v>
      </c>
      <c r="P496" t="str">
        <f t="shared" si="2"/>
        <v>#N/A</v>
      </c>
      <c r="Q496" t="str">
        <f t="shared" si="3"/>
        <v>#N/A</v>
      </c>
      <c r="R496" t="s">
        <v>227</v>
      </c>
      <c r="S496" s="14" t="s">
        <v>227</v>
      </c>
      <c r="T496" t="s">
        <v>227</v>
      </c>
      <c r="U496" t="s">
        <v>227</v>
      </c>
      <c r="V496" t="s">
        <v>227</v>
      </c>
      <c r="W496" t="str">
        <f t="shared" si="1"/>
        <v/>
      </c>
    </row>
    <row r="497">
      <c r="A497" s="92"/>
      <c r="B497" s="99"/>
      <c r="C497" s="92"/>
      <c r="D497" s="92"/>
      <c r="E497" s="92"/>
      <c r="F497" s="92"/>
      <c r="G497" s="92"/>
      <c r="O497" t="str">
        <f>IFERROR(__xludf.DUMMYFUNCTION("regexextract(B497,""[\w]* [\w]*"")"),"#N/A")</f>
        <v>#N/A</v>
      </c>
      <c r="P497" t="str">
        <f t="shared" si="2"/>
        <v>#N/A</v>
      </c>
      <c r="Q497" t="str">
        <f t="shared" si="3"/>
        <v>#N/A</v>
      </c>
      <c r="R497" t="s">
        <v>227</v>
      </c>
      <c r="S497" s="14" t="s">
        <v>227</v>
      </c>
      <c r="T497" t="s">
        <v>227</v>
      </c>
      <c r="U497" t="s">
        <v>227</v>
      </c>
      <c r="V497" t="s">
        <v>227</v>
      </c>
      <c r="W497" t="str">
        <f t="shared" si="1"/>
        <v/>
      </c>
    </row>
    <row r="498">
      <c r="A498" s="96"/>
      <c r="B498" s="102"/>
      <c r="C498" s="96"/>
      <c r="D498" s="106"/>
      <c r="E498" s="96"/>
      <c r="F498" s="96"/>
      <c r="G498" s="96"/>
      <c r="O498" t="str">
        <f>IFERROR(__xludf.DUMMYFUNCTION("regexextract(B498,""[\w]* [\w]*"")"),"#N/A")</f>
        <v>#N/A</v>
      </c>
      <c r="P498" t="str">
        <f t="shared" si="2"/>
        <v>#N/A</v>
      </c>
      <c r="Q498" t="str">
        <f t="shared" si="3"/>
        <v>#N/A</v>
      </c>
      <c r="R498" t="s">
        <v>227</v>
      </c>
      <c r="S498" s="14" t="s">
        <v>227</v>
      </c>
      <c r="T498" t="s">
        <v>227</v>
      </c>
      <c r="U498" t="s">
        <v>227</v>
      </c>
      <c r="V498" t="s">
        <v>227</v>
      </c>
      <c r="W498" t="str">
        <f t="shared" si="1"/>
        <v/>
      </c>
    </row>
    <row r="499">
      <c r="A499" s="92"/>
      <c r="B499" s="99"/>
      <c r="C499" s="92"/>
      <c r="D499" s="92"/>
      <c r="E499" s="92"/>
      <c r="F499" s="92"/>
      <c r="G499" s="92"/>
      <c r="O499" t="str">
        <f>IFERROR(__xludf.DUMMYFUNCTION("regexextract(B499,""[\w]* [\w]*"")"),"#N/A")</f>
        <v>#N/A</v>
      </c>
      <c r="P499" t="str">
        <f t="shared" si="2"/>
        <v>#N/A</v>
      </c>
      <c r="Q499" t="str">
        <f t="shared" si="3"/>
        <v>#N/A</v>
      </c>
      <c r="R499" t="s">
        <v>227</v>
      </c>
      <c r="S499" s="14" t="s">
        <v>227</v>
      </c>
      <c r="T499" t="s">
        <v>227</v>
      </c>
      <c r="U499" t="s">
        <v>227</v>
      </c>
      <c r="V499" t="s">
        <v>227</v>
      </c>
      <c r="W499" t="str">
        <f t="shared" si="1"/>
        <v/>
      </c>
    </row>
    <row r="500">
      <c r="A500" s="96"/>
      <c r="B500" s="102"/>
      <c r="C500" s="96"/>
      <c r="D500" s="96"/>
      <c r="E500" s="96"/>
      <c r="F500" s="96"/>
      <c r="G500" s="96"/>
      <c r="O500" t="str">
        <f>IFERROR(__xludf.DUMMYFUNCTION("regexextract(B500,""[\w]* [\w]*"")"),"#N/A")</f>
        <v>#N/A</v>
      </c>
      <c r="P500" t="str">
        <f t="shared" si="2"/>
        <v>#N/A</v>
      </c>
      <c r="Q500" t="str">
        <f t="shared" si="3"/>
        <v>#N/A</v>
      </c>
      <c r="R500" t="s">
        <v>227</v>
      </c>
      <c r="S500" s="14" t="s">
        <v>227</v>
      </c>
      <c r="T500" t="s">
        <v>227</v>
      </c>
      <c r="U500" t="s">
        <v>227</v>
      </c>
      <c r="V500" t="s">
        <v>227</v>
      </c>
      <c r="W500" t="str">
        <f t="shared" si="1"/>
        <v/>
      </c>
    </row>
    <row r="501">
      <c r="R501" t="s">
        <v>227</v>
      </c>
      <c r="S501" t="s">
        <v>227</v>
      </c>
      <c r="T501" t="s">
        <v>227</v>
      </c>
      <c r="U501" t="s">
        <v>227</v>
      </c>
      <c r="V501" t="s">
        <v>227</v>
      </c>
    </row>
    <row r="502">
      <c r="R502" t="s">
        <v>227</v>
      </c>
      <c r="S502" t="s">
        <v>227</v>
      </c>
      <c r="T502" t="s">
        <v>227</v>
      </c>
      <c r="U502" t="s">
        <v>227</v>
      </c>
      <c r="V502" t="s">
        <v>227</v>
      </c>
    </row>
    <row r="503">
      <c r="R503" t="s">
        <v>227</v>
      </c>
      <c r="S503" t="s">
        <v>227</v>
      </c>
      <c r="T503" t="s">
        <v>227</v>
      </c>
      <c r="U503" t="s">
        <v>227</v>
      </c>
      <c r="V503" t="s">
        <v>227</v>
      </c>
    </row>
    <row r="504">
      <c r="R504" t="s">
        <v>227</v>
      </c>
      <c r="S504" t="s">
        <v>227</v>
      </c>
      <c r="T504" t="s">
        <v>227</v>
      </c>
      <c r="U504" t="s">
        <v>227</v>
      </c>
      <c r="V504" t="s">
        <v>227</v>
      </c>
    </row>
    <row r="505">
      <c r="R505" t="s">
        <v>227</v>
      </c>
      <c r="S505" t="s">
        <v>227</v>
      </c>
      <c r="T505" t="s">
        <v>227</v>
      </c>
      <c r="U505" t="s">
        <v>227</v>
      </c>
      <c r="V505" t="s">
        <v>227</v>
      </c>
    </row>
    <row r="506">
      <c r="R506" t="s">
        <v>227</v>
      </c>
      <c r="S506" t="s">
        <v>227</v>
      </c>
      <c r="T506" t="s">
        <v>227</v>
      </c>
      <c r="U506" t="s">
        <v>227</v>
      </c>
      <c r="V506" t="s">
        <v>227</v>
      </c>
    </row>
    <row r="507">
      <c r="R507" t="s">
        <v>227</v>
      </c>
      <c r="S507" t="s">
        <v>227</v>
      </c>
      <c r="T507" t="s">
        <v>227</v>
      </c>
      <c r="U507" t="s">
        <v>227</v>
      </c>
      <c r="V507" t="s">
        <v>227</v>
      </c>
    </row>
    <row r="508">
      <c r="R508" t="s">
        <v>227</v>
      </c>
      <c r="S508" t="s">
        <v>227</v>
      </c>
      <c r="T508" t="s">
        <v>227</v>
      </c>
      <c r="U508" t="s">
        <v>227</v>
      </c>
      <c r="V508" t="s">
        <v>227</v>
      </c>
    </row>
    <row r="509">
      <c r="R509" t="s">
        <v>227</v>
      </c>
      <c r="S509" t="s">
        <v>227</v>
      </c>
      <c r="T509" t="s">
        <v>227</v>
      </c>
      <c r="U509" t="s">
        <v>227</v>
      </c>
      <c r="V509" t="s">
        <v>227</v>
      </c>
    </row>
    <row r="510">
      <c r="R510" t="s">
        <v>227</v>
      </c>
      <c r="S510" t="s">
        <v>227</v>
      </c>
      <c r="T510" t="s">
        <v>227</v>
      </c>
      <c r="U510" t="s">
        <v>227</v>
      </c>
      <c r="V510" t="s">
        <v>227</v>
      </c>
    </row>
    <row r="511">
      <c r="R511" t="s">
        <v>227</v>
      </c>
      <c r="S511" t="s">
        <v>227</v>
      </c>
      <c r="T511" t="s">
        <v>227</v>
      </c>
      <c r="U511" t="s">
        <v>227</v>
      </c>
      <c r="V511" t="s">
        <v>227</v>
      </c>
    </row>
    <row r="512">
      <c r="R512" t="s">
        <v>227</v>
      </c>
      <c r="S512" t="s">
        <v>227</v>
      </c>
      <c r="T512" t="s">
        <v>227</v>
      </c>
      <c r="U512" t="s">
        <v>227</v>
      </c>
      <c r="V512" t="s">
        <v>227</v>
      </c>
    </row>
    <row r="513">
      <c r="R513" t="s">
        <v>227</v>
      </c>
      <c r="S513" t="s">
        <v>227</v>
      </c>
      <c r="T513" t="s">
        <v>227</v>
      </c>
      <c r="U513" t="s">
        <v>227</v>
      </c>
      <c r="V513" t="s">
        <v>227</v>
      </c>
    </row>
    <row r="514">
      <c r="R514" t="s">
        <v>227</v>
      </c>
      <c r="S514" t="s">
        <v>227</v>
      </c>
      <c r="T514" t="s">
        <v>227</v>
      </c>
      <c r="U514" t="s">
        <v>227</v>
      </c>
      <c r="V514" t="s">
        <v>227</v>
      </c>
    </row>
    <row r="515">
      <c r="R515" t="s">
        <v>227</v>
      </c>
      <c r="S515" t="s">
        <v>227</v>
      </c>
      <c r="T515" t="s">
        <v>227</v>
      </c>
      <c r="U515" t="s">
        <v>227</v>
      </c>
      <c r="V515" t="s">
        <v>227</v>
      </c>
    </row>
    <row r="516">
      <c r="R516" t="s">
        <v>227</v>
      </c>
      <c r="S516" t="s">
        <v>227</v>
      </c>
      <c r="T516" t="s">
        <v>227</v>
      </c>
      <c r="U516" t="s">
        <v>227</v>
      </c>
      <c r="V516" t="s">
        <v>227</v>
      </c>
    </row>
    <row r="517">
      <c r="R517" t="s">
        <v>227</v>
      </c>
      <c r="S517" t="s">
        <v>227</v>
      </c>
      <c r="T517" t="s">
        <v>227</v>
      </c>
      <c r="U517" t="s">
        <v>227</v>
      </c>
      <c r="V517" t="s">
        <v>227</v>
      </c>
    </row>
    <row r="518">
      <c r="R518" t="s">
        <v>227</v>
      </c>
      <c r="S518" t="s">
        <v>227</v>
      </c>
      <c r="T518" t="s">
        <v>227</v>
      </c>
      <c r="U518" t="s">
        <v>227</v>
      </c>
      <c r="V518" t="s">
        <v>227</v>
      </c>
    </row>
    <row r="519">
      <c r="R519" t="s">
        <v>227</v>
      </c>
      <c r="S519" t="s">
        <v>227</v>
      </c>
      <c r="T519" t="s">
        <v>227</v>
      </c>
      <c r="U519" t="s">
        <v>227</v>
      </c>
      <c r="V519" t="s">
        <v>227</v>
      </c>
    </row>
    <row r="520">
      <c r="R520" t="s">
        <v>227</v>
      </c>
      <c r="S520" t="s">
        <v>227</v>
      </c>
      <c r="T520" t="s">
        <v>227</v>
      </c>
      <c r="U520" t="s">
        <v>227</v>
      </c>
      <c r="V520" t="s">
        <v>227</v>
      </c>
    </row>
    <row r="521">
      <c r="R521" t="s">
        <v>227</v>
      </c>
      <c r="S521" t="s">
        <v>227</v>
      </c>
      <c r="T521" t="s">
        <v>227</v>
      </c>
      <c r="U521" t="s">
        <v>227</v>
      </c>
      <c r="V521" t="s">
        <v>227</v>
      </c>
    </row>
    <row r="522">
      <c r="R522" t="s">
        <v>227</v>
      </c>
      <c r="S522" t="s">
        <v>227</v>
      </c>
      <c r="T522" t="s">
        <v>227</v>
      </c>
      <c r="U522" t="s">
        <v>227</v>
      </c>
      <c r="V522" t="s">
        <v>227</v>
      </c>
    </row>
    <row r="523">
      <c r="R523" t="s">
        <v>227</v>
      </c>
      <c r="S523" t="s">
        <v>227</v>
      </c>
      <c r="T523" t="s">
        <v>227</v>
      </c>
      <c r="U523" t="s">
        <v>227</v>
      </c>
      <c r="V523" t="s">
        <v>227</v>
      </c>
    </row>
    <row r="524">
      <c r="R524" t="s">
        <v>227</v>
      </c>
      <c r="S524" t="s">
        <v>227</v>
      </c>
      <c r="T524" t="s">
        <v>227</v>
      </c>
      <c r="U524" t="s">
        <v>227</v>
      </c>
      <c r="V524" t="s">
        <v>227</v>
      </c>
    </row>
    <row r="525">
      <c r="R525" t="s">
        <v>227</v>
      </c>
      <c r="S525" t="s">
        <v>227</v>
      </c>
      <c r="T525" t="s">
        <v>227</v>
      </c>
      <c r="U525" t="s">
        <v>227</v>
      </c>
      <c r="V525" t="s">
        <v>227</v>
      </c>
    </row>
    <row r="526">
      <c r="R526" t="s">
        <v>227</v>
      </c>
      <c r="S526" t="s">
        <v>227</v>
      </c>
      <c r="T526" t="s">
        <v>227</v>
      </c>
      <c r="U526" t="s">
        <v>227</v>
      </c>
      <c r="V526" t="s">
        <v>227</v>
      </c>
    </row>
    <row r="527">
      <c r="R527" t="s">
        <v>227</v>
      </c>
      <c r="S527" t="s">
        <v>227</v>
      </c>
      <c r="T527" t="s">
        <v>227</v>
      </c>
      <c r="U527" t="s">
        <v>227</v>
      </c>
      <c r="V527" t="s">
        <v>227</v>
      </c>
    </row>
    <row r="528">
      <c r="R528" t="s">
        <v>227</v>
      </c>
      <c r="S528" t="s">
        <v>227</v>
      </c>
      <c r="T528" t="s">
        <v>227</v>
      </c>
      <c r="U528" t="s">
        <v>227</v>
      </c>
      <c r="V528" t="s">
        <v>227</v>
      </c>
    </row>
    <row r="529">
      <c r="R529" t="s">
        <v>227</v>
      </c>
      <c r="S529" t="s">
        <v>227</v>
      </c>
      <c r="T529" t="s">
        <v>227</v>
      </c>
      <c r="U529" t="s">
        <v>227</v>
      </c>
      <c r="V529" t="s">
        <v>227</v>
      </c>
    </row>
    <row r="530">
      <c r="R530" t="s">
        <v>227</v>
      </c>
      <c r="S530" t="s">
        <v>227</v>
      </c>
      <c r="T530" t="s">
        <v>227</v>
      </c>
      <c r="U530" t="s">
        <v>227</v>
      </c>
      <c r="V530" t="s">
        <v>227</v>
      </c>
    </row>
    <row r="531">
      <c r="R531" t="s">
        <v>227</v>
      </c>
      <c r="S531" t="s">
        <v>227</v>
      </c>
      <c r="T531" t="s">
        <v>227</v>
      </c>
      <c r="U531" t="s">
        <v>227</v>
      </c>
      <c r="V531" t="s">
        <v>227</v>
      </c>
    </row>
    <row r="532">
      <c r="R532" t="s">
        <v>227</v>
      </c>
      <c r="S532" t="s">
        <v>227</v>
      </c>
      <c r="T532" t="s">
        <v>227</v>
      </c>
      <c r="U532" t="s">
        <v>227</v>
      </c>
      <c r="V532" t="s">
        <v>227</v>
      </c>
    </row>
    <row r="533">
      <c r="R533" t="s">
        <v>227</v>
      </c>
      <c r="S533" t="s">
        <v>227</v>
      </c>
      <c r="T533" t="s">
        <v>227</v>
      </c>
      <c r="U533" t="s">
        <v>227</v>
      </c>
      <c r="V533" t="s">
        <v>227</v>
      </c>
    </row>
    <row r="534">
      <c r="R534" t="s">
        <v>227</v>
      </c>
      <c r="S534" t="s">
        <v>227</v>
      </c>
      <c r="T534" t="s">
        <v>227</v>
      </c>
      <c r="U534" t="s">
        <v>227</v>
      </c>
      <c r="V534" t="s">
        <v>227</v>
      </c>
    </row>
    <row r="535">
      <c r="R535" t="s">
        <v>227</v>
      </c>
      <c r="S535" t="s">
        <v>227</v>
      </c>
      <c r="T535" t="s">
        <v>227</v>
      </c>
      <c r="U535" t="s">
        <v>227</v>
      </c>
      <c r="V535" t="s">
        <v>227</v>
      </c>
    </row>
    <row r="536">
      <c r="R536" t="s">
        <v>227</v>
      </c>
      <c r="S536" t="s">
        <v>227</v>
      </c>
      <c r="T536" t="s">
        <v>227</v>
      </c>
      <c r="U536" t="s">
        <v>227</v>
      </c>
      <c r="V536" t="s">
        <v>227</v>
      </c>
    </row>
    <row r="537">
      <c r="R537" t="s">
        <v>227</v>
      </c>
      <c r="S537" t="s">
        <v>227</v>
      </c>
      <c r="T537" t="s">
        <v>227</v>
      </c>
      <c r="U537" t="s">
        <v>227</v>
      </c>
      <c r="V537" t="s">
        <v>227</v>
      </c>
    </row>
    <row r="538">
      <c r="R538" t="s">
        <v>227</v>
      </c>
      <c r="S538" t="s">
        <v>227</v>
      </c>
      <c r="T538" t="s">
        <v>227</v>
      </c>
      <c r="U538" t="s">
        <v>227</v>
      </c>
      <c r="V538" t="s">
        <v>227</v>
      </c>
    </row>
    <row r="539">
      <c r="R539" t="s">
        <v>227</v>
      </c>
      <c r="S539" t="s">
        <v>227</v>
      </c>
      <c r="T539" t="s">
        <v>227</v>
      </c>
      <c r="U539" t="s">
        <v>227</v>
      </c>
      <c r="V539" t="s">
        <v>227</v>
      </c>
    </row>
    <row r="540">
      <c r="R540" t="s">
        <v>227</v>
      </c>
      <c r="S540" t="s">
        <v>227</v>
      </c>
      <c r="T540" t="s">
        <v>227</v>
      </c>
      <c r="U540" t="s">
        <v>227</v>
      </c>
      <c r="V540" t="s">
        <v>227</v>
      </c>
    </row>
    <row r="541">
      <c r="R541" t="s">
        <v>227</v>
      </c>
      <c r="S541" t="s">
        <v>227</v>
      </c>
      <c r="T541" t="s">
        <v>227</v>
      </c>
      <c r="U541" t="s">
        <v>227</v>
      </c>
      <c r="V541" t="s">
        <v>227</v>
      </c>
    </row>
    <row r="542">
      <c r="R542" t="s">
        <v>227</v>
      </c>
      <c r="S542" t="s">
        <v>227</v>
      </c>
      <c r="T542" t="s">
        <v>227</v>
      </c>
      <c r="U542" t="s">
        <v>227</v>
      </c>
      <c r="V542" t="s">
        <v>227</v>
      </c>
    </row>
    <row r="543">
      <c r="R543" t="s">
        <v>227</v>
      </c>
      <c r="S543" t="s">
        <v>227</v>
      </c>
      <c r="T543" t="s">
        <v>227</v>
      </c>
      <c r="U543" t="s">
        <v>227</v>
      </c>
      <c r="V543" t="s">
        <v>227</v>
      </c>
    </row>
    <row r="544">
      <c r="R544" t="s">
        <v>227</v>
      </c>
      <c r="S544" t="s">
        <v>227</v>
      </c>
      <c r="T544" t="s">
        <v>227</v>
      </c>
      <c r="U544" t="s">
        <v>227</v>
      </c>
      <c r="V544" t="s">
        <v>227</v>
      </c>
    </row>
    <row r="545">
      <c r="R545" t="s">
        <v>227</v>
      </c>
      <c r="S545" t="s">
        <v>227</v>
      </c>
      <c r="T545" t="s">
        <v>227</v>
      </c>
      <c r="U545" t="s">
        <v>227</v>
      </c>
      <c r="V545" t="s">
        <v>227</v>
      </c>
    </row>
    <row r="546">
      <c r="R546" t="s">
        <v>227</v>
      </c>
      <c r="S546" t="s">
        <v>227</v>
      </c>
      <c r="T546" t="s">
        <v>227</v>
      </c>
      <c r="U546" t="s">
        <v>227</v>
      </c>
      <c r="V546" t="s">
        <v>227</v>
      </c>
    </row>
    <row r="547">
      <c r="R547" t="s">
        <v>227</v>
      </c>
      <c r="S547" t="s">
        <v>227</v>
      </c>
      <c r="T547" t="s">
        <v>227</v>
      </c>
      <c r="U547" t="s">
        <v>227</v>
      </c>
      <c r="V547" t="s">
        <v>227</v>
      </c>
    </row>
    <row r="548">
      <c r="R548" t="s">
        <v>227</v>
      </c>
      <c r="S548" t="s">
        <v>227</v>
      </c>
      <c r="T548" t="s">
        <v>227</v>
      </c>
      <c r="U548" t="s">
        <v>227</v>
      </c>
      <c r="V548" t="s">
        <v>227</v>
      </c>
    </row>
    <row r="549">
      <c r="R549" t="s">
        <v>227</v>
      </c>
      <c r="S549" t="s">
        <v>227</v>
      </c>
      <c r="T549" t="s">
        <v>227</v>
      </c>
      <c r="U549" t="s">
        <v>227</v>
      </c>
      <c r="V549" t="s">
        <v>227</v>
      </c>
    </row>
    <row r="550">
      <c r="R550" t="s">
        <v>227</v>
      </c>
      <c r="S550" t="s">
        <v>227</v>
      </c>
      <c r="T550" t="s">
        <v>227</v>
      </c>
      <c r="U550" t="s">
        <v>227</v>
      </c>
      <c r="V550" t="s">
        <v>227</v>
      </c>
    </row>
    <row r="551">
      <c r="R551" t="s">
        <v>227</v>
      </c>
      <c r="S551" t="s">
        <v>227</v>
      </c>
      <c r="T551" t="s">
        <v>227</v>
      </c>
      <c r="U551" t="s">
        <v>227</v>
      </c>
      <c r="V551" t="s">
        <v>227</v>
      </c>
    </row>
    <row r="552">
      <c r="R552" t="s">
        <v>227</v>
      </c>
      <c r="S552" t="s">
        <v>227</v>
      </c>
      <c r="T552" t="s">
        <v>227</v>
      </c>
      <c r="U552" t="s">
        <v>227</v>
      </c>
      <c r="V552" t="s">
        <v>227</v>
      </c>
    </row>
    <row r="553">
      <c r="R553" t="s">
        <v>227</v>
      </c>
      <c r="S553" t="s">
        <v>227</v>
      </c>
      <c r="T553" t="s">
        <v>227</v>
      </c>
      <c r="U553" t="s">
        <v>227</v>
      </c>
      <c r="V553" t="s">
        <v>227</v>
      </c>
    </row>
    <row r="554">
      <c r="R554" t="s">
        <v>227</v>
      </c>
      <c r="S554" t="s">
        <v>227</v>
      </c>
      <c r="T554" t="s">
        <v>227</v>
      </c>
      <c r="U554" t="s">
        <v>227</v>
      </c>
      <c r="V554" t="s">
        <v>227</v>
      </c>
    </row>
    <row r="555">
      <c r="R555" t="s">
        <v>227</v>
      </c>
      <c r="S555" t="s">
        <v>227</v>
      </c>
      <c r="T555" t="s">
        <v>227</v>
      </c>
      <c r="U555" t="s">
        <v>227</v>
      </c>
      <c r="V555" t="s">
        <v>227</v>
      </c>
    </row>
    <row r="556">
      <c r="R556" t="s">
        <v>227</v>
      </c>
      <c r="S556" t="s">
        <v>227</v>
      </c>
      <c r="T556" t="s">
        <v>227</v>
      </c>
      <c r="U556" t="s">
        <v>227</v>
      </c>
      <c r="V556" t="s">
        <v>227</v>
      </c>
    </row>
    <row r="557">
      <c r="R557" t="s">
        <v>227</v>
      </c>
      <c r="S557" t="s">
        <v>227</v>
      </c>
      <c r="T557" t="s">
        <v>227</v>
      </c>
      <c r="U557" t="s">
        <v>227</v>
      </c>
      <c r="V557" t="s">
        <v>227</v>
      </c>
    </row>
    <row r="558">
      <c r="R558" t="s">
        <v>227</v>
      </c>
      <c r="S558" t="s">
        <v>227</v>
      </c>
      <c r="T558" t="s">
        <v>227</v>
      </c>
      <c r="U558" t="s">
        <v>227</v>
      </c>
      <c r="V558" t="s">
        <v>227</v>
      </c>
    </row>
    <row r="559">
      <c r="R559" t="s">
        <v>227</v>
      </c>
      <c r="S559" t="s">
        <v>227</v>
      </c>
      <c r="T559" t="s">
        <v>227</v>
      </c>
      <c r="U559" t="s">
        <v>227</v>
      </c>
      <c r="V559" t="s">
        <v>227</v>
      </c>
    </row>
    <row r="560">
      <c r="R560" t="s">
        <v>227</v>
      </c>
      <c r="S560" t="s">
        <v>227</v>
      </c>
      <c r="T560" t="s">
        <v>227</v>
      </c>
      <c r="U560" t="s">
        <v>227</v>
      </c>
      <c r="V560" t="s">
        <v>227</v>
      </c>
    </row>
    <row r="561">
      <c r="R561" t="s">
        <v>227</v>
      </c>
      <c r="S561" t="s">
        <v>227</v>
      </c>
      <c r="T561" t="s">
        <v>227</v>
      </c>
      <c r="U561" t="s">
        <v>227</v>
      </c>
      <c r="V561" t="s">
        <v>227</v>
      </c>
    </row>
    <row r="562">
      <c r="R562" t="s">
        <v>227</v>
      </c>
      <c r="S562" t="s">
        <v>227</v>
      </c>
      <c r="T562" t="s">
        <v>227</v>
      </c>
      <c r="U562" t="s">
        <v>227</v>
      </c>
      <c r="V562" t="s">
        <v>227</v>
      </c>
    </row>
    <row r="563">
      <c r="R563" t="s">
        <v>227</v>
      </c>
      <c r="S563" t="s">
        <v>227</v>
      </c>
      <c r="T563" t="s">
        <v>227</v>
      </c>
      <c r="U563" t="s">
        <v>227</v>
      </c>
      <c r="V563" t="s">
        <v>227</v>
      </c>
    </row>
    <row r="564">
      <c r="R564" t="s">
        <v>227</v>
      </c>
      <c r="S564" t="s">
        <v>227</v>
      </c>
      <c r="T564" t="s">
        <v>227</v>
      </c>
      <c r="U564" t="s">
        <v>227</v>
      </c>
      <c r="V564" t="s">
        <v>227</v>
      </c>
    </row>
    <row r="565">
      <c r="R565" t="s">
        <v>227</v>
      </c>
      <c r="S565" t="s">
        <v>227</v>
      </c>
      <c r="T565" t="s">
        <v>227</v>
      </c>
      <c r="U565" t="s">
        <v>227</v>
      </c>
      <c r="V565" t="s">
        <v>227</v>
      </c>
    </row>
    <row r="566">
      <c r="R566" t="s">
        <v>227</v>
      </c>
      <c r="S566" t="s">
        <v>227</v>
      </c>
      <c r="T566" t="s">
        <v>227</v>
      </c>
      <c r="U566" t="s">
        <v>227</v>
      </c>
      <c r="V566" t="s">
        <v>227</v>
      </c>
    </row>
    <row r="567">
      <c r="R567" t="s">
        <v>227</v>
      </c>
      <c r="S567" t="s">
        <v>227</v>
      </c>
      <c r="T567" t="s">
        <v>227</v>
      </c>
      <c r="U567" t="s">
        <v>227</v>
      </c>
      <c r="V567" t="s">
        <v>227</v>
      </c>
    </row>
    <row r="568">
      <c r="R568" t="s">
        <v>227</v>
      </c>
      <c r="S568" t="s">
        <v>227</v>
      </c>
      <c r="T568" t="s">
        <v>227</v>
      </c>
      <c r="U568" t="s">
        <v>227</v>
      </c>
      <c r="V568" t="s">
        <v>227</v>
      </c>
    </row>
    <row r="569">
      <c r="R569" t="s">
        <v>227</v>
      </c>
      <c r="S569" t="s">
        <v>227</v>
      </c>
      <c r="T569" t="s">
        <v>227</v>
      </c>
      <c r="U569" t="s">
        <v>227</v>
      </c>
      <c r="V569" t="s">
        <v>227</v>
      </c>
    </row>
    <row r="570">
      <c r="R570" t="s">
        <v>227</v>
      </c>
      <c r="S570" t="s">
        <v>227</v>
      </c>
      <c r="T570" t="s">
        <v>227</v>
      </c>
      <c r="U570" t="s">
        <v>227</v>
      </c>
      <c r="V570" t="s">
        <v>227</v>
      </c>
    </row>
    <row r="571">
      <c r="R571" t="s">
        <v>227</v>
      </c>
      <c r="S571" t="s">
        <v>227</v>
      </c>
      <c r="T571" t="s">
        <v>227</v>
      </c>
      <c r="U571" t="s">
        <v>227</v>
      </c>
      <c r="V571" t="s">
        <v>227</v>
      </c>
    </row>
    <row r="572">
      <c r="R572" t="s">
        <v>227</v>
      </c>
      <c r="S572" t="s">
        <v>227</v>
      </c>
      <c r="T572" t="s">
        <v>227</v>
      </c>
      <c r="U572" t="s">
        <v>227</v>
      </c>
      <c r="V572" t="s">
        <v>227</v>
      </c>
    </row>
    <row r="573">
      <c r="R573" t="s">
        <v>227</v>
      </c>
      <c r="S573" t="s">
        <v>227</v>
      </c>
      <c r="T573" t="s">
        <v>227</v>
      </c>
      <c r="U573" t="s">
        <v>227</v>
      </c>
      <c r="V573" t="s">
        <v>227</v>
      </c>
    </row>
    <row r="574">
      <c r="R574" t="s">
        <v>227</v>
      </c>
      <c r="S574" t="s">
        <v>227</v>
      </c>
      <c r="T574" t="s">
        <v>227</v>
      </c>
      <c r="U574" t="s">
        <v>227</v>
      </c>
      <c r="V574" t="s">
        <v>227</v>
      </c>
    </row>
    <row r="575">
      <c r="R575" t="s">
        <v>227</v>
      </c>
      <c r="S575" t="s">
        <v>227</v>
      </c>
      <c r="T575" t="s">
        <v>227</v>
      </c>
      <c r="U575" t="s">
        <v>227</v>
      </c>
      <c r="V575" t="s">
        <v>227</v>
      </c>
    </row>
    <row r="576">
      <c r="R576" t="s">
        <v>227</v>
      </c>
      <c r="S576" t="s">
        <v>227</v>
      </c>
      <c r="T576" t="s">
        <v>227</v>
      </c>
      <c r="U576" t="s">
        <v>227</v>
      </c>
      <c r="V576" t="s">
        <v>227</v>
      </c>
    </row>
    <row r="577">
      <c r="R577" t="s">
        <v>227</v>
      </c>
      <c r="S577" t="s">
        <v>227</v>
      </c>
      <c r="T577" t="s">
        <v>227</v>
      </c>
      <c r="U577" t="s">
        <v>227</v>
      </c>
      <c r="V577" t="s">
        <v>227</v>
      </c>
    </row>
    <row r="578">
      <c r="R578" t="s">
        <v>227</v>
      </c>
      <c r="S578" t="s">
        <v>227</v>
      </c>
      <c r="T578" t="s">
        <v>227</v>
      </c>
      <c r="U578" t="s">
        <v>227</v>
      </c>
      <c r="V578" t="s">
        <v>227</v>
      </c>
    </row>
    <row r="579">
      <c r="R579" t="s">
        <v>227</v>
      </c>
      <c r="S579" t="s">
        <v>227</v>
      </c>
      <c r="T579" t="s">
        <v>227</v>
      </c>
      <c r="U579" t="s">
        <v>227</v>
      </c>
      <c r="V579" t="s">
        <v>227</v>
      </c>
    </row>
    <row r="580">
      <c r="R580" t="s">
        <v>227</v>
      </c>
      <c r="S580" t="s">
        <v>227</v>
      </c>
      <c r="T580" t="s">
        <v>227</v>
      </c>
      <c r="U580" t="s">
        <v>227</v>
      </c>
      <c r="V580" t="s">
        <v>227</v>
      </c>
    </row>
    <row r="581">
      <c r="R581" t="s">
        <v>227</v>
      </c>
      <c r="S581" t="s">
        <v>227</v>
      </c>
      <c r="T581" t="s">
        <v>227</v>
      </c>
      <c r="U581" t="s">
        <v>227</v>
      </c>
      <c r="V581" t="s">
        <v>227</v>
      </c>
    </row>
    <row r="582">
      <c r="R582" t="s">
        <v>227</v>
      </c>
      <c r="S582" t="s">
        <v>227</v>
      </c>
      <c r="T582" t="s">
        <v>227</v>
      </c>
      <c r="U582" t="s">
        <v>227</v>
      </c>
      <c r="V582" t="s">
        <v>227</v>
      </c>
    </row>
    <row r="583">
      <c r="R583" t="s">
        <v>227</v>
      </c>
      <c r="S583" t="s">
        <v>227</v>
      </c>
      <c r="T583" t="s">
        <v>227</v>
      </c>
      <c r="U583" t="s">
        <v>227</v>
      </c>
      <c r="V583" t="s">
        <v>227</v>
      </c>
    </row>
    <row r="584">
      <c r="R584" t="s">
        <v>227</v>
      </c>
      <c r="S584" t="s">
        <v>227</v>
      </c>
      <c r="T584" t="s">
        <v>227</v>
      </c>
      <c r="U584" t="s">
        <v>227</v>
      </c>
      <c r="V584" t="s">
        <v>227</v>
      </c>
    </row>
    <row r="585">
      <c r="R585" t="s">
        <v>227</v>
      </c>
      <c r="S585" t="s">
        <v>227</v>
      </c>
      <c r="T585" t="s">
        <v>227</v>
      </c>
      <c r="U585" t="s">
        <v>227</v>
      </c>
      <c r="V585" t="s">
        <v>227</v>
      </c>
    </row>
    <row r="586">
      <c r="R586" t="s">
        <v>227</v>
      </c>
      <c r="S586" t="s">
        <v>227</v>
      </c>
      <c r="T586" t="s">
        <v>227</v>
      </c>
      <c r="U586" t="s">
        <v>227</v>
      </c>
      <c r="V586" t="s">
        <v>227</v>
      </c>
    </row>
    <row r="587">
      <c r="R587" t="s">
        <v>227</v>
      </c>
      <c r="S587" t="s">
        <v>227</v>
      </c>
      <c r="T587" t="s">
        <v>227</v>
      </c>
      <c r="U587" t="s">
        <v>227</v>
      </c>
      <c r="V587" t="s">
        <v>227</v>
      </c>
    </row>
    <row r="588">
      <c r="R588" t="s">
        <v>227</v>
      </c>
      <c r="S588" t="s">
        <v>227</v>
      </c>
      <c r="T588" t="s">
        <v>227</v>
      </c>
      <c r="U588" t="s">
        <v>227</v>
      </c>
      <c r="V588" t="s">
        <v>227</v>
      </c>
    </row>
    <row r="589">
      <c r="R589" t="s">
        <v>227</v>
      </c>
      <c r="S589" t="s">
        <v>227</v>
      </c>
      <c r="T589" t="s">
        <v>227</v>
      </c>
      <c r="U589" t="s">
        <v>227</v>
      </c>
      <c r="V589" t="s">
        <v>227</v>
      </c>
    </row>
    <row r="590">
      <c r="R590" t="s">
        <v>227</v>
      </c>
      <c r="S590" t="s">
        <v>227</v>
      </c>
      <c r="T590" t="s">
        <v>227</v>
      </c>
      <c r="U590" t="s">
        <v>227</v>
      </c>
      <c r="V590" t="s">
        <v>227</v>
      </c>
    </row>
    <row r="591">
      <c r="R591" t="s">
        <v>227</v>
      </c>
      <c r="S591" t="s">
        <v>227</v>
      </c>
      <c r="T591" t="s">
        <v>227</v>
      </c>
      <c r="U591" t="s">
        <v>227</v>
      </c>
      <c r="V591" t="s">
        <v>227</v>
      </c>
    </row>
    <row r="592">
      <c r="R592" t="s">
        <v>227</v>
      </c>
      <c r="S592" t="s">
        <v>227</v>
      </c>
      <c r="T592" t="s">
        <v>227</v>
      </c>
      <c r="U592" t="s">
        <v>227</v>
      </c>
      <c r="V592" t="s">
        <v>227</v>
      </c>
    </row>
    <row r="593">
      <c r="R593" t="s">
        <v>227</v>
      </c>
      <c r="S593" t="s">
        <v>227</v>
      </c>
      <c r="T593" t="s">
        <v>227</v>
      </c>
      <c r="U593" t="s">
        <v>227</v>
      </c>
      <c r="V593" t="s">
        <v>227</v>
      </c>
    </row>
    <row r="594">
      <c r="R594" t="s">
        <v>227</v>
      </c>
      <c r="S594" t="s">
        <v>227</v>
      </c>
      <c r="T594" t="s">
        <v>227</v>
      </c>
      <c r="U594" t="s">
        <v>227</v>
      </c>
      <c r="V594" t="s">
        <v>227</v>
      </c>
    </row>
    <row r="595">
      <c r="R595" t="s">
        <v>227</v>
      </c>
      <c r="S595" t="s">
        <v>227</v>
      </c>
      <c r="T595" t="s">
        <v>227</v>
      </c>
      <c r="U595" t="s">
        <v>227</v>
      </c>
      <c r="V595" t="s">
        <v>227</v>
      </c>
    </row>
    <row r="596">
      <c r="R596" t="s">
        <v>227</v>
      </c>
      <c r="S596" t="s">
        <v>227</v>
      </c>
      <c r="T596" t="s">
        <v>227</v>
      </c>
      <c r="U596" t="s">
        <v>227</v>
      </c>
      <c r="V596" t="s">
        <v>227</v>
      </c>
    </row>
    <row r="597">
      <c r="R597" t="s">
        <v>227</v>
      </c>
      <c r="S597" t="s">
        <v>227</v>
      </c>
      <c r="T597" t="s">
        <v>227</v>
      </c>
      <c r="U597" t="s">
        <v>227</v>
      </c>
      <c r="V597" t="s">
        <v>227</v>
      </c>
    </row>
    <row r="598">
      <c r="R598" t="s">
        <v>227</v>
      </c>
      <c r="S598" t="s">
        <v>227</v>
      </c>
      <c r="T598" t="s">
        <v>227</v>
      </c>
      <c r="U598" t="s">
        <v>227</v>
      </c>
      <c r="V598" t="s">
        <v>227</v>
      </c>
    </row>
    <row r="599">
      <c r="R599" t="s">
        <v>227</v>
      </c>
      <c r="S599" t="s">
        <v>227</v>
      </c>
      <c r="T599" t="s">
        <v>227</v>
      </c>
      <c r="U599" t="s">
        <v>227</v>
      </c>
      <c r="V599" t="s">
        <v>227</v>
      </c>
    </row>
    <row r="600">
      <c r="R600" t="s">
        <v>227</v>
      </c>
      <c r="S600" t="s">
        <v>227</v>
      </c>
      <c r="T600" t="s">
        <v>227</v>
      </c>
      <c r="U600" t="s">
        <v>227</v>
      </c>
      <c r="V600" t="s">
        <v>227</v>
      </c>
    </row>
    <row r="601">
      <c r="R601" t="s">
        <v>227</v>
      </c>
      <c r="S601" t="s">
        <v>227</v>
      </c>
      <c r="T601" t="s">
        <v>227</v>
      </c>
      <c r="U601" t="s">
        <v>227</v>
      </c>
      <c r="V601" t="s">
        <v>227</v>
      </c>
    </row>
    <row r="602">
      <c r="R602" t="s">
        <v>227</v>
      </c>
      <c r="S602" t="s">
        <v>227</v>
      </c>
      <c r="T602" t="s">
        <v>227</v>
      </c>
      <c r="U602" t="s">
        <v>227</v>
      </c>
      <c r="V602" t="s">
        <v>227</v>
      </c>
    </row>
    <row r="603">
      <c r="R603" t="s">
        <v>227</v>
      </c>
      <c r="S603" t="s">
        <v>227</v>
      </c>
      <c r="T603" t="s">
        <v>227</v>
      </c>
      <c r="U603" t="s">
        <v>227</v>
      </c>
      <c r="V603" t="s">
        <v>227</v>
      </c>
    </row>
    <row r="604">
      <c r="R604" t="s">
        <v>227</v>
      </c>
      <c r="S604" t="s">
        <v>227</v>
      </c>
      <c r="T604" t="s">
        <v>227</v>
      </c>
      <c r="U604" t="s">
        <v>227</v>
      </c>
      <c r="V604" t="s">
        <v>227</v>
      </c>
    </row>
    <row r="605">
      <c r="R605" t="s">
        <v>227</v>
      </c>
      <c r="S605" t="s">
        <v>227</v>
      </c>
      <c r="T605" t="s">
        <v>227</v>
      </c>
      <c r="U605" t="s">
        <v>227</v>
      </c>
      <c r="V605" t="s">
        <v>227</v>
      </c>
    </row>
    <row r="606">
      <c r="R606" t="s">
        <v>227</v>
      </c>
      <c r="S606" t="s">
        <v>227</v>
      </c>
      <c r="T606" t="s">
        <v>227</v>
      </c>
      <c r="U606" t="s">
        <v>227</v>
      </c>
      <c r="V606" t="s">
        <v>227</v>
      </c>
    </row>
    <row r="607">
      <c r="R607" t="s">
        <v>227</v>
      </c>
      <c r="S607" t="s">
        <v>227</v>
      </c>
      <c r="T607" t="s">
        <v>227</v>
      </c>
      <c r="U607" t="s">
        <v>227</v>
      </c>
      <c r="V607" t="s">
        <v>227</v>
      </c>
    </row>
    <row r="608">
      <c r="R608" t="s">
        <v>227</v>
      </c>
      <c r="S608" t="s">
        <v>227</v>
      </c>
      <c r="T608" t="s">
        <v>227</v>
      </c>
      <c r="U608" t="s">
        <v>227</v>
      </c>
      <c r="V608" t="s">
        <v>227</v>
      </c>
    </row>
    <row r="609">
      <c r="R609" t="s">
        <v>227</v>
      </c>
      <c r="S609" t="s">
        <v>227</v>
      </c>
      <c r="T609" t="s">
        <v>227</v>
      </c>
      <c r="U609" t="s">
        <v>227</v>
      </c>
      <c r="V609" t="s">
        <v>227</v>
      </c>
    </row>
    <row r="610">
      <c r="R610" t="s">
        <v>227</v>
      </c>
      <c r="S610" t="s">
        <v>227</v>
      </c>
      <c r="T610" t="s">
        <v>227</v>
      </c>
      <c r="U610" t="s">
        <v>227</v>
      </c>
      <c r="V610" t="s">
        <v>227</v>
      </c>
    </row>
    <row r="611">
      <c r="R611" t="s">
        <v>227</v>
      </c>
      <c r="S611" t="s">
        <v>227</v>
      </c>
      <c r="T611" t="s">
        <v>227</v>
      </c>
      <c r="U611" t="s">
        <v>227</v>
      </c>
      <c r="V611" t="s">
        <v>227</v>
      </c>
    </row>
    <row r="612">
      <c r="R612" t="s">
        <v>227</v>
      </c>
      <c r="S612" t="s">
        <v>227</v>
      </c>
      <c r="T612" t="s">
        <v>227</v>
      </c>
      <c r="U612" t="s">
        <v>227</v>
      </c>
      <c r="V612" t="s">
        <v>227</v>
      </c>
    </row>
    <row r="613">
      <c r="R613" t="s">
        <v>227</v>
      </c>
      <c r="S613" t="s">
        <v>227</v>
      </c>
      <c r="T613" t="s">
        <v>227</v>
      </c>
      <c r="U613" t="s">
        <v>227</v>
      </c>
      <c r="V613" t="s">
        <v>227</v>
      </c>
    </row>
    <row r="614">
      <c r="R614" t="s">
        <v>227</v>
      </c>
      <c r="S614" t="s">
        <v>227</v>
      </c>
      <c r="T614" t="s">
        <v>227</v>
      </c>
      <c r="U614" t="s">
        <v>227</v>
      </c>
      <c r="V614" t="s">
        <v>227</v>
      </c>
    </row>
    <row r="615">
      <c r="R615" t="s">
        <v>227</v>
      </c>
      <c r="S615" t="s">
        <v>227</v>
      </c>
      <c r="T615" t="s">
        <v>227</v>
      </c>
      <c r="U615" t="s">
        <v>227</v>
      </c>
      <c r="V615" t="s">
        <v>227</v>
      </c>
    </row>
    <row r="616">
      <c r="R616" t="s">
        <v>227</v>
      </c>
      <c r="S616" t="s">
        <v>227</v>
      </c>
      <c r="T616" t="s">
        <v>227</v>
      </c>
      <c r="U616" t="s">
        <v>227</v>
      </c>
      <c r="V616" t="s">
        <v>227</v>
      </c>
    </row>
    <row r="617">
      <c r="R617" t="s">
        <v>227</v>
      </c>
      <c r="S617" t="s">
        <v>227</v>
      </c>
      <c r="T617" t="s">
        <v>227</v>
      </c>
      <c r="U617" t="s">
        <v>227</v>
      </c>
      <c r="V617" t="s">
        <v>227</v>
      </c>
    </row>
    <row r="618">
      <c r="R618" t="s">
        <v>227</v>
      </c>
      <c r="S618" t="s">
        <v>227</v>
      </c>
      <c r="T618" t="s">
        <v>227</v>
      </c>
      <c r="U618" t="s">
        <v>227</v>
      </c>
      <c r="V618" t="s">
        <v>227</v>
      </c>
    </row>
    <row r="619">
      <c r="R619" t="s">
        <v>227</v>
      </c>
      <c r="S619" t="s">
        <v>227</v>
      </c>
      <c r="T619" t="s">
        <v>227</v>
      </c>
      <c r="U619" t="s">
        <v>227</v>
      </c>
      <c r="V619" t="s">
        <v>227</v>
      </c>
    </row>
    <row r="620">
      <c r="R620" t="s">
        <v>227</v>
      </c>
      <c r="S620" t="s">
        <v>227</v>
      </c>
      <c r="T620" t="s">
        <v>227</v>
      </c>
      <c r="U620" t="s">
        <v>227</v>
      </c>
      <c r="V620" t="s">
        <v>227</v>
      </c>
    </row>
    <row r="621">
      <c r="R621" t="s">
        <v>227</v>
      </c>
      <c r="S621" t="s">
        <v>227</v>
      </c>
      <c r="T621" t="s">
        <v>227</v>
      </c>
      <c r="U621" t="s">
        <v>227</v>
      </c>
      <c r="V621" t="s">
        <v>227</v>
      </c>
    </row>
    <row r="622">
      <c r="R622" t="s">
        <v>227</v>
      </c>
      <c r="S622" t="s">
        <v>227</v>
      </c>
      <c r="T622" t="s">
        <v>227</v>
      </c>
      <c r="U622" t="s">
        <v>227</v>
      </c>
      <c r="V622" t="s">
        <v>227</v>
      </c>
    </row>
    <row r="623">
      <c r="R623" t="s">
        <v>227</v>
      </c>
      <c r="S623" t="s">
        <v>227</v>
      </c>
      <c r="T623" t="s">
        <v>227</v>
      </c>
      <c r="U623" t="s">
        <v>227</v>
      </c>
      <c r="V623" t="s">
        <v>227</v>
      </c>
    </row>
    <row r="624">
      <c r="R624" t="s">
        <v>227</v>
      </c>
      <c r="S624" t="s">
        <v>227</v>
      </c>
      <c r="T624" t="s">
        <v>227</v>
      </c>
      <c r="U624" t="s">
        <v>227</v>
      </c>
      <c r="V624" t="s">
        <v>227</v>
      </c>
    </row>
    <row r="625">
      <c r="R625" t="s">
        <v>227</v>
      </c>
      <c r="S625" t="s">
        <v>227</v>
      </c>
      <c r="T625" t="s">
        <v>227</v>
      </c>
      <c r="U625" t="s">
        <v>227</v>
      </c>
      <c r="V625" t="s">
        <v>227</v>
      </c>
    </row>
    <row r="626">
      <c r="R626" t="s">
        <v>227</v>
      </c>
      <c r="S626" t="s">
        <v>227</v>
      </c>
      <c r="T626" t="s">
        <v>227</v>
      </c>
      <c r="U626" t="s">
        <v>227</v>
      </c>
      <c r="V626" t="s">
        <v>227</v>
      </c>
    </row>
    <row r="627">
      <c r="R627" t="s">
        <v>227</v>
      </c>
      <c r="S627" t="s">
        <v>227</v>
      </c>
      <c r="T627" t="s">
        <v>227</v>
      </c>
      <c r="U627" t="s">
        <v>227</v>
      </c>
      <c r="V627" t="s">
        <v>227</v>
      </c>
    </row>
    <row r="628">
      <c r="R628" t="s">
        <v>227</v>
      </c>
      <c r="S628" t="s">
        <v>227</v>
      </c>
      <c r="T628" t="s">
        <v>227</v>
      </c>
      <c r="U628" t="s">
        <v>227</v>
      </c>
      <c r="V628" t="s">
        <v>227</v>
      </c>
    </row>
    <row r="629">
      <c r="R629" t="s">
        <v>227</v>
      </c>
      <c r="S629" t="s">
        <v>227</v>
      </c>
      <c r="T629" t="s">
        <v>227</v>
      </c>
      <c r="U629" t="s">
        <v>227</v>
      </c>
      <c r="V629" t="s">
        <v>227</v>
      </c>
    </row>
    <row r="630">
      <c r="R630" t="s">
        <v>227</v>
      </c>
      <c r="S630" t="s">
        <v>227</v>
      </c>
      <c r="T630" t="s">
        <v>227</v>
      </c>
      <c r="U630" t="s">
        <v>227</v>
      </c>
      <c r="V630" t="s">
        <v>227</v>
      </c>
    </row>
    <row r="631">
      <c r="R631" t="s">
        <v>227</v>
      </c>
      <c r="S631" t="s">
        <v>227</v>
      </c>
      <c r="T631" t="s">
        <v>227</v>
      </c>
      <c r="U631" t="s">
        <v>227</v>
      </c>
      <c r="V631" t="s">
        <v>227</v>
      </c>
    </row>
    <row r="632">
      <c r="R632" t="s">
        <v>227</v>
      </c>
      <c r="S632" t="s">
        <v>227</v>
      </c>
      <c r="T632" t="s">
        <v>227</v>
      </c>
      <c r="U632" t="s">
        <v>227</v>
      </c>
      <c r="V632" t="s">
        <v>227</v>
      </c>
    </row>
    <row r="633">
      <c r="R633" t="s">
        <v>227</v>
      </c>
      <c r="S633" t="s">
        <v>227</v>
      </c>
      <c r="T633" t="s">
        <v>227</v>
      </c>
      <c r="U633" t="s">
        <v>227</v>
      </c>
      <c r="V633" t="s">
        <v>227</v>
      </c>
    </row>
    <row r="634">
      <c r="R634" t="s">
        <v>227</v>
      </c>
      <c r="S634" t="s">
        <v>227</v>
      </c>
      <c r="T634" t="s">
        <v>227</v>
      </c>
      <c r="U634" t="s">
        <v>227</v>
      </c>
      <c r="V634" t="s">
        <v>227</v>
      </c>
    </row>
    <row r="635">
      <c r="R635" t="s">
        <v>227</v>
      </c>
      <c r="S635" t="s">
        <v>227</v>
      </c>
      <c r="T635" t="s">
        <v>227</v>
      </c>
      <c r="U635" t="s">
        <v>227</v>
      </c>
      <c r="V635" t="s">
        <v>227</v>
      </c>
    </row>
    <row r="636">
      <c r="R636" t="s">
        <v>227</v>
      </c>
      <c r="S636" t="s">
        <v>227</v>
      </c>
      <c r="T636" t="s">
        <v>227</v>
      </c>
      <c r="U636" t="s">
        <v>227</v>
      </c>
      <c r="V636" t="s">
        <v>227</v>
      </c>
    </row>
    <row r="637">
      <c r="R637" t="s">
        <v>227</v>
      </c>
      <c r="S637" t="s">
        <v>227</v>
      </c>
      <c r="T637" t="s">
        <v>227</v>
      </c>
      <c r="U637" t="s">
        <v>227</v>
      </c>
      <c r="V637" t="s">
        <v>227</v>
      </c>
    </row>
    <row r="638">
      <c r="R638" t="s">
        <v>227</v>
      </c>
      <c r="S638" t="s">
        <v>227</v>
      </c>
      <c r="T638" t="s">
        <v>227</v>
      </c>
      <c r="U638" t="s">
        <v>227</v>
      </c>
      <c r="V638" t="s">
        <v>227</v>
      </c>
    </row>
    <row r="639">
      <c r="R639" t="s">
        <v>227</v>
      </c>
      <c r="S639" t="s">
        <v>227</v>
      </c>
      <c r="T639" t="s">
        <v>227</v>
      </c>
      <c r="U639" t="s">
        <v>227</v>
      </c>
      <c r="V639" t="s">
        <v>227</v>
      </c>
    </row>
    <row r="640">
      <c r="R640" t="s">
        <v>227</v>
      </c>
      <c r="S640" t="s">
        <v>227</v>
      </c>
      <c r="T640" t="s">
        <v>227</v>
      </c>
      <c r="U640" t="s">
        <v>227</v>
      </c>
      <c r="V640" t="s">
        <v>227</v>
      </c>
    </row>
    <row r="641">
      <c r="R641" t="s">
        <v>227</v>
      </c>
      <c r="S641" t="s">
        <v>227</v>
      </c>
      <c r="T641" t="s">
        <v>227</v>
      </c>
      <c r="U641" t="s">
        <v>227</v>
      </c>
      <c r="V641" t="s">
        <v>227</v>
      </c>
    </row>
    <row r="642">
      <c r="R642" t="s">
        <v>227</v>
      </c>
      <c r="S642" t="s">
        <v>227</v>
      </c>
      <c r="T642" t="s">
        <v>227</v>
      </c>
      <c r="U642" t="s">
        <v>227</v>
      </c>
      <c r="V642" t="s">
        <v>227</v>
      </c>
    </row>
    <row r="643">
      <c r="R643" t="s">
        <v>227</v>
      </c>
      <c r="S643" t="s">
        <v>227</v>
      </c>
      <c r="T643" t="s">
        <v>227</v>
      </c>
      <c r="U643" t="s">
        <v>227</v>
      </c>
      <c r="V643" t="s">
        <v>227</v>
      </c>
    </row>
    <row r="644">
      <c r="R644" t="s">
        <v>227</v>
      </c>
      <c r="S644" t="s">
        <v>227</v>
      </c>
      <c r="T644" t="s">
        <v>227</v>
      </c>
      <c r="U644" t="s">
        <v>227</v>
      </c>
      <c r="V644" t="s">
        <v>227</v>
      </c>
    </row>
    <row r="645">
      <c r="R645" t="s">
        <v>227</v>
      </c>
      <c r="S645" t="s">
        <v>227</v>
      </c>
      <c r="T645" t="s">
        <v>227</v>
      </c>
      <c r="U645" t="s">
        <v>227</v>
      </c>
      <c r="V645" t="s">
        <v>227</v>
      </c>
    </row>
    <row r="646">
      <c r="R646" t="s">
        <v>227</v>
      </c>
      <c r="S646" t="s">
        <v>227</v>
      </c>
      <c r="T646" t="s">
        <v>227</v>
      </c>
      <c r="U646" t="s">
        <v>227</v>
      </c>
      <c r="V646" t="s">
        <v>227</v>
      </c>
    </row>
    <row r="647">
      <c r="R647" t="s">
        <v>227</v>
      </c>
      <c r="S647" t="s">
        <v>227</v>
      </c>
      <c r="T647" t="s">
        <v>227</v>
      </c>
      <c r="U647" t="s">
        <v>227</v>
      </c>
      <c r="V647" t="s">
        <v>227</v>
      </c>
    </row>
    <row r="648">
      <c r="R648" t="s">
        <v>227</v>
      </c>
      <c r="S648" t="s">
        <v>227</v>
      </c>
      <c r="T648" t="s">
        <v>227</v>
      </c>
      <c r="U648" t="s">
        <v>227</v>
      </c>
      <c r="V648" t="s">
        <v>227</v>
      </c>
    </row>
    <row r="649">
      <c r="R649" t="s">
        <v>227</v>
      </c>
      <c r="S649" t="s">
        <v>227</v>
      </c>
      <c r="T649" t="s">
        <v>227</v>
      </c>
      <c r="U649" t="s">
        <v>227</v>
      </c>
      <c r="V649" t="s">
        <v>227</v>
      </c>
    </row>
    <row r="650">
      <c r="R650" t="s">
        <v>227</v>
      </c>
      <c r="S650" t="s">
        <v>227</v>
      </c>
      <c r="T650" t="s">
        <v>227</v>
      </c>
      <c r="U650" t="s">
        <v>227</v>
      </c>
      <c r="V650" t="s">
        <v>227</v>
      </c>
    </row>
    <row r="651">
      <c r="R651" t="s">
        <v>227</v>
      </c>
      <c r="S651" t="s">
        <v>227</v>
      </c>
      <c r="T651" t="s">
        <v>227</v>
      </c>
      <c r="U651" t="s">
        <v>227</v>
      </c>
      <c r="V651" t="s">
        <v>227</v>
      </c>
    </row>
    <row r="652">
      <c r="R652" t="s">
        <v>227</v>
      </c>
      <c r="S652" t="s">
        <v>227</v>
      </c>
      <c r="T652" t="s">
        <v>227</v>
      </c>
      <c r="U652" t="s">
        <v>227</v>
      </c>
      <c r="V652" t="s">
        <v>227</v>
      </c>
    </row>
    <row r="653">
      <c r="R653" t="s">
        <v>227</v>
      </c>
      <c r="S653" t="s">
        <v>227</v>
      </c>
      <c r="T653" t="s">
        <v>227</v>
      </c>
      <c r="U653" t="s">
        <v>227</v>
      </c>
      <c r="V653" t="s">
        <v>227</v>
      </c>
    </row>
    <row r="654">
      <c r="R654" t="s">
        <v>227</v>
      </c>
      <c r="S654" t="s">
        <v>227</v>
      </c>
      <c r="T654" t="s">
        <v>227</v>
      </c>
      <c r="U654" t="s">
        <v>227</v>
      </c>
      <c r="V654" t="s">
        <v>227</v>
      </c>
    </row>
    <row r="655">
      <c r="R655" t="s">
        <v>227</v>
      </c>
      <c r="S655" t="s">
        <v>227</v>
      </c>
      <c r="T655" t="s">
        <v>227</v>
      </c>
      <c r="U655" t="s">
        <v>227</v>
      </c>
      <c r="V655" t="s">
        <v>227</v>
      </c>
    </row>
    <row r="656">
      <c r="R656" t="s">
        <v>227</v>
      </c>
      <c r="S656" t="s">
        <v>227</v>
      </c>
      <c r="T656" t="s">
        <v>227</v>
      </c>
      <c r="U656" t="s">
        <v>227</v>
      </c>
      <c r="V656" t="s">
        <v>227</v>
      </c>
    </row>
    <row r="657">
      <c r="R657" t="s">
        <v>227</v>
      </c>
      <c r="S657" t="s">
        <v>227</v>
      </c>
      <c r="T657" t="s">
        <v>227</v>
      </c>
      <c r="U657" t="s">
        <v>227</v>
      </c>
      <c r="V657" t="s">
        <v>227</v>
      </c>
    </row>
    <row r="658">
      <c r="R658" t="s">
        <v>227</v>
      </c>
      <c r="S658" t="s">
        <v>227</v>
      </c>
      <c r="T658" t="s">
        <v>227</v>
      </c>
      <c r="U658" t="s">
        <v>227</v>
      </c>
      <c r="V658" t="s">
        <v>227</v>
      </c>
    </row>
    <row r="659">
      <c r="R659" t="s">
        <v>227</v>
      </c>
      <c r="S659" t="s">
        <v>227</v>
      </c>
      <c r="T659" t="s">
        <v>227</v>
      </c>
      <c r="U659" t="s">
        <v>227</v>
      </c>
      <c r="V659" t="s">
        <v>227</v>
      </c>
    </row>
    <row r="660">
      <c r="R660" t="s">
        <v>227</v>
      </c>
      <c r="S660" t="s">
        <v>227</v>
      </c>
      <c r="T660" t="s">
        <v>227</v>
      </c>
      <c r="U660" t="s">
        <v>227</v>
      </c>
      <c r="V660" t="s">
        <v>227</v>
      </c>
    </row>
    <row r="661">
      <c r="R661" t="s">
        <v>227</v>
      </c>
      <c r="S661" t="s">
        <v>227</v>
      </c>
      <c r="T661" t="s">
        <v>227</v>
      </c>
      <c r="U661" t="s">
        <v>227</v>
      </c>
      <c r="V661" t="s">
        <v>227</v>
      </c>
    </row>
    <row r="662">
      <c r="R662" t="s">
        <v>227</v>
      </c>
      <c r="S662" t="s">
        <v>227</v>
      </c>
      <c r="T662" t="s">
        <v>227</v>
      </c>
      <c r="U662" t="s">
        <v>227</v>
      </c>
      <c r="V662" t="s">
        <v>227</v>
      </c>
    </row>
    <row r="663">
      <c r="R663" t="s">
        <v>227</v>
      </c>
      <c r="S663" t="s">
        <v>227</v>
      </c>
      <c r="T663" t="s">
        <v>227</v>
      </c>
      <c r="U663" t="s">
        <v>227</v>
      </c>
      <c r="V663" t="s">
        <v>227</v>
      </c>
    </row>
    <row r="664">
      <c r="R664" t="s">
        <v>227</v>
      </c>
      <c r="S664" t="s">
        <v>227</v>
      </c>
      <c r="T664" t="s">
        <v>227</v>
      </c>
      <c r="U664" t="s">
        <v>227</v>
      </c>
      <c r="V664" t="s">
        <v>227</v>
      </c>
    </row>
    <row r="665">
      <c r="R665" t="s">
        <v>227</v>
      </c>
      <c r="S665" t="s">
        <v>227</v>
      </c>
      <c r="T665" t="s">
        <v>227</v>
      </c>
      <c r="U665" t="s">
        <v>227</v>
      </c>
      <c r="V665" t="s">
        <v>227</v>
      </c>
    </row>
    <row r="666">
      <c r="R666" t="s">
        <v>227</v>
      </c>
      <c r="S666" t="s">
        <v>227</v>
      </c>
      <c r="T666" t="s">
        <v>227</v>
      </c>
      <c r="U666" t="s">
        <v>227</v>
      </c>
      <c r="V666" t="s">
        <v>227</v>
      </c>
    </row>
    <row r="667">
      <c r="R667" t="s">
        <v>227</v>
      </c>
      <c r="S667" t="s">
        <v>227</v>
      </c>
      <c r="T667" t="s">
        <v>227</v>
      </c>
      <c r="U667" t="s">
        <v>227</v>
      </c>
      <c r="V667" t="s">
        <v>227</v>
      </c>
    </row>
    <row r="668">
      <c r="R668" t="s">
        <v>227</v>
      </c>
      <c r="S668" t="s">
        <v>227</v>
      </c>
      <c r="T668" t="s">
        <v>227</v>
      </c>
      <c r="U668" t="s">
        <v>227</v>
      </c>
      <c r="V668" t="s">
        <v>227</v>
      </c>
    </row>
    <row r="669">
      <c r="R669" t="s">
        <v>227</v>
      </c>
      <c r="S669" t="s">
        <v>227</v>
      </c>
      <c r="T669" t="s">
        <v>227</v>
      </c>
      <c r="U669" t="s">
        <v>227</v>
      </c>
      <c r="V669" t="s">
        <v>227</v>
      </c>
    </row>
    <row r="670">
      <c r="R670" t="s">
        <v>227</v>
      </c>
      <c r="S670" t="s">
        <v>227</v>
      </c>
      <c r="T670" t="s">
        <v>227</v>
      </c>
      <c r="U670" t="s">
        <v>227</v>
      </c>
      <c r="V670" t="s">
        <v>227</v>
      </c>
    </row>
    <row r="671">
      <c r="R671" t="s">
        <v>227</v>
      </c>
      <c r="S671" t="s">
        <v>227</v>
      </c>
      <c r="T671" t="s">
        <v>227</v>
      </c>
      <c r="U671" t="s">
        <v>227</v>
      </c>
      <c r="V671" t="s">
        <v>227</v>
      </c>
    </row>
    <row r="672">
      <c r="R672" t="s">
        <v>227</v>
      </c>
      <c r="S672" t="s">
        <v>227</v>
      </c>
      <c r="T672" t="s">
        <v>227</v>
      </c>
      <c r="U672" t="s">
        <v>227</v>
      </c>
      <c r="V672" t="s">
        <v>227</v>
      </c>
    </row>
    <row r="673">
      <c r="R673" t="s">
        <v>227</v>
      </c>
      <c r="S673" t="s">
        <v>227</v>
      </c>
      <c r="T673" t="s">
        <v>227</v>
      </c>
      <c r="U673" t="s">
        <v>227</v>
      </c>
      <c r="V673" t="s">
        <v>227</v>
      </c>
    </row>
    <row r="674">
      <c r="R674" t="s">
        <v>227</v>
      </c>
      <c r="S674" t="s">
        <v>227</v>
      </c>
      <c r="T674" t="s">
        <v>227</v>
      </c>
      <c r="U674" t="s">
        <v>227</v>
      </c>
      <c r="V674" t="s">
        <v>227</v>
      </c>
    </row>
    <row r="675">
      <c r="R675" t="s">
        <v>227</v>
      </c>
      <c r="S675" t="s">
        <v>227</v>
      </c>
      <c r="T675" t="s">
        <v>227</v>
      </c>
      <c r="U675" t="s">
        <v>227</v>
      </c>
      <c r="V675" t="s">
        <v>227</v>
      </c>
    </row>
    <row r="676">
      <c r="R676" t="s">
        <v>227</v>
      </c>
      <c r="S676" t="s">
        <v>227</v>
      </c>
      <c r="T676" t="s">
        <v>227</v>
      </c>
      <c r="U676" t="s">
        <v>227</v>
      </c>
      <c r="V676" t="s">
        <v>227</v>
      </c>
    </row>
    <row r="677">
      <c r="R677" t="s">
        <v>227</v>
      </c>
      <c r="S677" t="s">
        <v>227</v>
      </c>
      <c r="T677" t="s">
        <v>227</v>
      </c>
      <c r="U677" t="s">
        <v>227</v>
      </c>
      <c r="V677" t="s">
        <v>227</v>
      </c>
    </row>
    <row r="678">
      <c r="R678" t="s">
        <v>227</v>
      </c>
      <c r="S678" t="s">
        <v>227</v>
      </c>
      <c r="T678" t="s">
        <v>227</v>
      </c>
      <c r="U678" t="s">
        <v>227</v>
      </c>
      <c r="V678" t="s">
        <v>227</v>
      </c>
    </row>
    <row r="679">
      <c r="R679" t="s">
        <v>227</v>
      </c>
      <c r="S679" t="s">
        <v>227</v>
      </c>
      <c r="T679" t="s">
        <v>227</v>
      </c>
      <c r="U679" t="s">
        <v>227</v>
      </c>
      <c r="V679" t="s">
        <v>227</v>
      </c>
    </row>
    <row r="680">
      <c r="R680" t="s">
        <v>227</v>
      </c>
      <c r="S680" t="s">
        <v>227</v>
      </c>
      <c r="T680" t="s">
        <v>227</v>
      </c>
      <c r="U680" t="s">
        <v>227</v>
      </c>
      <c r="V680" t="s">
        <v>227</v>
      </c>
    </row>
    <row r="681">
      <c r="R681" t="s">
        <v>227</v>
      </c>
      <c r="S681" t="s">
        <v>227</v>
      </c>
      <c r="T681" t="s">
        <v>227</v>
      </c>
      <c r="U681" t="s">
        <v>227</v>
      </c>
      <c r="V681" t="s">
        <v>227</v>
      </c>
    </row>
    <row r="682">
      <c r="R682" t="s">
        <v>227</v>
      </c>
      <c r="S682" t="s">
        <v>227</v>
      </c>
      <c r="T682" t="s">
        <v>227</v>
      </c>
      <c r="U682" t="s">
        <v>227</v>
      </c>
      <c r="V682" t="s">
        <v>227</v>
      </c>
    </row>
    <row r="683">
      <c r="R683" t="s">
        <v>227</v>
      </c>
      <c r="S683" t="s">
        <v>227</v>
      </c>
      <c r="T683" t="s">
        <v>227</v>
      </c>
      <c r="U683" t="s">
        <v>227</v>
      </c>
      <c r="V683" t="s">
        <v>227</v>
      </c>
    </row>
    <row r="684">
      <c r="R684" t="s">
        <v>227</v>
      </c>
      <c r="S684" t="s">
        <v>227</v>
      </c>
      <c r="T684" t="s">
        <v>227</v>
      </c>
      <c r="U684" t="s">
        <v>227</v>
      </c>
      <c r="V684" t="s">
        <v>227</v>
      </c>
    </row>
    <row r="685">
      <c r="R685" t="s">
        <v>227</v>
      </c>
      <c r="S685" t="s">
        <v>227</v>
      </c>
      <c r="T685" t="s">
        <v>227</v>
      </c>
      <c r="U685" t="s">
        <v>227</v>
      </c>
      <c r="V685" t="s">
        <v>227</v>
      </c>
    </row>
    <row r="686">
      <c r="R686" t="s">
        <v>227</v>
      </c>
      <c r="S686" t="s">
        <v>227</v>
      </c>
      <c r="T686" t="s">
        <v>227</v>
      </c>
      <c r="U686" t="s">
        <v>227</v>
      </c>
      <c r="V686" t="s">
        <v>227</v>
      </c>
    </row>
    <row r="687">
      <c r="R687" t="s">
        <v>227</v>
      </c>
      <c r="S687" t="s">
        <v>227</v>
      </c>
      <c r="T687" t="s">
        <v>227</v>
      </c>
      <c r="U687" t="s">
        <v>227</v>
      </c>
      <c r="V687" t="s">
        <v>227</v>
      </c>
    </row>
    <row r="688">
      <c r="R688" t="s">
        <v>227</v>
      </c>
      <c r="S688" t="s">
        <v>227</v>
      </c>
      <c r="T688" t="s">
        <v>227</v>
      </c>
      <c r="U688" t="s">
        <v>227</v>
      </c>
      <c r="V688" t="s">
        <v>227</v>
      </c>
    </row>
    <row r="689">
      <c r="R689" t="s">
        <v>227</v>
      </c>
      <c r="S689" t="s">
        <v>227</v>
      </c>
      <c r="T689" t="s">
        <v>227</v>
      </c>
      <c r="U689" t="s">
        <v>227</v>
      </c>
      <c r="V689" t="s">
        <v>227</v>
      </c>
    </row>
    <row r="690">
      <c r="R690" t="s">
        <v>227</v>
      </c>
      <c r="S690" t="s">
        <v>227</v>
      </c>
      <c r="T690" t="s">
        <v>227</v>
      </c>
      <c r="U690" t="s">
        <v>227</v>
      </c>
      <c r="V690" t="s">
        <v>227</v>
      </c>
    </row>
    <row r="691">
      <c r="R691" t="s">
        <v>227</v>
      </c>
      <c r="S691" t="s">
        <v>227</v>
      </c>
      <c r="T691" t="s">
        <v>227</v>
      </c>
      <c r="U691" t="s">
        <v>227</v>
      </c>
      <c r="V691" t="s">
        <v>227</v>
      </c>
    </row>
    <row r="692">
      <c r="R692" t="s">
        <v>227</v>
      </c>
      <c r="S692" t="s">
        <v>227</v>
      </c>
      <c r="T692" t="s">
        <v>227</v>
      </c>
      <c r="U692" t="s">
        <v>227</v>
      </c>
      <c r="V692" t="s">
        <v>227</v>
      </c>
    </row>
    <row r="693">
      <c r="R693" t="s">
        <v>227</v>
      </c>
      <c r="S693" t="s">
        <v>227</v>
      </c>
      <c r="T693" t="s">
        <v>227</v>
      </c>
      <c r="U693" t="s">
        <v>227</v>
      </c>
      <c r="V693" t="s">
        <v>227</v>
      </c>
    </row>
    <row r="694">
      <c r="R694" t="s">
        <v>227</v>
      </c>
      <c r="S694" t="s">
        <v>227</v>
      </c>
      <c r="T694" t="s">
        <v>227</v>
      </c>
      <c r="U694" t="s">
        <v>227</v>
      </c>
      <c r="V694" t="s">
        <v>227</v>
      </c>
    </row>
    <row r="695">
      <c r="R695" t="s">
        <v>227</v>
      </c>
      <c r="S695" t="s">
        <v>227</v>
      </c>
      <c r="T695" t="s">
        <v>227</v>
      </c>
      <c r="U695" t="s">
        <v>227</v>
      </c>
      <c r="V695" t="s">
        <v>227</v>
      </c>
    </row>
    <row r="696">
      <c r="R696" t="s">
        <v>227</v>
      </c>
      <c r="S696" t="s">
        <v>227</v>
      </c>
      <c r="T696" t="s">
        <v>227</v>
      </c>
      <c r="U696" t="s">
        <v>227</v>
      </c>
      <c r="V696" t="s">
        <v>227</v>
      </c>
    </row>
    <row r="697">
      <c r="R697" t="s">
        <v>227</v>
      </c>
      <c r="S697" t="s">
        <v>227</v>
      </c>
      <c r="T697" t="s">
        <v>227</v>
      </c>
      <c r="U697" t="s">
        <v>227</v>
      </c>
      <c r="V697" t="s">
        <v>227</v>
      </c>
    </row>
    <row r="698">
      <c r="R698" t="s">
        <v>227</v>
      </c>
      <c r="S698" t="s">
        <v>227</v>
      </c>
      <c r="T698" t="s">
        <v>227</v>
      </c>
      <c r="U698" t="s">
        <v>227</v>
      </c>
      <c r="V698" t="s">
        <v>227</v>
      </c>
    </row>
    <row r="699">
      <c r="R699" t="s">
        <v>227</v>
      </c>
      <c r="S699" t="s">
        <v>227</v>
      </c>
      <c r="T699" t="s">
        <v>227</v>
      </c>
      <c r="U699" t="s">
        <v>227</v>
      </c>
      <c r="V699" t="s">
        <v>227</v>
      </c>
    </row>
    <row r="700">
      <c r="R700" t="s">
        <v>227</v>
      </c>
      <c r="S700" t="s">
        <v>227</v>
      </c>
      <c r="T700" t="s">
        <v>227</v>
      </c>
      <c r="U700" t="s">
        <v>227</v>
      </c>
      <c r="V700" t="s">
        <v>227</v>
      </c>
    </row>
    <row r="701">
      <c r="R701" t="s">
        <v>227</v>
      </c>
      <c r="S701" t="s">
        <v>227</v>
      </c>
      <c r="T701" t="s">
        <v>227</v>
      </c>
      <c r="U701" t="s">
        <v>227</v>
      </c>
      <c r="V701" t="s">
        <v>227</v>
      </c>
    </row>
    <row r="702">
      <c r="R702" t="s">
        <v>227</v>
      </c>
      <c r="S702" t="s">
        <v>227</v>
      </c>
      <c r="T702" t="s">
        <v>227</v>
      </c>
      <c r="U702" t="s">
        <v>227</v>
      </c>
      <c r="V702" t="s">
        <v>227</v>
      </c>
    </row>
    <row r="703">
      <c r="R703" t="s">
        <v>227</v>
      </c>
      <c r="S703" t="s">
        <v>227</v>
      </c>
      <c r="T703" t="s">
        <v>227</v>
      </c>
      <c r="U703" t="s">
        <v>227</v>
      </c>
      <c r="V703" t="s">
        <v>227</v>
      </c>
    </row>
    <row r="704">
      <c r="R704" t="s">
        <v>227</v>
      </c>
      <c r="S704" t="s">
        <v>227</v>
      </c>
      <c r="T704" t="s">
        <v>227</v>
      </c>
      <c r="U704" t="s">
        <v>227</v>
      </c>
      <c r="V704" t="s">
        <v>227</v>
      </c>
    </row>
    <row r="705">
      <c r="R705" t="s">
        <v>227</v>
      </c>
      <c r="S705" t="s">
        <v>227</v>
      </c>
      <c r="T705" t="s">
        <v>227</v>
      </c>
      <c r="U705" t="s">
        <v>227</v>
      </c>
      <c r="V705" t="s">
        <v>227</v>
      </c>
    </row>
    <row r="706">
      <c r="R706" t="s">
        <v>227</v>
      </c>
      <c r="S706" t="s">
        <v>227</v>
      </c>
      <c r="T706" t="s">
        <v>227</v>
      </c>
      <c r="U706" t="s">
        <v>227</v>
      </c>
      <c r="V706" t="s">
        <v>227</v>
      </c>
    </row>
    <row r="707">
      <c r="R707" t="s">
        <v>227</v>
      </c>
      <c r="S707" t="s">
        <v>227</v>
      </c>
      <c r="T707" t="s">
        <v>227</v>
      </c>
      <c r="U707" t="s">
        <v>227</v>
      </c>
      <c r="V707" t="s">
        <v>227</v>
      </c>
    </row>
    <row r="708">
      <c r="R708" t="s">
        <v>227</v>
      </c>
      <c r="S708" t="s">
        <v>227</v>
      </c>
      <c r="T708" t="s">
        <v>227</v>
      </c>
      <c r="U708" t="s">
        <v>227</v>
      </c>
      <c r="V708" t="s">
        <v>227</v>
      </c>
    </row>
    <row r="709">
      <c r="R709" t="s">
        <v>227</v>
      </c>
      <c r="S709" t="s">
        <v>227</v>
      </c>
      <c r="T709" t="s">
        <v>227</v>
      </c>
      <c r="U709" t="s">
        <v>227</v>
      </c>
      <c r="V709" t="s">
        <v>227</v>
      </c>
    </row>
    <row r="710">
      <c r="R710" t="s">
        <v>227</v>
      </c>
      <c r="S710" t="s">
        <v>227</v>
      </c>
      <c r="T710" t="s">
        <v>227</v>
      </c>
      <c r="U710" t="s">
        <v>227</v>
      </c>
      <c r="V710" t="s">
        <v>227</v>
      </c>
    </row>
    <row r="711">
      <c r="R711" t="s">
        <v>227</v>
      </c>
      <c r="S711" t="s">
        <v>227</v>
      </c>
      <c r="T711" t="s">
        <v>227</v>
      </c>
      <c r="U711" t="s">
        <v>227</v>
      </c>
      <c r="V711" t="s">
        <v>227</v>
      </c>
    </row>
    <row r="712">
      <c r="R712" t="s">
        <v>227</v>
      </c>
      <c r="S712" t="s">
        <v>227</v>
      </c>
      <c r="T712" t="s">
        <v>227</v>
      </c>
      <c r="U712" t="s">
        <v>227</v>
      </c>
      <c r="V712" t="s">
        <v>227</v>
      </c>
    </row>
    <row r="713">
      <c r="R713" t="s">
        <v>227</v>
      </c>
      <c r="S713" t="s">
        <v>227</v>
      </c>
      <c r="T713" t="s">
        <v>227</v>
      </c>
      <c r="U713" t="s">
        <v>227</v>
      </c>
      <c r="V713" t="s">
        <v>227</v>
      </c>
    </row>
    <row r="714">
      <c r="R714" t="s">
        <v>227</v>
      </c>
      <c r="S714" t="s">
        <v>227</v>
      </c>
      <c r="T714" t="s">
        <v>227</v>
      </c>
      <c r="U714" t="s">
        <v>227</v>
      </c>
      <c r="V714" t="s">
        <v>227</v>
      </c>
    </row>
    <row r="715">
      <c r="R715" t="s">
        <v>227</v>
      </c>
      <c r="S715" t="s">
        <v>227</v>
      </c>
      <c r="T715" t="s">
        <v>227</v>
      </c>
      <c r="U715" t="s">
        <v>227</v>
      </c>
      <c r="V715" t="s">
        <v>227</v>
      </c>
    </row>
    <row r="716">
      <c r="R716" t="s">
        <v>227</v>
      </c>
      <c r="S716" t="s">
        <v>227</v>
      </c>
      <c r="T716" t="s">
        <v>227</v>
      </c>
      <c r="U716" t="s">
        <v>227</v>
      </c>
      <c r="V716" t="s">
        <v>227</v>
      </c>
    </row>
    <row r="717">
      <c r="R717" t="s">
        <v>227</v>
      </c>
      <c r="S717" t="s">
        <v>227</v>
      </c>
      <c r="T717" t="s">
        <v>227</v>
      </c>
      <c r="U717" t="s">
        <v>227</v>
      </c>
      <c r="V717" t="s">
        <v>227</v>
      </c>
    </row>
    <row r="718">
      <c r="R718" t="s">
        <v>227</v>
      </c>
      <c r="S718" t="s">
        <v>227</v>
      </c>
      <c r="T718" t="s">
        <v>227</v>
      </c>
      <c r="U718" t="s">
        <v>227</v>
      </c>
      <c r="V718" t="s">
        <v>227</v>
      </c>
    </row>
    <row r="719">
      <c r="R719" t="s">
        <v>227</v>
      </c>
      <c r="S719" t="s">
        <v>227</v>
      </c>
      <c r="T719" t="s">
        <v>227</v>
      </c>
      <c r="U719" t="s">
        <v>227</v>
      </c>
      <c r="V719" t="s">
        <v>227</v>
      </c>
    </row>
    <row r="720">
      <c r="R720" t="s">
        <v>227</v>
      </c>
      <c r="S720" t="s">
        <v>227</v>
      </c>
      <c r="T720" t="s">
        <v>227</v>
      </c>
      <c r="U720" t="s">
        <v>227</v>
      </c>
      <c r="V720" t="s">
        <v>227</v>
      </c>
    </row>
    <row r="721">
      <c r="R721" t="s">
        <v>227</v>
      </c>
      <c r="S721" t="s">
        <v>227</v>
      </c>
      <c r="T721" t="s">
        <v>227</v>
      </c>
      <c r="U721" t="s">
        <v>227</v>
      </c>
      <c r="V721" t="s">
        <v>227</v>
      </c>
    </row>
    <row r="722">
      <c r="R722" t="s">
        <v>227</v>
      </c>
      <c r="S722" t="s">
        <v>227</v>
      </c>
      <c r="T722" t="s">
        <v>227</v>
      </c>
      <c r="U722" t="s">
        <v>227</v>
      </c>
      <c r="V722" t="s">
        <v>227</v>
      </c>
    </row>
    <row r="723">
      <c r="R723" t="s">
        <v>227</v>
      </c>
      <c r="S723" t="s">
        <v>227</v>
      </c>
      <c r="T723" t="s">
        <v>227</v>
      </c>
      <c r="U723" t="s">
        <v>227</v>
      </c>
      <c r="V723" t="s">
        <v>227</v>
      </c>
    </row>
    <row r="724">
      <c r="R724" t="s">
        <v>227</v>
      </c>
      <c r="S724" t="s">
        <v>227</v>
      </c>
      <c r="T724" t="s">
        <v>227</v>
      </c>
      <c r="U724" t="s">
        <v>227</v>
      </c>
      <c r="V724" t="s">
        <v>227</v>
      </c>
    </row>
    <row r="725">
      <c r="R725" t="s">
        <v>227</v>
      </c>
      <c r="S725" t="s">
        <v>227</v>
      </c>
      <c r="T725" t="s">
        <v>227</v>
      </c>
      <c r="U725" t="s">
        <v>227</v>
      </c>
      <c r="V725" t="s">
        <v>227</v>
      </c>
    </row>
    <row r="726">
      <c r="R726" t="s">
        <v>227</v>
      </c>
      <c r="S726" t="s">
        <v>227</v>
      </c>
      <c r="T726" t="s">
        <v>227</v>
      </c>
      <c r="U726" t="s">
        <v>227</v>
      </c>
      <c r="V726" t="s">
        <v>227</v>
      </c>
    </row>
    <row r="727">
      <c r="R727" t="s">
        <v>227</v>
      </c>
      <c r="S727" t="s">
        <v>227</v>
      </c>
      <c r="T727" t="s">
        <v>227</v>
      </c>
      <c r="U727" t="s">
        <v>227</v>
      </c>
      <c r="V727" t="s">
        <v>227</v>
      </c>
    </row>
    <row r="728">
      <c r="R728" t="s">
        <v>227</v>
      </c>
      <c r="S728" t="s">
        <v>227</v>
      </c>
      <c r="T728" t="s">
        <v>227</v>
      </c>
      <c r="U728" t="s">
        <v>227</v>
      </c>
      <c r="V728" t="s">
        <v>227</v>
      </c>
    </row>
    <row r="729">
      <c r="R729" t="s">
        <v>227</v>
      </c>
      <c r="S729" t="s">
        <v>227</v>
      </c>
      <c r="T729" t="s">
        <v>227</v>
      </c>
      <c r="U729" t="s">
        <v>227</v>
      </c>
      <c r="V729" t="s">
        <v>227</v>
      </c>
    </row>
    <row r="730">
      <c r="R730" t="s">
        <v>227</v>
      </c>
      <c r="S730" t="s">
        <v>227</v>
      </c>
      <c r="T730" t="s">
        <v>227</v>
      </c>
      <c r="U730" t="s">
        <v>227</v>
      </c>
      <c r="V730" t="s">
        <v>227</v>
      </c>
    </row>
    <row r="731">
      <c r="R731" t="s">
        <v>227</v>
      </c>
      <c r="S731" t="s">
        <v>227</v>
      </c>
      <c r="T731" t="s">
        <v>227</v>
      </c>
      <c r="U731" t="s">
        <v>227</v>
      </c>
      <c r="V731" t="s">
        <v>227</v>
      </c>
    </row>
    <row r="732">
      <c r="R732" t="s">
        <v>227</v>
      </c>
      <c r="S732" t="s">
        <v>227</v>
      </c>
      <c r="T732" t="s">
        <v>227</v>
      </c>
      <c r="U732" t="s">
        <v>227</v>
      </c>
      <c r="V732" t="s">
        <v>227</v>
      </c>
    </row>
    <row r="733">
      <c r="R733" t="s">
        <v>227</v>
      </c>
      <c r="S733" t="s">
        <v>227</v>
      </c>
      <c r="T733" t="s">
        <v>227</v>
      </c>
      <c r="U733" t="s">
        <v>227</v>
      </c>
      <c r="V733" t="s">
        <v>227</v>
      </c>
    </row>
    <row r="734">
      <c r="R734" t="s">
        <v>227</v>
      </c>
      <c r="S734" t="s">
        <v>227</v>
      </c>
      <c r="T734" t="s">
        <v>227</v>
      </c>
      <c r="U734" t="s">
        <v>227</v>
      </c>
      <c r="V734" t="s">
        <v>227</v>
      </c>
    </row>
    <row r="735">
      <c r="R735" t="s">
        <v>227</v>
      </c>
      <c r="S735" t="s">
        <v>227</v>
      </c>
      <c r="T735" t="s">
        <v>227</v>
      </c>
      <c r="U735" t="s">
        <v>227</v>
      </c>
      <c r="V735" t="s">
        <v>227</v>
      </c>
    </row>
    <row r="736">
      <c r="R736" t="s">
        <v>227</v>
      </c>
      <c r="S736" t="s">
        <v>227</v>
      </c>
      <c r="T736" t="s">
        <v>227</v>
      </c>
      <c r="U736" t="s">
        <v>227</v>
      </c>
      <c r="V736" t="s">
        <v>227</v>
      </c>
    </row>
    <row r="737">
      <c r="R737" t="s">
        <v>227</v>
      </c>
      <c r="S737" t="s">
        <v>227</v>
      </c>
      <c r="T737" t="s">
        <v>227</v>
      </c>
      <c r="U737" t="s">
        <v>227</v>
      </c>
      <c r="V737" t="s">
        <v>227</v>
      </c>
    </row>
    <row r="738">
      <c r="R738" t="s">
        <v>227</v>
      </c>
      <c r="S738" t="s">
        <v>227</v>
      </c>
      <c r="T738" t="s">
        <v>227</v>
      </c>
      <c r="U738" t="s">
        <v>227</v>
      </c>
      <c r="V738" t="s">
        <v>227</v>
      </c>
    </row>
    <row r="739">
      <c r="R739" t="s">
        <v>227</v>
      </c>
      <c r="S739" t="s">
        <v>227</v>
      </c>
      <c r="T739" t="s">
        <v>227</v>
      </c>
      <c r="U739" t="s">
        <v>227</v>
      </c>
      <c r="V739" t="s">
        <v>227</v>
      </c>
    </row>
    <row r="740">
      <c r="R740" t="s">
        <v>227</v>
      </c>
      <c r="S740" t="s">
        <v>227</v>
      </c>
      <c r="T740" t="s">
        <v>227</v>
      </c>
      <c r="U740" t="s">
        <v>227</v>
      </c>
      <c r="V740" t="s">
        <v>227</v>
      </c>
    </row>
    <row r="741">
      <c r="R741" t="s">
        <v>227</v>
      </c>
      <c r="S741" t="s">
        <v>227</v>
      </c>
      <c r="T741" t="s">
        <v>227</v>
      </c>
      <c r="U741" t="s">
        <v>227</v>
      </c>
      <c r="V741" t="s">
        <v>227</v>
      </c>
    </row>
    <row r="742">
      <c r="R742" t="s">
        <v>227</v>
      </c>
      <c r="S742" t="s">
        <v>227</v>
      </c>
      <c r="T742" t="s">
        <v>227</v>
      </c>
      <c r="U742" t="s">
        <v>227</v>
      </c>
      <c r="V742" t="s">
        <v>227</v>
      </c>
    </row>
    <row r="743">
      <c r="R743" t="s">
        <v>227</v>
      </c>
      <c r="S743" t="s">
        <v>227</v>
      </c>
      <c r="T743" t="s">
        <v>227</v>
      </c>
      <c r="U743" t="s">
        <v>227</v>
      </c>
      <c r="V743" t="s">
        <v>227</v>
      </c>
    </row>
    <row r="744">
      <c r="R744" t="s">
        <v>227</v>
      </c>
      <c r="S744" t="s">
        <v>227</v>
      </c>
      <c r="T744" t="s">
        <v>227</v>
      </c>
      <c r="U744" t="s">
        <v>227</v>
      </c>
      <c r="V744" t="s">
        <v>227</v>
      </c>
    </row>
    <row r="745">
      <c r="R745" t="s">
        <v>227</v>
      </c>
      <c r="S745" t="s">
        <v>227</v>
      </c>
      <c r="T745" t="s">
        <v>227</v>
      </c>
      <c r="U745" t="s">
        <v>227</v>
      </c>
      <c r="V745" t="s">
        <v>227</v>
      </c>
    </row>
    <row r="746">
      <c r="R746" t="s">
        <v>227</v>
      </c>
      <c r="S746" t="s">
        <v>227</v>
      </c>
      <c r="T746" t="s">
        <v>227</v>
      </c>
      <c r="U746" t="s">
        <v>227</v>
      </c>
      <c r="V746" t="s">
        <v>227</v>
      </c>
    </row>
    <row r="747">
      <c r="R747" t="s">
        <v>227</v>
      </c>
      <c r="S747" t="s">
        <v>227</v>
      </c>
      <c r="T747" t="s">
        <v>227</v>
      </c>
      <c r="U747" t="s">
        <v>227</v>
      </c>
      <c r="V747" t="s">
        <v>227</v>
      </c>
    </row>
    <row r="748">
      <c r="R748" t="s">
        <v>227</v>
      </c>
      <c r="S748" t="s">
        <v>227</v>
      </c>
      <c r="T748" t="s">
        <v>227</v>
      </c>
      <c r="U748" t="s">
        <v>227</v>
      </c>
      <c r="V748" t="s">
        <v>227</v>
      </c>
    </row>
    <row r="749">
      <c r="R749" t="s">
        <v>227</v>
      </c>
      <c r="S749" t="s">
        <v>227</v>
      </c>
      <c r="T749" t="s">
        <v>227</v>
      </c>
      <c r="U749" t="s">
        <v>227</v>
      </c>
      <c r="V749" t="s">
        <v>227</v>
      </c>
    </row>
    <row r="750">
      <c r="R750" t="s">
        <v>227</v>
      </c>
      <c r="S750" t="s">
        <v>227</v>
      </c>
      <c r="T750" t="s">
        <v>227</v>
      </c>
      <c r="U750" t="s">
        <v>227</v>
      </c>
      <c r="V750" t="s">
        <v>227</v>
      </c>
    </row>
    <row r="751">
      <c r="R751" t="s">
        <v>227</v>
      </c>
      <c r="S751" t="s">
        <v>227</v>
      </c>
      <c r="T751" t="s">
        <v>227</v>
      </c>
      <c r="U751" t="s">
        <v>227</v>
      </c>
      <c r="V751" t="s">
        <v>227</v>
      </c>
    </row>
    <row r="752">
      <c r="R752" t="s">
        <v>227</v>
      </c>
      <c r="S752" t="s">
        <v>227</v>
      </c>
      <c r="T752" t="s">
        <v>227</v>
      </c>
      <c r="U752" t="s">
        <v>227</v>
      </c>
      <c r="V752" t="s">
        <v>227</v>
      </c>
    </row>
    <row r="753">
      <c r="R753" t="s">
        <v>227</v>
      </c>
      <c r="S753" t="s">
        <v>227</v>
      </c>
      <c r="T753" t="s">
        <v>227</v>
      </c>
      <c r="U753" t="s">
        <v>227</v>
      </c>
      <c r="V753" t="s">
        <v>227</v>
      </c>
    </row>
    <row r="754">
      <c r="R754" t="s">
        <v>227</v>
      </c>
      <c r="S754" t="s">
        <v>227</v>
      </c>
      <c r="T754" t="s">
        <v>227</v>
      </c>
      <c r="U754" t="s">
        <v>227</v>
      </c>
      <c r="V754" t="s">
        <v>227</v>
      </c>
    </row>
    <row r="755">
      <c r="R755" t="s">
        <v>227</v>
      </c>
      <c r="S755" t="s">
        <v>227</v>
      </c>
      <c r="T755" t="s">
        <v>227</v>
      </c>
      <c r="U755" t="s">
        <v>227</v>
      </c>
      <c r="V755" t="s">
        <v>227</v>
      </c>
    </row>
    <row r="756">
      <c r="R756" t="s">
        <v>227</v>
      </c>
      <c r="S756" t="s">
        <v>227</v>
      </c>
      <c r="T756" t="s">
        <v>227</v>
      </c>
      <c r="U756" t="s">
        <v>227</v>
      </c>
      <c r="V756" t="s">
        <v>227</v>
      </c>
    </row>
    <row r="757">
      <c r="R757" t="s">
        <v>227</v>
      </c>
      <c r="S757" t="s">
        <v>227</v>
      </c>
      <c r="T757" t="s">
        <v>227</v>
      </c>
      <c r="U757" t="s">
        <v>227</v>
      </c>
      <c r="V757" t="s">
        <v>227</v>
      </c>
    </row>
    <row r="758">
      <c r="R758" t="s">
        <v>227</v>
      </c>
      <c r="S758" t="s">
        <v>227</v>
      </c>
      <c r="T758" t="s">
        <v>227</v>
      </c>
      <c r="U758" t="s">
        <v>227</v>
      </c>
      <c r="V758" t="s">
        <v>227</v>
      </c>
    </row>
    <row r="759">
      <c r="R759" t="s">
        <v>227</v>
      </c>
      <c r="S759" t="s">
        <v>227</v>
      </c>
      <c r="T759" t="s">
        <v>227</v>
      </c>
      <c r="U759" t="s">
        <v>227</v>
      </c>
      <c r="V759" t="s">
        <v>227</v>
      </c>
    </row>
    <row r="760">
      <c r="R760" t="s">
        <v>227</v>
      </c>
      <c r="S760" t="s">
        <v>227</v>
      </c>
      <c r="T760" t="s">
        <v>227</v>
      </c>
      <c r="U760" t="s">
        <v>227</v>
      </c>
      <c r="V760" t="s">
        <v>227</v>
      </c>
    </row>
    <row r="761">
      <c r="R761" t="s">
        <v>227</v>
      </c>
      <c r="S761" t="s">
        <v>227</v>
      </c>
      <c r="T761" t="s">
        <v>227</v>
      </c>
      <c r="U761" t="s">
        <v>227</v>
      </c>
      <c r="V761" t="s">
        <v>227</v>
      </c>
    </row>
    <row r="762">
      <c r="R762" t="s">
        <v>227</v>
      </c>
      <c r="S762" t="s">
        <v>227</v>
      </c>
      <c r="T762" t="s">
        <v>227</v>
      </c>
      <c r="U762" t="s">
        <v>227</v>
      </c>
      <c r="V762" t="s">
        <v>227</v>
      </c>
    </row>
    <row r="763">
      <c r="R763" t="s">
        <v>227</v>
      </c>
      <c r="S763" t="s">
        <v>227</v>
      </c>
      <c r="T763" t="s">
        <v>227</v>
      </c>
      <c r="U763" t="s">
        <v>227</v>
      </c>
      <c r="V763" t="s">
        <v>227</v>
      </c>
    </row>
    <row r="764">
      <c r="R764" t="s">
        <v>227</v>
      </c>
      <c r="S764" t="s">
        <v>227</v>
      </c>
      <c r="T764" t="s">
        <v>227</v>
      </c>
      <c r="U764" t="s">
        <v>227</v>
      </c>
      <c r="V764" t="s">
        <v>227</v>
      </c>
    </row>
    <row r="765">
      <c r="R765" t="s">
        <v>227</v>
      </c>
      <c r="S765" t="s">
        <v>227</v>
      </c>
      <c r="T765" t="s">
        <v>227</v>
      </c>
      <c r="U765" t="s">
        <v>227</v>
      </c>
      <c r="V765" t="s">
        <v>227</v>
      </c>
    </row>
    <row r="766">
      <c r="R766" t="s">
        <v>227</v>
      </c>
      <c r="S766" t="s">
        <v>227</v>
      </c>
      <c r="T766" t="s">
        <v>227</v>
      </c>
      <c r="U766" t="s">
        <v>227</v>
      </c>
      <c r="V766" t="s">
        <v>227</v>
      </c>
    </row>
    <row r="767">
      <c r="R767" t="s">
        <v>227</v>
      </c>
      <c r="S767" t="s">
        <v>227</v>
      </c>
      <c r="T767" t="s">
        <v>227</v>
      </c>
      <c r="U767" t="s">
        <v>227</v>
      </c>
      <c r="V767" t="s">
        <v>227</v>
      </c>
    </row>
    <row r="768">
      <c r="R768" t="s">
        <v>227</v>
      </c>
      <c r="S768" t="s">
        <v>227</v>
      </c>
      <c r="T768" t="s">
        <v>227</v>
      </c>
      <c r="U768" t="s">
        <v>227</v>
      </c>
      <c r="V768" t="s">
        <v>227</v>
      </c>
    </row>
    <row r="769">
      <c r="R769" t="s">
        <v>227</v>
      </c>
      <c r="S769" t="s">
        <v>227</v>
      </c>
      <c r="T769" t="s">
        <v>227</v>
      </c>
      <c r="U769" t="s">
        <v>227</v>
      </c>
      <c r="V769" t="s">
        <v>227</v>
      </c>
    </row>
    <row r="770">
      <c r="R770" t="s">
        <v>227</v>
      </c>
      <c r="S770" t="s">
        <v>227</v>
      </c>
      <c r="T770" t="s">
        <v>227</v>
      </c>
      <c r="U770" t="s">
        <v>227</v>
      </c>
      <c r="V770" t="s">
        <v>227</v>
      </c>
    </row>
    <row r="771">
      <c r="R771" t="s">
        <v>227</v>
      </c>
      <c r="S771" t="s">
        <v>227</v>
      </c>
      <c r="T771" t="s">
        <v>227</v>
      </c>
      <c r="U771" t="s">
        <v>227</v>
      </c>
      <c r="V771" t="s">
        <v>227</v>
      </c>
    </row>
    <row r="772">
      <c r="R772" t="s">
        <v>227</v>
      </c>
      <c r="S772" t="s">
        <v>227</v>
      </c>
      <c r="T772" t="s">
        <v>227</v>
      </c>
      <c r="U772" t="s">
        <v>227</v>
      </c>
      <c r="V772" t="s">
        <v>227</v>
      </c>
    </row>
    <row r="773">
      <c r="R773" t="s">
        <v>227</v>
      </c>
      <c r="S773" t="s">
        <v>227</v>
      </c>
      <c r="T773" t="s">
        <v>227</v>
      </c>
      <c r="U773" t="s">
        <v>227</v>
      </c>
      <c r="V773" t="s">
        <v>227</v>
      </c>
    </row>
    <row r="774">
      <c r="R774" t="s">
        <v>227</v>
      </c>
      <c r="S774" t="s">
        <v>227</v>
      </c>
      <c r="T774" t="s">
        <v>227</v>
      </c>
      <c r="U774" t="s">
        <v>227</v>
      </c>
      <c r="V774" t="s">
        <v>227</v>
      </c>
    </row>
    <row r="775">
      <c r="R775" t="s">
        <v>227</v>
      </c>
      <c r="S775" t="s">
        <v>227</v>
      </c>
      <c r="T775" t="s">
        <v>227</v>
      </c>
      <c r="U775" t="s">
        <v>227</v>
      </c>
      <c r="V775" t="s">
        <v>227</v>
      </c>
    </row>
    <row r="776">
      <c r="R776" t="s">
        <v>227</v>
      </c>
      <c r="S776" t="s">
        <v>227</v>
      </c>
      <c r="T776" t="s">
        <v>227</v>
      </c>
      <c r="U776" t="s">
        <v>227</v>
      </c>
      <c r="V776" t="s">
        <v>227</v>
      </c>
    </row>
    <row r="777">
      <c r="R777" t="s">
        <v>227</v>
      </c>
      <c r="S777" t="s">
        <v>227</v>
      </c>
      <c r="T777" t="s">
        <v>227</v>
      </c>
      <c r="U777" t="s">
        <v>227</v>
      </c>
      <c r="V777" t="s">
        <v>227</v>
      </c>
    </row>
    <row r="778">
      <c r="R778" t="s">
        <v>227</v>
      </c>
      <c r="S778" t="s">
        <v>227</v>
      </c>
      <c r="T778" t="s">
        <v>227</v>
      </c>
      <c r="U778" t="s">
        <v>227</v>
      </c>
      <c r="V778" t="s">
        <v>227</v>
      </c>
    </row>
    <row r="779">
      <c r="R779" t="s">
        <v>227</v>
      </c>
      <c r="S779" t="s">
        <v>227</v>
      </c>
      <c r="T779" t="s">
        <v>227</v>
      </c>
      <c r="U779" t="s">
        <v>227</v>
      </c>
      <c r="V779" t="s">
        <v>227</v>
      </c>
    </row>
    <row r="780">
      <c r="R780" t="s">
        <v>227</v>
      </c>
      <c r="S780" t="s">
        <v>227</v>
      </c>
      <c r="T780" t="s">
        <v>227</v>
      </c>
      <c r="U780" t="s">
        <v>227</v>
      </c>
      <c r="V780" t="s">
        <v>227</v>
      </c>
    </row>
    <row r="781">
      <c r="R781" t="s">
        <v>227</v>
      </c>
      <c r="S781" t="s">
        <v>227</v>
      </c>
      <c r="T781" t="s">
        <v>227</v>
      </c>
      <c r="U781" t="s">
        <v>227</v>
      </c>
      <c r="V781" t="s">
        <v>227</v>
      </c>
    </row>
    <row r="782">
      <c r="R782" t="s">
        <v>227</v>
      </c>
      <c r="S782" t="s">
        <v>227</v>
      </c>
      <c r="T782" t="s">
        <v>227</v>
      </c>
      <c r="U782" t="s">
        <v>227</v>
      </c>
      <c r="V782" t="s">
        <v>227</v>
      </c>
    </row>
    <row r="783">
      <c r="R783" t="s">
        <v>227</v>
      </c>
      <c r="S783" t="s">
        <v>227</v>
      </c>
      <c r="T783" t="s">
        <v>227</v>
      </c>
      <c r="U783" t="s">
        <v>227</v>
      </c>
      <c r="V783" t="s">
        <v>227</v>
      </c>
    </row>
    <row r="784">
      <c r="R784" t="s">
        <v>227</v>
      </c>
      <c r="S784" t="s">
        <v>227</v>
      </c>
      <c r="T784" t="s">
        <v>227</v>
      </c>
      <c r="U784" t="s">
        <v>227</v>
      </c>
      <c r="V784" t="s">
        <v>227</v>
      </c>
    </row>
    <row r="785">
      <c r="R785" t="s">
        <v>227</v>
      </c>
      <c r="S785" t="s">
        <v>227</v>
      </c>
      <c r="T785" t="s">
        <v>227</v>
      </c>
      <c r="U785" t="s">
        <v>227</v>
      </c>
      <c r="V785" t="s">
        <v>227</v>
      </c>
    </row>
    <row r="786">
      <c r="R786" t="s">
        <v>227</v>
      </c>
      <c r="S786" t="s">
        <v>227</v>
      </c>
      <c r="T786" t="s">
        <v>227</v>
      </c>
      <c r="U786" t="s">
        <v>227</v>
      </c>
      <c r="V786" t="s">
        <v>227</v>
      </c>
    </row>
    <row r="787">
      <c r="R787" t="s">
        <v>227</v>
      </c>
      <c r="S787" t="s">
        <v>227</v>
      </c>
      <c r="T787" t="s">
        <v>227</v>
      </c>
      <c r="U787" t="s">
        <v>227</v>
      </c>
      <c r="V787" t="s">
        <v>227</v>
      </c>
    </row>
    <row r="788">
      <c r="R788" t="s">
        <v>227</v>
      </c>
      <c r="S788" t="s">
        <v>227</v>
      </c>
      <c r="T788" t="s">
        <v>227</v>
      </c>
      <c r="U788" t="s">
        <v>227</v>
      </c>
      <c r="V788" t="s">
        <v>227</v>
      </c>
    </row>
    <row r="789">
      <c r="R789" t="s">
        <v>227</v>
      </c>
      <c r="S789" t="s">
        <v>227</v>
      </c>
      <c r="T789" t="s">
        <v>227</v>
      </c>
      <c r="U789" t="s">
        <v>227</v>
      </c>
      <c r="V789" t="s">
        <v>227</v>
      </c>
    </row>
    <row r="790">
      <c r="R790" t="s">
        <v>227</v>
      </c>
      <c r="S790" t="s">
        <v>227</v>
      </c>
      <c r="T790" t="s">
        <v>227</v>
      </c>
      <c r="U790" t="s">
        <v>227</v>
      </c>
      <c r="V790" t="s">
        <v>227</v>
      </c>
    </row>
    <row r="791">
      <c r="R791" t="s">
        <v>227</v>
      </c>
      <c r="S791" t="s">
        <v>227</v>
      </c>
      <c r="T791" t="s">
        <v>227</v>
      </c>
      <c r="U791" t="s">
        <v>227</v>
      </c>
      <c r="V791" t="s">
        <v>227</v>
      </c>
    </row>
    <row r="792">
      <c r="R792" t="s">
        <v>227</v>
      </c>
      <c r="S792" t="s">
        <v>227</v>
      </c>
      <c r="T792" t="s">
        <v>227</v>
      </c>
      <c r="U792" t="s">
        <v>227</v>
      </c>
      <c r="V792" t="s">
        <v>227</v>
      </c>
    </row>
    <row r="793">
      <c r="R793" t="s">
        <v>227</v>
      </c>
      <c r="S793" t="s">
        <v>227</v>
      </c>
      <c r="T793" t="s">
        <v>227</v>
      </c>
      <c r="U793" t="s">
        <v>227</v>
      </c>
      <c r="V793" t="s">
        <v>227</v>
      </c>
    </row>
    <row r="794">
      <c r="R794" t="s">
        <v>227</v>
      </c>
      <c r="S794" t="s">
        <v>227</v>
      </c>
      <c r="T794" t="s">
        <v>227</v>
      </c>
      <c r="U794" t="s">
        <v>227</v>
      </c>
      <c r="V794" t="s">
        <v>227</v>
      </c>
    </row>
    <row r="795">
      <c r="R795" t="s">
        <v>227</v>
      </c>
      <c r="S795" t="s">
        <v>227</v>
      </c>
      <c r="T795" t="s">
        <v>227</v>
      </c>
      <c r="U795" t="s">
        <v>227</v>
      </c>
      <c r="V795" t="s">
        <v>227</v>
      </c>
    </row>
    <row r="796">
      <c r="R796" t="s">
        <v>227</v>
      </c>
      <c r="S796" t="s">
        <v>227</v>
      </c>
      <c r="T796" t="s">
        <v>227</v>
      </c>
      <c r="U796" t="s">
        <v>227</v>
      </c>
      <c r="V796" t="s">
        <v>227</v>
      </c>
    </row>
    <row r="797">
      <c r="R797" t="s">
        <v>227</v>
      </c>
      <c r="S797" t="s">
        <v>227</v>
      </c>
      <c r="T797" t="s">
        <v>227</v>
      </c>
      <c r="U797" t="s">
        <v>227</v>
      </c>
      <c r="V797" t="s">
        <v>227</v>
      </c>
    </row>
    <row r="798">
      <c r="R798" t="s">
        <v>227</v>
      </c>
      <c r="S798" t="s">
        <v>227</v>
      </c>
      <c r="T798" t="s">
        <v>227</v>
      </c>
      <c r="U798" t="s">
        <v>227</v>
      </c>
      <c r="V798" t="s">
        <v>227</v>
      </c>
    </row>
    <row r="799">
      <c r="R799" t="s">
        <v>227</v>
      </c>
      <c r="S799" t="s">
        <v>227</v>
      </c>
      <c r="T799" t="s">
        <v>227</v>
      </c>
      <c r="U799" t="s">
        <v>227</v>
      </c>
      <c r="V799" t="s">
        <v>227</v>
      </c>
    </row>
    <row r="800">
      <c r="R800" t="s">
        <v>227</v>
      </c>
      <c r="S800" t="s">
        <v>227</v>
      </c>
      <c r="T800" t="s">
        <v>227</v>
      </c>
      <c r="U800" t="s">
        <v>227</v>
      </c>
      <c r="V800" t="s">
        <v>227</v>
      </c>
    </row>
    <row r="801">
      <c r="R801" t="s">
        <v>227</v>
      </c>
      <c r="S801" t="s">
        <v>227</v>
      </c>
      <c r="T801" t="s">
        <v>227</v>
      </c>
      <c r="U801" t="s">
        <v>227</v>
      </c>
      <c r="V801" t="s">
        <v>227</v>
      </c>
    </row>
    <row r="802">
      <c r="R802" t="s">
        <v>227</v>
      </c>
      <c r="S802" t="s">
        <v>227</v>
      </c>
      <c r="T802" t="s">
        <v>227</v>
      </c>
      <c r="U802" t="s">
        <v>227</v>
      </c>
      <c r="V802" t="s">
        <v>227</v>
      </c>
    </row>
    <row r="803">
      <c r="R803" t="s">
        <v>227</v>
      </c>
      <c r="S803" t="s">
        <v>227</v>
      </c>
      <c r="T803" t="s">
        <v>227</v>
      </c>
      <c r="U803" t="s">
        <v>227</v>
      </c>
      <c r="V803" t="s">
        <v>227</v>
      </c>
    </row>
    <row r="804">
      <c r="R804" t="s">
        <v>227</v>
      </c>
      <c r="S804" t="s">
        <v>227</v>
      </c>
      <c r="T804" t="s">
        <v>227</v>
      </c>
      <c r="U804" t="s">
        <v>227</v>
      </c>
      <c r="V804" t="s">
        <v>227</v>
      </c>
    </row>
    <row r="805">
      <c r="R805" t="s">
        <v>227</v>
      </c>
      <c r="S805" t="s">
        <v>227</v>
      </c>
      <c r="T805" t="s">
        <v>227</v>
      </c>
      <c r="U805" t="s">
        <v>227</v>
      </c>
      <c r="V805" t="s">
        <v>227</v>
      </c>
    </row>
    <row r="806">
      <c r="R806" t="s">
        <v>227</v>
      </c>
      <c r="S806" t="s">
        <v>227</v>
      </c>
      <c r="T806" t="s">
        <v>227</v>
      </c>
      <c r="U806" t="s">
        <v>227</v>
      </c>
      <c r="V806" t="s">
        <v>227</v>
      </c>
    </row>
    <row r="807">
      <c r="R807" t="s">
        <v>227</v>
      </c>
      <c r="S807" t="s">
        <v>227</v>
      </c>
      <c r="T807" t="s">
        <v>227</v>
      </c>
      <c r="U807" t="s">
        <v>227</v>
      </c>
      <c r="V807" t="s">
        <v>227</v>
      </c>
    </row>
    <row r="808">
      <c r="R808" t="s">
        <v>227</v>
      </c>
      <c r="S808" t="s">
        <v>227</v>
      </c>
      <c r="T808" t="s">
        <v>227</v>
      </c>
      <c r="U808" t="s">
        <v>227</v>
      </c>
      <c r="V808" t="s">
        <v>227</v>
      </c>
    </row>
    <row r="809">
      <c r="R809" t="s">
        <v>227</v>
      </c>
      <c r="S809" t="s">
        <v>227</v>
      </c>
      <c r="T809" t="s">
        <v>227</v>
      </c>
      <c r="U809" t="s">
        <v>227</v>
      </c>
      <c r="V809" t="s">
        <v>227</v>
      </c>
    </row>
    <row r="810">
      <c r="R810" t="s">
        <v>227</v>
      </c>
      <c r="S810" t="s">
        <v>227</v>
      </c>
      <c r="T810" t="s">
        <v>227</v>
      </c>
      <c r="U810" t="s">
        <v>227</v>
      </c>
      <c r="V810" t="s">
        <v>227</v>
      </c>
    </row>
    <row r="811">
      <c r="R811" t="s">
        <v>227</v>
      </c>
      <c r="S811" t="s">
        <v>227</v>
      </c>
      <c r="T811" t="s">
        <v>227</v>
      </c>
      <c r="U811" t="s">
        <v>227</v>
      </c>
      <c r="V811" t="s">
        <v>227</v>
      </c>
    </row>
    <row r="812">
      <c r="R812" t="s">
        <v>227</v>
      </c>
      <c r="S812" t="s">
        <v>227</v>
      </c>
      <c r="T812" t="s">
        <v>227</v>
      </c>
      <c r="U812" t="s">
        <v>227</v>
      </c>
      <c r="V812" t="s">
        <v>227</v>
      </c>
    </row>
    <row r="813">
      <c r="R813" t="s">
        <v>227</v>
      </c>
      <c r="S813" t="s">
        <v>227</v>
      </c>
      <c r="T813" t="s">
        <v>227</v>
      </c>
      <c r="U813" t="s">
        <v>227</v>
      </c>
      <c r="V813" t="s">
        <v>227</v>
      </c>
    </row>
    <row r="814">
      <c r="R814" t="s">
        <v>227</v>
      </c>
      <c r="S814" t="s">
        <v>227</v>
      </c>
      <c r="T814" t="s">
        <v>227</v>
      </c>
      <c r="U814" t="s">
        <v>227</v>
      </c>
      <c r="V814" t="s">
        <v>227</v>
      </c>
    </row>
    <row r="815">
      <c r="R815" t="s">
        <v>227</v>
      </c>
      <c r="S815" t="s">
        <v>227</v>
      </c>
      <c r="T815" t="s">
        <v>227</v>
      </c>
      <c r="U815" t="s">
        <v>227</v>
      </c>
      <c r="V815" t="s">
        <v>227</v>
      </c>
    </row>
    <row r="816">
      <c r="R816" t="s">
        <v>227</v>
      </c>
      <c r="S816" t="s">
        <v>227</v>
      </c>
      <c r="T816" t="s">
        <v>227</v>
      </c>
      <c r="U816" t="s">
        <v>227</v>
      </c>
      <c r="V816" t="s">
        <v>227</v>
      </c>
    </row>
    <row r="817">
      <c r="R817" t="s">
        <v>227</v>
      </c>
      <c r="S817" t="s">
        <v>227</v>
      </c>
      <c r="T817" t="s">
        <v>227</v>
      </c>
      <c r="U817" t="s">
        <v>227</v>
      </c>
      <c r="V817" t="s">
        <v>227</v>
      </c>
    </row>
    <row r="818">
      <c r="R818" t="s">
        <v>227</v>
      </c>
      <c r="S818" t="s">
        <v>227</v>
      </c>
      <c r="T818" t="s">
        <v>227</v>
      </c>
      <c r="U818" t="s">
        <v>227</v>
      </c>
      <c r="V818" t="s">
        <v>227</v>
      </c>
    </row>
    <row r="819">
      <c r="R819" t="s">
        <v>227</v>
      </c>
      <c r="S819" t="s">
        <v>227</v>
      </c>
      <c r="T819" t="s">
        <v>227</v>
      </c>
      <c r="U819" t="s">
        <v>227</v>
      </c>
      <c r="V819" t="s">
        <v>227</v>
      </c>
    </row>
    <row r="820">
      <c r="R820" t="s">
        <v>227</v>
      </c>
      <c r="S820" t="s">
        <v>227</v>
      </c>
      <c r="T820" t="s">
        <v>227</v>
      </c>
      <c r="U820" t="s">
        <v>227</v>
      </c>
      <c r="V820" t="s">
        <v>227</v>
      </c>
    </row>
    <row r="821">
      <c r="R821" t="s">
        <v>227</v>
      </c>
      <c r="S821" t="s">
        <v>227</v>
      </c>
      <c r="T821" t="s">
        <v>227</v>
      </c>
      <c r="U821" t="s">
        <v>227</v>
      </c>
      <c r="V821" t="s">
        <v>227</v>
      </c>
    </row>
    <row r="822">
      <c r="R822" t="s">
        <v>227</v>
      </c>
      <c r="S822" t="s">
        <v>227</v>
      </c>
      <c r="T822" t="s">
        <v>227</v>
      </c>
      <c r="U822" t="s">
        <v>227</v>
      </c>
      <c r="V822" t="s">
        <v>227</v>
      </c>
    </row>
    <row r="823">
      <c r="R823" t="s">
        <v>227</v>
      </c>
      <c r="S823" t="s">
        <v>227</v>
      </c>
      <c r="T823" t="s">
        <v>227</v>
      </c>
      <c r="U823" t="s">
        <v>227</v>
      </c>
      <c r="V823" t="s">
        <v>227</v>
      </c>
    </row>
    <row r="824">
      <c r="R824" t="s">
        <v>227</v>
      </c>
      <c r="S824" t="s">
        <v>227</v>
      </c>
      <c r="T824" t="s">
        <v>227</v>
      </c>
      <c r="U824" t="s">
        <v>227</v>
      </c>
      <c r="V824" t="s">
        <v>227</v>
      </c>
    </row>
    <row r="825">
      <c r="R825" t="s">
        <v>227</v>
      </c>
      <c r="S825" t="s">
        <v>227</v>
      </c>
      <c r="T825" t="s">
        <v>227</v>
      </c>
      <c r="U825" t="s">
        <v>227</v>
      </c>
      <c r="V825" t="s">
        <v>227</v>
      </c>
    </row>
    <row r="826">
      <c r="R826" t="s">
        <v>227</v>
      </c>
      <c r="S826" t="s">
        <v>227</v>
      </c>
      <c r="T826" t="s">
        <v>227</v>
      </c>
      <c r="U826" t="s">
        <v>227</v>
      </c>
      <c r="V826" t="s">
        <v>227</v>
      </c>
    </row>
    <row r="827">
      <c r="R827" t="s">
        <v>227</v>
      </c>
      <c r="S827" t="s">
        <v>227</v>
      </c>
      <c r="T827" t="s">
        <v>227</v>
      </c>
      <c r="U827" t="s">
        <v>227</v>
      </c>
      <c r="V827" t="s">
        <v>227</v>
      </c>
    </row>
    <row r="828">
      <c r="R828" t="s">
        <v>227</v>
      </c>
      <c r="S828" t="s">
        <v>227</v>
      </c>
      <c r="T828" t="s">
        <v>227</v>
      </c>
      <c r="U828" t="s">
        <v>227</v>
      </c>
      <c r="V828" t="s">
        <v>227</v>
      </c>
    </row>
    <row r="829">
      <c r="R829" t="s">
        <v>227</v>
      </c>
      <c r="S829" t="s">
        <v>227</v>
      </c>
      <c r="T829" t="s">
        <v>227</v>
      </c>
      <c r="U829" t="s">
        <v>227</v>
      </c>
      <c r="V829" t="s">
        <v>227</v>
      </c>
    </row>
    <row r="830">
      <c r="R830" t="s">
        <v>227</v>
      </c>
      <c r="S830" t="s">
        <v>227</v>
      </c>
      <c r="T830" t="s">
        <v>227</v>
      </c>
      <c r="U830" t="s">
        <v>227</v>
      </c>
      <c r="V830" t="s">
        <v>227</v>
      </c>
    </row>
    <row r="831">
      <c r="R831" t="s">
        <v>227</v>
      </c>
      <c r="S831" t="s">
        <v>227</v>
      </c>
      <c r="T831" t="s">
        <v>227</v>
      </c>
      <c r="U831" t="s">
        <v>227</v>
      </c>
      <c r="V831" t="s">
        <v>227</v>
      </c>
    </row>
    <row r="832">
      <c r="R832" t="s">
        <v>227</v>
      </c>
      <c r="S832" t="s">
        <v>227</v>
      </c>
      <c r="T832" t="s">
        <v>227</v>
      </c>
      <c r="U832" t="s">
        <v>227</v>
      </c>
      <c r="V832" t="s">
        <v>227</v>
      </c>
    </row>
    <row r="833">
      <c r="R833" t="s">
        <v>227</v>
      </c>
      <c r="S833" t="s">
        <v>227</v>
      </c>
      <c r="T833" t="s">
        <v>227</v>
      </c>
      <c r="U833" t="s">
        <v>227</v>
      </c>
      <c r="V833" t="s">
        <v>227</v>
      </c>
    </row>
    <row r="834">
      <c r="R834" t="s">
        <v>227</v>
      </c>
      <c r="S834" t="s">
        <v>227</v>
      </c>
      <c r="T834" t="s">
        <v>227</v>
      </c>
      <c r="U834" t="s">
        <v>227</v>
      </c>
      <c r="V834" t="s">
        <v>227</v>
      </c>
    </row>
    <row r="835">
      <c r="R835" t="s">
        <v>227</v>
      </c>
      <c r="S835" t="s">
        <v>227</v>
      </c>
      <c r="T835" t="s">
        <v>227</v>
      </c>
      <c r="U835" t="s">
        <v>227</v>
      </c>
      <c r="V835" t="s">
        <v>227</v>
      </c>
    </row>
    <row r="836">
      <c r="R836" t="s">
        <v>227</v>
      </c>
      <c r="S836" t="s">
        <v>227</v>
      </c>
      <c r="T836" t="s">
        <v>227</v>
      </c>
      <c r="U836" t="s">
        <v>227</v>
      </c>
      <c r="V836" t="s">
        <v>227</v>
      </c>
    </row>
    <row r="837">
      <c r="R837" t="s">
        <v>227</v>
      </c>
      <c r="S837" t="s">
        <v>227</v>
      </c>
      <c r="T837" t="s">
        <v>227</v>
      </c>
      <c r="U837" t="s">
        <v>227</v>
      </c>
      <c r="V837" t="s">
        <v>227</v>
      </c>
    </row>
    <row r="838">
      <c r="R838" t="s">
        <v>227</v>
      </c>
      <c r="S838" t="s">
        <v>227</v>
      </c>
      <c r="T838" t="s">
        <v>227</v>
      </c>
      <c r="U838" t="s">
        <v>227</v>
      </c>
      <c r="V838" t="s">
        <v>227</v>
      </c>
    </row>
    <row r="839">
      <c r="R839" t="s">
        <v>227</v>
      </c>
      <c r="S839" t="s">
        <v>227</v>
      </c>
      <c r="T839" t="s">
        <v>227</v>
      </c>
      <c r="U839" t="s">
        <v>227</v>
      </c>
      <c r="V839" t="s">
        <v>227</v>
      </c>
    </row>
    <row r="840">
      <c r="R840" t="s">
        <v>227</v>
      </c>
      <c r="S840" t="s">
        <v>227</v>
      </c>
      <c r="T840" t="s">
        <v>227</v>
      </c>
      <c r="U840" t="s">
        <v>227</v>
      </c>
      <c r="V840" t="s">
        <v>227</v>
      </c>
    </row>
    <row r="841">
      <c r="R841" t="s">
        <v>227</v>
      </c>
      <c r="S841" t="s">
        <v>227</v>
      </c>
      <c r="T841" t="s">
        <v>227</v>
      </c>
      <c r="U841" t="s">
        <v>227</v>
      </c>
      <c r="V841" t="s">
        <v>227</v>
      </c>
    </row>
    <row r="842">
      <c r="R842" t="s">
        <v>227</v>
      </c>
      <c r="S842" t="s">
        <v>227</v>
      </c>
      <c r="T842" t="s">
        <v>227</v>
      </c>
      <c r="U842" t="s">
        <v>227</v>
      </c>
      <c r="V842" t="s">
        <v>227</v>
      </c>
    </row>
    <row r="843">
      <c r="R843" t="s">
        <v>227</v>
      </c>
      <c r="S843" t="s">
        <v>227</v>
      </c>
      <c r="T843" t="s">
        <v>227</v>
      </c>
      <c r="U843" t="s">
        <v>227</v>
      </c>
      <c r="V843" t="s">
        <v>227</v>
      </c>
    </row>
    <row r="844">
      <c r="R844" t="s">
        <v>227</v>
      </c>
      <c r="S844" t="s">
        <v>227</v>
      </c>
      <c r="T844" t="s">
        <v>227</v>
      </c>
      <c r="U844" t="s">
        <v>227</v>
      </c>
      <c r="V844" t="s">
        <v>227</v>
      </c>
    </row>
    <row r="845">
      <c r="R845" t="s">
        <v>227</v>
      </c>
      <c r="S845" t="s">
        <v>227</v>
      </c>
      <c r="T845" t="s">
        <v>227</v>
      </c>
      <c r="U845" t="s">
        <v>227</v>
      </c>
      <c r="V845" t="s">
        <v>227</v>
      </c>
    </row>
    <row r="846">
      <c r="R846" t="s">
        <v>227</v>
      </c>
      <c r="S846" t="s">
        <v>227</v>
      </c>
      <c r="T846" t="s">
        <v>227</v>
      </c>
      <c r="U846" t="s">
        <v>227</v>
      </c>
      <c r="V846" t="s">
        <v>227</v>
      </c>
    </row>
    <row r="847">
      <c r="R847" t="s">
        <v>227</v>
      </c>
      <c r="S847" t="s">
        <v>227</v>
      </c>
      <c r="T847" t="s">
        <v>227</v>
      </c>
      <c r="U847" t="s">
        <v>227</v>
      </c>
      <c r="V847" t="s">
        <v>227</v>
      </c>
    </row>
    <row r="848">
      <c r="R848" t="s">
        <v>227</v>
      </c>
      <c r="S848" t="s">
        <v>227</v>
      </c>
      <c r="T848" t="s">
        <v>227</v>
      </c>
      <c r="U848" t="s">
        <v>227</v>
      </c>
      <c r="V848" t="s">
        <v>227</v>
      </c>
    </row>
    <row r="849">
      <c r="R849" t="s">
        <v>227</v>
      </c>
      <c r="S849" t="s">
        <v>227</v>
      </c>
      <c r="T849" t="s">
        <v>227</v>
      </c>
      <c r="U849" t="s">
        <v>227</v>
      </c>
      <c r="V849" t="s">
        <v>227</v>
      </c>
    </row>
    <row r="850">
      <c r="R850" t="s">
        <v>227</v>
      </c>
      <c r="S850" t="s">
        <v>227</v>
      </c>
      <c r="T850" t="s">
        <v>227</v>
      </c>
      <c r="U850" t="s">
        <v>227</v>
      </c>
      <c r="V850" t="s">
        <v>227</v>
      </c>
    </row>
    <row r="851">
      <c r="R851" t="s">
        <v>227</v>
      </c>
      <c r="S851" t="s">
        <v>227</v>
      </c>
      <c r="T851" t="s">
        <v>227</v>
      </c>
      <c r="U851" t="s">
        <v>227</v>
      </c>
      <c r="V851" t="s">
        <v>227</v>
      </c>
    </row>
    <row r="852">
      <c r="R852" t="s">
        <v>227</v>
      </c>
      <c r="S852" t="s">
        <v>227</v>
      </c>
      <c r="T852" t="s">
        <v>227</v>
      </c>
      <c r="U852" t="s">
        <v>227</v>
      </c>
      <c r="V852" t="s">
        <v>227</v>
      </c>
    </row>
    <row r="853">
      <c r="R853" t="s">
        <v>227</v>
      </c>
      <c r="S853" t="s">
        <v>227</v>
      </c>
      <c r="T853" t="s">
        <v>227</v>
      </c>
      <c r="U853" t="s">
        <v>227</v>
      </c>
      <c r="V853" t="s">
        <v>227</v>
      </c>
    </row>
    <row r="854">
      <c r="R854" t="s">
        <v>227</v>
      </c>
      <c r="S854" t="s">
        <v>227</v>
      </c>
      <c r="T854" t="s">
        <v>227</v>
      </c>
      <c r="U854" t="s">
        <v>227</v>
      </c>
      <c r="V854" t="s">
        <v>227</v>
      </c>
    </row>
    <row r="855">
      <c r="R855" t="s">
        <v>227</v>
      </c>
      <c r="S855" t="s">
        <v>227</v>
      </c>
      <c r="T855" t="s">
        <v>227</v>
      </c>
      <c r="U855" t="s">
        <v>227</v>
      </c>
      <c r="V855" t="s">
        <v>227</v>
      </c>
    </row>
    <row r="856">
      <c r="R856" t="s">
        <v>227</v>
      </c>
      <c r="S856" t="s">
        <v>227</v>
      </c>
      <c r="T856" t="s">
        <v>227</v>
      </c>
      <c r="U856" t="s">
        <v>227</v>
      </c>
      <c r="V856" t="s">
        <v>227</v>
      </c>
    </row>
    <row r="857">
      <c r="R857" t="s">
        <v>227</v>
      </c>
      <c r="S857" t="s">
        <v>227</v>
      </c>
      <c r="T857" t="s">
        <v>227</v>
      </c>
      <c r="U857" t="s">
        <v>227</v>
      </c>
      <c r="V857" t="s">
        <v>227</v>
      </c>
    </row>
    <row r="858">
      <c r="R858" t="s">
        <v>227</v>
      </c>
      <c r="S858" t="s">
        <v>227</v>
      </c>
      <c r="T858" t="s">
        <v>227</v>
      </c>
      <c r="U858" t="s">
        <v>227</v>
      </c>
      <c r="V858" t="s">
        <v>227</v>
      </c>
    </row>
    <row r="859">
      <c r="R859" t="s">
        <v>227</v>
      </c>
      <c r="S859" t="s">
        <v>227</v>
      </c>
      <c r="T859" t="s">
        <v>227</v>
      </c>
      <c r="U859" t="s">
        <v>227</v>
      </c>
      <c r="V859" t="s">
        <v>227</v>
      </c>
    </row>
    <row r="860">
      <c r="R860" t="s">
        <v>227</v>
      </c>
      <c r="S860" t="s">
        <v>227</v>
      </c>
      <c r="T860" t="s">
        <v>227</v>
      </c>
      <c r="U860" t="s">
        <v>227</v>
      </c>
      <c r="V860" t="s">
        <v>227</v>
      </c>
    </row>
    <row r="861">
      <c r="R861" t="s">
        <v>227</v>
      </c>
      <c r="S861" t="s">
        <v>227</v>
      </c>
      <c r="T861" t="s">
        <v>227</v>
      </c>
      <c r="U861" t="s">
        <v>227</v>
      </c>
      <c r="V861" t="s">
        <v>227</v>
      </c>
    </row>
    <row r="862">
      <c r="R862" t="s">
        <v>227</v>
      </c>
      <c r="S862" t="s">
        <v>227</v>
      </c>
      <c r="T862" t="s">
        <v>227</v>
      </c>
      <c r="U862" t="s">
        <v>227</v>
      </c>
      <c r="V862" t="s">
        <v>227</v>
      </c>
    </row>
    <row r="863">
      <c r="R863" t="s">
        <v>227</v>
      </c>
      <c r="S863" t="s">
        <v>227</v>
      </c>
      <c r="T863" t="s">
        <v>227</v>
      </c>
      <c r="U863" t="s">
        <v>227</v>
      </c>
      <c r="V863" t="s">
        <v>227</v>
      </c>
    </row>
    <row r="864">
      <c r="R864" t="s">
        <v>227</v>
      </c>
      <c r="S864" t="s">
        <v>227</v>
      </c>
      <c r="T864" t="s">
        <v>227</v>
      </c>
      <c r="U864" t="s">
        <v>227</v>
      </c>
      <c r="V864" t="s">
        <v>227</v>
      </c>
    </row>
    <row r="865">
      <c r="R865" t="s">
        <v>227</v>
      </c>
      <c r="S865" t="s">
        <v>227</v>
      </c>
      <c r="T865" t="s">
        <v>227</v>
      </c>
      <c r="U865" t="s">
        <v>227</v>
      </c>
      <c r="V865" t="s">
        <v>227</v>
      </c>
    </row>
    <row r="866">
      <c r="R866" t="s">
        <v>227</v>
      </c>
      <c r="S866" t="s">
        <v>227</v>
      </c>
      <c r="T866" t="s">
        <v>227</v>
      </c>
      <c r="U866" t="s">
        <v>227</v>
      </c>
      <c r="V866" t="s">
        <v>227</v>
      </c>
    </row>
    <row r="867">
      <c r="R867" t="s">
        <v>227</v>
      </c>
      <c r="S867" t="s">
        <v>227</v>
      </c>
      <c r="T867" t="s">
        <v>227</v>
      </c>
      <c r="U867" t="s">
        <v>227</v>
      </c>
      <c r="V867" t="s">
        <v>227</v>
      </c>
    </row>
    <row r="868">
      <c r="R868" t="s">
        <v>227</v>
      </c>
      <c r="S868" t="s">
        <v>227</v>
      </c>
      <c r="T868" t="s">
        <v>227</v>
      </c>
      <c r="U868" t="s">
        <v>227</v>
      </c>
      <c r="V868" t="s">
        <v>227</v>
      </c>
    </row>
    <row r="869">
      <c r="R869" t="s">
        <v>227</v>
      </c>
      <c r="S869" t="s">
        <v>227</v>
      </c>
      <c r="T869" t="s">
        <v>227</v>
      </c>
      <c r="U869" t="s">
        <v>227</v>
      </c>
      <c r="V869" t="s">
        <v>227</v>
      </c>
    </row>
    <row r="870">
      <c r="R870" t="s">
        <v>227</v>
      </c>
      <c r="S870" t="s">
        <v>227</v>
      </c>
      <c r="T870" t="s">
        <v>227</v>
      </c>
      <c r="U870" t="s">
        <v>227</v>
      </c>
      <c r="V870" t="s">
        <v>227</v>
      </c>
    </row>
    <row r="871">
      <c r="R871" t="s">
        <v>227</v>
      </c>
      <c r="S871" t="s">
        <v>227</v>
      </c>
      <c r="T871" t="s">
        <v>227</v>
      </c>
      <c r="U871" t="s">
        <v>227</v>
      </c>
      <c r="V871" t="s">
        <v>227</v>
      </c>
    </row>
    <row r="872">
      <c r="R872" t="s">
        <v>227</v>
      </c>
      <c r="S872" t="s">
        <v>227</v>
      </c>
      <c r="T872" t="s">
        <v>227</v>
      </c>
      <c r="U872" t="s">
        <v>227</v>
      </c>
      <c r="V872" t="s">
        <v>227</v>
      </c>
    </row>
    <row r="873">
      <c r="R873" t="s">
        <v>227</v>
      </c>
      <c r="S873" t="s">
        <v>227</v>
      </c>
      <c r="T873" t="s">
        <v>227</v>
      </c>
      <c r="U873" t="s">
        <v>227</v>
      </c>
      <c r="V873" t="s">
        <v>227</v>
      </c>
    </row>
    <row r="874">
      <c r="R874" t="s">
        <v>227</v>
      </c>
      <c r="S874" t="s">
        <v>227</v>
      </c>
      <c r="T874" t="s">
        <v>227</v>
      </c>
      <c r="U874" t="s">
        <v>227</v>
      </c>
      <c r="V874" t="s">
        <v>227</v>
      </c>
    </row>
    <row r="875">
      <c r="R875" t="s">
        <v>227</v>
      </c>
      <c r="S875" t="s">
        <v>227</v>
      </c>
      <c r="T875" t="s">
        <v>227</v>
      </c>
      <c r="U875" t="s">
        <v>227</v>
      </c>
      <c r="V875" t="s">
        <v>227</v>
      </c>
    </row>
    <row r="876">
      <c r="R876" t="s">
        <v>227</v>
      </c>
      <c r="S876" t="s">
        <v>227</v>
      </c>
      <c r="T876" t="s">
        <v>227</v>
      </c>
      <c r="U876" t="s">
        <v>227</v>
      </c>
      <c r="V876" t="s">
        <v>227</v>
      </c>
    </row>
    <row r="877">
      <c r="R877" t="s">
        <v>227</v>
      </c>
      <c r="S877" t="s">
        <v>227</v>
      </c>
      <c r="T877" t="s">
        <v>227</v>
      </c>
      <c r="U877" t="s">
        <v>227</v>
      </c>
      <c r="V877" t="s">
        <v>227</v>
      </c>
    </row>
    <row r="878">
      <c r="R878" t="s">
        <v>227</v>
      </c>
      <c r="S878" t="s">
        <v>227</v>
      </c>
      <c r="T878" t="s">
        <v>227</v>
      </c>
      <c r="U878" t="s">
        <v>227</v>
      </c>
      <c r="V878" t="s">
        <v>227</v>
      </c>
    </row>
    <row r="879">
      <c r="R879" t="s">
        <v>227</v>
      </c>
      <c r="S879" t="s">
        <v>227</v>
      </c>
      <c r="T879" t="s">
        <v>227</v>
      </c>
      <c r="U879" t="s">
        <v>227</v>
      </c>
      <c r="V879" t="s">
        <v>227</v>
      </c>
    </row>
    <row r="880">
      <c r="R880" t="s">
        <v>227</v>
      </c>
      <c r="S880" t="s">
        <v>227</v>
      </c>
      <c r="T880" t="s">
        <v>227</v>
      </c>
      <c r="U880" t="s">
        <v>227</v>
      </c>
      <c r="V880" t="s">
        <v>227</v>
      </c>
    </row>
    <row r="881">
      <c r="R881" t="s">
        <v>227</v>
      </c>
      <c r="S881" t="s">
        <v>227</v>
      </c>
      <c r="T881" t="s">
        <v>227</v>
      </c>
      <c r="U881" t="s">
        <v>227</v>
      </c>
      <c r="V881" t="s">
        <v>227</v>
      </c>
    </row>
    <row r="882">
      <c r="R882" t="s">
        <v>227</v>
      </c>
      <c r="S882" t="s">
        <v>227</v>
      </c>
      <c r="T882" t="s">
        <v>227</v>
      </c>
      <c r="U882" t="s">
        <v>227</v>
      </c>
      <c r="V882" t="s">
        <v>227</v>
      </c>
    </row>
    <row r="883">
      <c r="R883" t="s">
        <v>227</v>
      </c>
      <c r="S883" t="s">
        <v>227</v>
      </c>
      <c r="T883" t="s">
        <v>227</v>
      </c>
      <c r="U883" t="s">
        <v>227</v>
      </c>
      <c r="V883" t="s">
        <v>227</v>
      </c>
    </row>
    <row r="884">
      <c r="R884" t="s">
        <v>227</v>
      </c>
      <c r="S884" t="s">
        <v>227</v>
      </c>
      <c r="T884" t="s">
        <v>227</v>
      </c>
      <c r="U884" t="s">
        <v>227</v>
      </c>
      <c r="V884" t="s">
        <v>227</v>
      </c>
    </row>
    <row r="885">
      <c r="R885" t="s">
        <v>227</v>
      </c>
      <c r="S885" t="s">
        <v>227</v>
      </c>
      <c r="T885" t="s">
        <v>227</v>
      </c>
      <c r="U885" t="s">
        <v>227</v>
      </c>
      <c r="V885" t="s">
        <v>227</v>
      </c>
    </row>
    <row r="886">
      <c r="R886" t="s">
        <v>227</v>
      </c>
      <c r="S886" t="s">
        <v>227</v>
      </c>
      <c r="T886" t="s">
        <v>227</v>
      </c>
      <c r="U886" t="s">
        <v>227</v>
      </c>
      <c r="V886" t="s">
        <v>227</v>
      </c>
    </row>
    <row r="887">
      <c r="R887" t="s">
        <v>227</v>
      </c>
      <c r="S887" t="s">
        <v>227</v>
      </c>
      <c r="T887" t="s">
        <v>227</v>
      </c>
      <c r="U887" t="s">
        <v>227</v>
      </c>
      <c r="V887" t="s">
        <v>227</v>
      </c>
    </row>
    <row r="888">
      <c r="R888" t="s">
        <v>227</v>
      </c>
      <c r="S888" t="s">
        <v>227</v>
      </c>
      <c r="T888" t="s">
        <v>227</v>
      </c>
      <c r="U888" t="s">
        <v>227</v>
      </c>
      <c r="V888" t="s">
        <v>227</v>
      </c>
    </row>
    <row r="889">
      <c r="R889" t="s">
        <v>227</v>
      </c>
      <c r="S889" t="s">
        <v>227</v>
      </c>
      <c r="T889" t="s">
        <v>227</v>
      </c>
      <c r="U889" t="s">
        <v>227</v>
      </c>
      <c r="V889" t="s">
        <v>227</v>
      </c>
    </row>
    <row r="890">
      <c r="R890" t="s">
        <v>227</v>
      </c>
      <c r="S890" t="s">
        <v>227</v>
      </c>
      <c r="T890" t="s">
        <v>227</v>
      </c>
      <c r="U890" t="s">
        <v>227</v>
      </c>
      <c r="V890" t="s">
        <v>227</v>
      </c>
    </row>
    <row r="891">
      <c r="R891" t="s">
        <v>227</v>
      </c>
      <c r="S891" t="s">
        <v>227</v>
      </c>
      <c r="T891" t="s">
        <v>227</v>
      </c>
      <c r="U891" t="s">
        <v>227</v>
      </c>
      <c r="V891" t="s">
        <v>227</v>
      </c>
    </row>
    <row r="892">
      <c r="R892" t="s">
        <v>227</v>
      </c>
      <c r="S892" t="s">
        <v>227</v>
      </c>
      <c r="T892" t="s">
        <v>227</v>
      </c>
      <c r="U892" t="s">
        <v>227</v>
      </c>
      <c r="V892" t="s">
        <v>227</v>
      </c>
    </row>
    <row r="893">
      <c r="R893" t="s">
        <v>227</v>
      </c>
      <c r="S893" t="s">
        <v>227</v>
      </c>
      <c r="T893" t="s">
        <v>227</v>
      </c>
      <c r="U893" t="s">
        <v>227</v>
      </c>
      <c r="V893" t="s">
        <v>227</v>
      </c>
    </row>
    <row r="894">
      <c r="R894" t="s">
        <v>227</v>
      </c>
      <c r="S894" t="s">
        <v>227</v>
      </c>
      <c r="T894" t="s">
        <v>227</v>
      </c>
      <c r="U894" t="s">
        <v>227</v>
      </c>
      <c r="V894" t="s">
        <v>227</v>
      </c>
    </row>
    <row r="895">
      <c r="R895" t="s">
        <v>227</v>
      </c>
      <c r="S895" t="s">
        <v>227</v>
      </c>
      <c r="T895" t="s">
        <v>227</v>
      </c>
      <c r="U895" t="s">
        <v>227</v>
      </c>
      <c r="V895" t="s">
        <v>227</v>
      </c>
    </row>
    <row r="896">
      <c r="R896" t="s">
        <v>227</v>
      </c>
      <c r="S896" t="s">
        <v>227</v>
      </c>
      <c r="T896" t="s">
        <v>227</v>
      </c>
      <c r="U896" t="s">
        <v>227</v>
      </c>
      <c r="V896" t="s">
        <v>227</v>
      </c>
    </row>
    <row r="897">
      <c r="R897" t="s">
        <v>227</v>
      </c>
      <c r="S897" t="s">
        <v>227</v>
      </c>
      <c r="T897" t="s">
        <v>227</v>
      </c>
      <c r="U897" t="s">
        <v>227</v>
      </c>
      <c r="V897" t="s">
        <v>227</v>
      </c>
    </row>
    <row r="898">
      <c r="R898" t="s">
        <v>227</v>
      </c>
      <c r="S898" t="s">
        <v>227</v>
      </c>
      <c r="T898" t="s">
        <v>227</v>
      </c>
      <c r="U898" t="s">
        <v>227</v>
      </c>
      <c r="V898" t="s">
        <v>227</v>
      </c>
    </row>
    <row r="899">
      <c r="R899" t="s">
        <v>227</v>
      </c>
      <c r="S899" t="s">
        <v>227</v>
      </c>
      <c r="T899" t="s">
        <v>227</v>
      </c>
      <c r="U899" t="s">
        <v>227</v>
      </c>
      <c r="V899" t="s">
        <v>227</v>
      </c>
    </row>
    <row r="900">
      <c r="R900" t="s">
        <v>227</v>
      </c>
      <c r="S900" t="s">
        <v>227</v>
      </c>
      <c r="T900" t="s">
        <v>227</v>
      </c>
      <c r="U900" t="s">
        <v>227</v>
      </c>
      <c r="V900" t="s">
        <v>227</v>
      </c>
    </row>
    <row r="901">
      <c r="R901" t="s">
        <v>227</v>
      </c>
      <c r="S901" t="s">
        <v>227</v>
      </c>
      <c r="T901" t="s">
        <v>227</v>
      </c>
      <c r="U901" t="s">
        <v>227</v>
      </c>
      <c r="V901" t="s">
        <v>227</v>
      </c>
    </row>
    <row r="902">
      <c r="R902" t="s">
        <v>227</v>
      </c>
      <c r="S902" t="s">
        <v>227</v>
      </c>
      <c r="T902" t="s">
        <v>227</v>
      </c>
      <c r="U902" t="s">
        <v>227</v>
      </c>
      <c r="V902" t="s">
        <v>227</v>
      </c>
    </row>
    <row r="903">
      <c r="R903" t="s">
        <v>227</v>
      </c>
      <c r="S903" t="s">
        <v>227</v>
      </c>
      <c r="T903" t="s">
        <v>227</v>
      </c>
      <c r="U903" t="s">
        <v>227</v>
      </c>
      <c r="V903" t="s">
        <v>227</v>
      </c>
    </row>
    <row r="904">
      <c r="R904" t="s">
        <v>227</v>
      </c>
      <c r="S904" t="s">
        <v>227</v>
      </c>
      <c r="T904" t="s">
        <v>227</v>
      </c>
      <c r="U904" t="s">
        <v>227</v>
      </c>
      <c r="V904" t="s">
        <v>227</v>
      </c>
    </row>
    <row r="905">
      <c r="R905" t="s">
        <v>227</v>
      </c>
      <c r="S905" t="s">
        <v>227</v>
      </c>
      <c r="T905" t="s">
        <v>227</v>
      </c>
      <c r="U905" t="s">
        <v>227</v>
      </c>
      <c r="V905" t="s">
        <v>227</v>
      </c>
    </row>
    <row r="906">
      <c r="R906" t="s">
        <v>227</v>
      </c>
      <c r="S906" t="s">
        <v>227</v>
      </c>
      <c r="T906" t="s">
        <v>227</v>
      </c>
      <c r="U906" t="s">
        <v>227</v>
      </c>
      <c r="V906" t="s">
        <v>227</v>
      </c>
    </row>
    <row r="907">
      <c r="R907" t="s">
        <v>227</v>
      </c>
      <c r="S907" t="s">
        <v>227</v>
      </c>
      <c r="T907" t="s">
        <v>227</v>
      </c>
      <c r="U907" t="s">
        <v>227</v>
      </c>
      <c r="V907" t="s">
        <v>227</v>
      </c>
    </row>
    <row r="908">
      <c r="R908" t="s">
        <v>227</v>
      </c>
      <c r="S908" t="s">
        <v>227</v>
      </c>
      <c r="T908" t="s">
        <v>227</v>
      </c>
      <c r="U908" t="s">
        <v>227</v>
      </c>
      <c r="V908" t="s">
        <v>227</v>
      </c>
    </row>
    <row r="909">
      <c r="R909" t="s">
        <v>227</v>
      </c>
      <c r="S909" t="s">
        <v>227</v>
      </c>
      <c r="T909" t="s">
        <v>227</v>
      </c>
      <c r="U909" t="s">
        <v>227</v>
      </c>
      <c r="V909" t="s">
        <v>227</v>
      </c>
    </row>
    <row r="910">
      <c r="R910" t="s">
        <v>227</v>
      </c>
      <c r="S910" t="s">
        <v>227</v>
      </c>
      <c r="T910" t="s">
        <v>227</v>
      </c>
      <c r="U910" t="s">
        <v>227</v>
      </c>
      <c r="V910" t="s">
        <v>227</v>
      </c>
    </row>
    <row r="911">
      <c r="R911" t="s">
        <v>227</v>
      </c>
      <c r="S911" t="s">
        <v>227</v>
      </c>
      <c r="T911" t="s">
        <v>227</v>
      </c>
      <c r="U911" t="s">
        <v>227</v>
      </c>
      <c r="V911" t="s">
        <v>227</v>
      </c>
    </row>
    <row r="912">
      <c r="R912" t="s">
        <v>227</v>
      </c>
      <c r="S912" t="s">
        <v>227</v>
      </c>
      <c r="T912" t="s">
        <v>227</v>
      </c>
      <c r="U912" t="s">
        <v>227</v>
      </c>
      <c r="V912" t="s">
        <v>227</v>
      </c>
    </row>
    <row r="913">
      <c r="R913" t="s">
        <v>227</v>
      </c>
      <c r="S913" t="s">
        <v>227</v>
      </c>
      <c r="T913" t="s">
        <v>227</v>
      </c>
      <c r="U913" t="s">
        <v>227</v>
      </c>
      <c r="V913" t="s">
        <v>227</v>
      </c>
    </row>
    <row r="914">
      <c r="R914" t="s">
        <v>227</v>
      </c>
      <c r="S914" t="s">
        <v>227</v>
      </c>
      <c r="T914" t="s">
        <v>227</v>
      </c>
      <c r="U914" t="s">
        <v>227</v>
      </c>
      <c r="V914" t="s">
        <v>227</v>
      </c>
    </row>
    <row r="915">
      <c r="R915" t="s">
        <v>227</v>
      </c>
      <c r="S915" t="s">
        <v>227</v>
      </c>
      <c r="T915" t="s">
        <v>227</v>
      </c>
      <c r="U915" t="s">
        <v>227</v>
      </c>
      <c r="V915" t="s">
        <v>227</v>
      </c>
    </row>
    <row r="916">
      <c r="R916" t="s">
        <v>227</v>
      </c>
      <c r="S916" t="s">
        <v>227</v>
      </c>
      <c r="T916" t="s">
        <v>227</v>
      </c>
      <c r="U916" t="s">
        <v>227</v>
      </c>
      <c r="V916" t="s">
        <v>227</v>
      </c>
    </row>
    <row r="917">
      <c r="R917" t="s">
        <v>227</v>
      </c>
      <c r="S917" t="s">
        <v>227</v>
      </c>
      <c r="T917" t="s">
        <v>227</v>
      </c>
      <c r="U917" t="s">
        <v>227</v>
      </c>
      <c r="V917" t="s">
        <v>227</v>
      </c>
    </row>
    <row r="918">
      <c r="R918" t="s">
        <v>227</v>
      </c>
      <c r="S918" t="s">
        <v>227</v>
      </c>
      <c r="T918" t="s">
        <v>227</v>
      </c>
      <c r="U918" t="s">
        <v>227</v>
      </c>
      <c r="V918" t="s">
        <v>227</v>
      </c>
    </row>
    <row r="919">
      <c r="R919" t="s">
        <v>227</v>
      </c>
      <c r="S919" t="s">
        <v>227</v>
      </c>
      <c r="T919" t="s">
        <v>227</v>
      </c>
      <c r="U919" t="s">
        <v>227</v>
      </c>
      <c r="V919" t="s">
        <v>227</v>
      </c>
    </row>
    <row r="920">
      <c r="R920" t="s">
        <v>227</v>
      </c>
      <c r="S920" t="s">
        <v>227</v>
      </c>
      <c r="T920" t="s">
        <v>227</v>
      </c>
      <c r="U920" t="s">
        <v>227</v>
      </c>
      <c r="V920" t="s">
        <v>227</v>
      </c>
    </row>
    <row r="921">
      <c r="R921" t="s">
        <v>227</v>
      </c>
      <c r="S921" t="s">
        <v>227</v>
      </c>
      <c r="T921" t="s">
        <v>227</v>
      </c>
      <c r="U921" t="s">
        <v>227</v>
      </c>
      <c r="V921" t="s">
        <v>227</v>
      </c>
    </row>
    <row r="922">
      <c r="R922" t="s">
        <v>227</v>
      </c>
      <c r="S922" t="s">
        <v>227</v>
      </c>
      <c r="T922" t="s">
        <v>227</v>
      </c>
      <c r="U922" t="s">
        <v>227</v>
      </c>
      <c r="V922" t="s">
        <v>227</v>
      </c>
    </row>
    <row r="923">
      <c r="R923" t="s">
        <v>227</v>
      </c>
      <c r="S923" t="s">
        <v>227</v>
      </c>
      <c r="T923" t="s">
        <v>227</v>
      </c>
      <c r="U923" t="s">
        <v>227</v>
      </c>
      <c r="V923" t="s">
        <v>227</v>
      </c>
    </row>
    <row r="924">
      <c r="R924" t="s">
        <v>227</v>
      </c>
      <c r="S924" t="s">
        <v>227</v>
      </c>
      <c r="T924" t="s">
        <v>227</v>
      </c>
      <c r="U924" t="s">
        <v>227</v>
      </c>
      <c r="V924" t="s">
        <v>227</v>
      </c>
    </row>
    <row r="925">
      <c r="R925" t="s">
        <v>227</v>
      </c>
      <c r="S925" t="s">
        <v>227</v>
      </c>
      <c r="T925" t="s">
        <v>227</v>
      </c>
      <c r="U925" t="s">
        <v>227</v>
      </c>
      <c r="V925" t="s">
        <v>227</v>
      </c>
    </row>
    <row r="926">
      <c r="R926" t="s">
        <v>227</v>
      </c>
      <c r="S926" t="s">
        <v>227</v>
      </c>
      <c r="T926" t="s">
        <v>227</v>
      </c>
      <c r="U926" t="s">
        <v>227</v>
      </c>
      <c r="V926" t="s">
        <v>227</v>
      </c>
    </row>
    <row r="927">
      <c r="R927" t="s">
        <v>227</v>
      </c>
      <c r="S927" t="s">
        <v>227</v>
      </c>
      <c r="T927" t="s">
        <v>227</v>
      </c>
      <c r="U927" t="s">
        <v>227</v>
      </c>
      <c r="V927" t="s">
        <v>227</v>
      </c>
    </row>
    <row r="928">
      <c r="R928" t="s">
        <v>227</v>
      </c>
      <c r="S928" t="s">
        <v>227</v>
      </c>
      <c r="T928" t="s">
        <v>227</v>
      </c>
      <c r="U928" t="s">
        <v>227</v>
      </c>
      <c r="V928" t="s">
        <v>227</v>
      </c>
    </row>
    <row r="929">
      <c r="R929" t="s">
        <v>227</v>
      </c>
      <c r="S929" t="s">
        <v>227</v>
      </c>
      <c r="T929" t="s">
        <v>227</v>
      </c>
      <c r="U929" t="s">
        <v>227</v>
      </c>
      <c r="V929" t="s">
        <v>227</v>
      </c>
    </row>
    <row r="930">
      <c r="R930" t="s">
        <v>227</v>
      </c>
      <c r="S930" t="s">
        <v>227</v>
      </c>
      <c r="T930" t="s">
        <v>227</v>
      </c>
      <c r="U930" t="s">
        <v>227</v>
      </c>
      <c r="V930" t="s">
        <v>227</v>
      </c>
    </row>
    <row r="931">
      <c r="R931" t="s">
        <v>227</v>
      </c>
      <c r="S931" t="s">
        <v>227</v>
      </c>
      <c r="T931" t="s">
        <v>227</v>
      </c>
      <c r="U931" t="s">
        <v>227</v>
      </c>
      <c r="V931" t="s">
        <v>227</v>
      </c>
    </row>
    <row r="932">
      <c r="R932" t="s">
        <v>227</v>
      </c>
      <c r="S932" t="s">
        <v>227</v>
      </c>
      <c r="T932" t="s">
        <v>227</v>
      </c>
      <c r="U932" t="s">
        <v>227</v>
      </c>
      <c r="V932" t="s">
        <v>227</v>
      </c>
    </row>
    <row r="933">
      <c r="R933" t="s">
        <v>227</v>
      </c>
      <c r="S933" t="s">
        <v>227</v>
      </c>
      <c r="T933" t="s">
        <v>227</v>
      </c>
      <c r="U933" t="s">
        <v>227</v>
      </c>
      <c r="V933" t="s">
        <v>227</v>
      </c>
    </row>
    <row r="934">
      <c r="R934" t="s">
        <v>227</v>
      </c>
      <c r="S934" t="s">
        <v>227</v>
      </c>
      <c r="T934" t="s">
        <v>227</v>
      </c>
      <c r="U934" t="s">
        <v>227</v>
      </c>
      <c r="V934" t="s">
        <v>227</v>
      </c>
    </row>
    <row r="935">
      <c r="R935" t="s">
        <v>227</v>
      </c>
      <c r="S935" t="s">
        <v>227</v>
      </c>
      <c r="T935" t="s">
        <v>227</v>
      </c>
      <c r="U935" t="s">
        <v>227</v>
      </c>
      <c r="V935" t="s">
        <v>227</v>
      </c>
    </row>
    <row r="936">
      <c r="R936" t="s">
        <v>227</v>
      </c>
      <c r="S936" t="s">
        <v>227</v>
      </c>
      <c r="T936" t="s">
        <v>227</v>
      </c>
      <c r="U936" t="s">
        <v>227</v>
      </c>
      <c r="V936" t="s">
        <v>227</v>
      </c>
    </row>
    <row r="937">
      <c r="R937" t="s">
        <v>227</v>
      </c>
      <c r="S937" t="s">
        <v>227</v>
      </c>
      <c r="T937" t="s">
        <v>227</v>
      </c>
      <c r="U937" t="s">
        <v>227</v>
      </c>
      <c r="V937" t="s">
        <v>227</v>
      </c>
    </row>
    <row r="938">
      <c r="R938" t="s">
        <v>227</v>
      </c>
      <c r="S938" t="s">
        <v>227</v>
      </c>
      <c r="T938" t="s">
        <v>227</v>
      </c>
      <c r="U938" t="s">
        <v>227</v>
      </c>
      <c r="V938" t="s">
        <v>227</v>
      </c>
    </row>
    <row r="939">
      <c r="R939" t="s">
        <v>227</v>
      </c>
      <c r="S939" t="s">
        <v>227</v>
      </c>
      <c r="T939" t="s">
        <v>227</v>
      </c>
      <c r="U939" t="s">
        <v>227</v>
      </c>
      <c r="V939" t="s">
        <v>227</v>
      </c>
    </row>
    <row r="940">
      <c r="R940" t="s">
        <v>227</v>
      </c>
      <c r="S940" t="s">
        <v>227</v>
      </c>
      <c r="T940" t="s">
        <v>227</v>
      </c>
      <c r="U940" t="s">
        <v>227</v>
      </c>
      <c r="V940" t="s">
        <v>227</v>
      </c>
    </row>
    <row r="941">
      <c r="R941" t="s">
        <v>227</v>
      </c>
      <c r="S941" t="s">
        <v>227</v>
      </c>
      <c r="T941" t="s">
        <v>227</v>
      </c>
      <c r="U941" t="s">
        <v>227</v>
      </c>
      <c r="V941" t="s">
        <v>227</v>
      </c>
    </row>
    <row r="942">
      <c r="R942" t="s">
        <v>227</v>
      </c>
      <c r="S942" t="s">
        <v>227</v>
      </c>
      <c r="T942" t="s">
        <v>227</v>
      </c>
      <c r="U942" t="s">
        <v>227</v>
      </c>
      <c r="V942" t="s">
        <v>227</v>
      </c>
    </row>
    <row r="943">
      <c r="R943" t="s">
        <v>227</v>
      </c>
      <c r="S943" t="s">
        <v>227</v>
      </c>
      <c r="T943" t="s">
        <v>227</v>
      </c>
      <c r="U943" t="s">
        <v>227</v>
      </c>
      <c r="V943" t="s">
        <v>227</v>
      </c>
    </row>
    <row r="944">
      <c r="R944" t="s">
        <v>227</v>
      </c>
      <c r="S944" t="s">
        <v>227</v>
      </c>
      <c r="T944" t="s">
        <v>227</v>
      </c>
      <c r="U944" t="s">
        <v>227</v>
      </c>
      <c r="V944" t="s">
        <v>227</v>
      </c>
    </row>
    <row r="945">
      <c r="R945" t="s">
        <v>227</v>
      </c>
      <c r="S945" t="s">
        <v>227</v>
      </c>
      <c r="T945" t="s">
        <v>227</v>
      </c>
      <c r="U945" t="s">
        <v>227</v>
      </c>
      <c r="V945" t="s">
        <v>227</v>
      </c>
    </row>
    <row r="946">
      <c r="R946" t="s">
        <v>227</v>
      </c>
      <c r="S946" t="s">
        <v>227</v>
      </c>
      <c r="T946" t="s">
        <v>227</v>
      </c>
      <c r="U946" t="s">
        <v>227</v>
      </c>
      <c r="V946" t="s">
        <v>227</v>
      </c>
    </row>
    <row r="947">
      <c r="R947" t="s">
        <v>227</v>
      </c>
      <c r="S947" t="s">
        <v>227</v>
      </c>
      <c r="T947" t="s">
        <v>227</v>
      </c>
      <c r="U947" t="s">
        <v>227</v>
      </c>
      <c r="V947" t="s">
        <v>227</v>
      </c>
    </row>
    <row r="948">
      <c r="R948" t="s">
        <v>227</v>
      </c>
      <c r="S948" t="s">
        <v>227</v>
      </c>
      <c r="T948" t="s">
        <v>227</v>
      </c>
      <c r="U948" t="s">
        <v>227</v>
      </c>
      <c r="V948" t="s">
        <v>227</v>
      </c>
    </row>
    <row r="949">
      <c r="R949" t="s">
        <v>227</v>
      </c>
      <c r="S949" t="s">
        <v>227</v>
      </c>
      <c r="T949" t="s">
        <v>227</v>
      </c>
      <c r="U949" t="s">
        <v>227</v>
      </c>
      <c r="V949" t="s">
        <v>227</v>
      </c>
    </row>
    <row r="950">
      <c r="R950" t="s">
        <v>227</v>
      </c>
      <c r="S950" t="s">
        <v>227</v>
      </c>
      <c r="T950" t="s">
        <v>227</v>
      </c>
      <c r="U950" t="s">
        <v>227</v>
      </c>
      <c r="V950" t="s">
        <v>227</v>
      </c>
    </row>
    <row r="951">
      <c r="R951" t="s">
        <v>227</v>
      </c>
      <c r="S951" t="s">
        <v>227</v>
      </c>
      <c r="T951" t="s">
        <v>227</v>
      </c>
      <c r="U951" t="s">
        <v>227</v>
      </c>
      <c r="V951" t="s">
        <v>227</v>
      </c>
    </row>
    <row r="952">
      <c r="R952" t="s">
        <v>227</v>
      </c>
      <c r="S952" t="s">
        <v>227</v>
      </c>
      <c r="T952" t="s">
        <v>227</v>
      </c>
      <c r="U952" t="s">
        <v>227</v>
      </c>
      <c r="V952" t="s">
        <v>227</v>
      </c>
    </row>
    <row r="953">
      <c r="R953" t="s">
        <v>227</v>
      </c>
      <c r="S953" t="s">
        <v>227</v>
      </c>
      <c r="T953" t="s">
        <v>227</v>
      </c>
      <c r="U953" t="s">
        <v>227</v>
      </c>
      <c r="V953" t="s">
        <v>227</v>
      </c>
    </row>
    <row r="954">
      <c r="R954" t="s">
        <v>227</v>
      </c>
      <c r="S954" t="s">
        <v>227</v>
      </c>
      <c r="T954" t="s">
        <v>227</v>
      </c>
      <c r="U954" t="s">
        <v>227</v>
      </c>
      <c r="V954" t="s">
        <v>227</v>
      </c>
    </row>
    <row r="955">
      <c r="R955" t="s">
        <v>227</v>
      </c>
      <c r="S955" t="s">
        <v>227</v>
      </c>
      <c r="T955" t="s">
        <v>227</v>
      </c>
      <c r="U955" t="s">
        <v>227</v>
      </c>
      <c r="V955" t="s">
        <v>227</v>
      </c>
    </row>
    <row r="956">
      <c r="R956" t="s">
        <v>227</v>
      </c>
      <c r="S956" t="s">
        <v>227</v>
      </c>
      <c r="T956" t="s">
        <v>227</v>
      </c>
      <c r="U956" t="s">
        <v>227</v>
      </c>
      <c r="V956" t="s">
        <v>227</v>
      </c>
    </row>
    <row r="957">
      <c r="R957" t="s">
        <v>227</v>
      </c>
      <c r="S957" t="s">
        <v>227</v>
      </c>
      <c r="T957" t="s">
        <v>227</v>
      </c>
      <c r="U957" t="s">
        <v>227</v>
      </c>
      <c r="V957" t="s">
        <v>227</v>
      </c>
    </row>
    <row r="958">
      <c r="R958" t="s">
        <v>227</v>
      </c>
      <c r="S958" t="s">
        <v>227</v>
      </c>
      <c r="T958" t="s">
        <v>227</v>
      </c>
      <c r="U958" t="s">
        <v>227</v>
      </c>
      <c r="V958" t="s">
        <v>227</v>
      </c>
    </row>
    <row r="959">
      <c r="R959" t="s">
        <v>227</v>
      </c>
      <c r="S959" t="s">
        <v>227</v>
      </c>
      <c r="T959" t="s">
        <v>227</v>
      </c>
      <c r="U959" t="s">
        <v>227</v>
      </c>
      <c r="V959" t="s">
        <v>227</v>
      </c>
    </row>
    <row r="960">
      <c r="R960" t="s">
        <v>227</v>
      </c>
      <c r="S960" t="s">
        <v>227</v>
      </c>
      <c r="T960" t="s">
        <v>227</v>
      </c>
      <c r="U960" t="s">
        <v>227</v>
      </c>
      <c r="V960" t="s">
        <v>227</v>
      </c>
    </row>
    <row r="961">
      <c r="R961" t="s">
        <v>227</v>
      </c>
      <c r="S961" t="s">
        <v>227</v>
      </c>
      <c r="T961" t="s">
        <v>227</v>
      </c>
      <c r="U961" t="s">
        <v>227</v>
      </c>
      <c r="V961" t="s">
        <v>227</v>
      </c>
    </row>
    <row r="962">
      <c r="R962" t="s">
        <v>227</v>
      </c>
      <c r="S962" t="s">
        <v>227</v>
      </c>
      <c r="T962" t="s">
        <v>227</v>
      </c>
      <c r="U962" t="s">
        <v>227</v>
      </c>
      <c r="V962" t="s">
        <v>227</v>
      </c>
    </row>
    <row r="963">
      <c r="R963" t="s">
        <v>227</v>
      </c>
      <c r="S963" t="s">
        <v>227</v>
      </c>
      <c r="T963" t="s">
        <v>227</v>
      </c>
      <c r="U963" t="s">
        <v>227</v>
      </c>
      <c r="V963" t="s">
        <v>227</v>
      </c>
    </row>
    <row r="964">
      <c r="R964" t="s">
        <v>227</v>
      </c>
      <c r="S964" t="s">
        <v>227</v>
      </c>
      <c r="T964" t="s">
        <v>227</v>
      </c>
      <c r="U964" t="s">
        <v>227</v>
      </c>
      <c r="V964" t="s">
        <v>227</v>
      </c>
    </row>
    <row r="965">
      <c r="R965" t="s">
        <v>227</v>
      </c>
      <c r="S965" t="s">
        <v>227</v>
      </c>
      <c r="T965" t="s">
        <v>227</v>
      </c>
      <c r="U965" t="s">
        <v>227</v>
      </c>
      <c r="V965" t="s">
        <v>227</v>
      </c>
    </row>
    <row r="966">
      <c r="R966" t="s">
        <v>227</v>
      </c>
      <c r="S966" t="s">
        <v>227</v>
      </c>
      <c r="T966" t="s">
        <v>227</v>
      </c>
      <c r="U966" t="s">
        <v>227</v>
      </c>
      <c r="V966" t="s">
        <v>227</v>
      </c>
    </row>
    <row r="967">
      <c r="R967" t="s">
        <v>227</v>
      </c>
      <c r="S967" t="s">
        <v>227</v>
      </c>
      <c r="T967" t="s">
        <v>227</v>
      </c>
      <c r="U967" t="s">
        <v>227</v>
      </c>
      <c r="V967" t="s">
        <v>227</v>
      </c>
    </row>
    <row r="968">
      <c r="R968" t="s">
        <v>227</v>
      </c>
      <c r="S968" t="s">
        <v>227</v>
      </c>
      <c r="T968" t="s">
        <v>227</v>
      </c>
      <c r="U968" t="s">
        <v>227</v>
      </c>
      <c r="V968" t="s">
        <v>227</v>
      </c>
    </row>
    <row r="969">
      <c r="R969" t="s">
        <v>227</v>
      </c>
      <c r="S969" t="s">
        <v>227</v>
      </c>
      <c r="T969" t="s">
        <v>227</v>
      </c>
      <c r="U969" t="s">
        <v>227</v>
      </c>
      <c r="V969" t="s">
        <v>227</v>
      </c>
    </row>
    <row r="970">
      <c r="R970" t="s">
        <v>227</v>
      </c>
      <c r="S970" t="s">
        <v>227</v>
      </c>
      <c r="T970" t="s">
        <v>227</v>
      </c>
      <c r="U970" t="s">
        <v>227</v>
      </c>
      <c r="V970" t="s">
        <v>227</v>
      </c>
    </row>
    <row r="971">
      <c r="R971" t="s">
        <v>227</v>
      </c>
      <c r="S971" t="s">
        <v>227</v>
      </c>
      <c r="T971" t="s">
        <v>227</v>
      </c>
      <c r="U971" t="s">
        <v>227</v>
      </c>
      <c r="V971" t="s">
        <v>227</v>
      </c>
    </row>
    <row r="972">
      <c r="R972" t="s">
        <v>227</v>
      </c>
      <c r="S972" t="s">
        <v>227</v>
      </c>
      <c r="T972" t="s">
        <v>227</v>
      </c>
      <c r="U972" t="s">
        <v>227</v>
      </c>
      <c r="V972" t="s">
        <v>227</v>
      </c>
    </row>
    <row r="973">
      <c r="R973" t="s">
        <v>227</v>
      </c>
      <c r="S973" t="s">
        <v>227</v>
      </c>
      <c r="T973" t="s">
        <v>227</v>
      </c>
      <c r="U973" t="s">
        <v>227</v>
      </c>
      <c r="V973" t="s">
        <v>227</v>
      </c>
    </row>
    <row r="974">
      <c r="R974" t="s">
        <v>227</v>
      </c>
      <c r="S974" t="s">
        <v>227</v>
      </c>
      <c r="T974" t="s">
        <v>227</v>
      </c>
      <c r="U974" t="s">
        <v>227</v>
      </c>
      <c r="V974" t="s">
        <v>227</v>
      </c>
    </row>
    <row r="975">
      <c r="R975" t="s">
        <v>227</v>
      </c>
      <c r="S975" t="s">
        <v>227</v>
      </c>
      <c r="T975" t="s">
        <v>227</v>
      </c>
      <c r="U975" t="s">
        <v>227</v>
      </c>
      <c r="V975" t="s">
        <v>227</v>
      </c>
    </row>
    <row r="976">
      <c r="R976" t="s">
        <v>227</v>
      </c>
      <c r="S976" t="s">
        <v>227</v>
      </c>
      <c r="T976" t="s">
        <v>227</v>
      </c>
      <c r="U976" t="s">
        <v>227</v>
      </c>
      <c r="V976" t="s">
        <v>227</v>
      </c>
    </row>
    <row r="977">
      <c r="R977" t="s">
        <v>227</v>
      </c>
      <c r="S977" t="s">
        <v>227</v>
      </c>
      <c r="T977" t="s">
        <v>227</v>
      </c>
      <c r="U977" t="s">
        <v>227</v>
      </c>
      <c r="V977" t="s">
        <v>227</v>
      </c>
    </row>
    <row r="978">
      <c r="R978" t="s">
        <v>227</v>
      </c>
      <c r="S978" t="s">
        <v>227</v>
      </c>
      <c r="T978" t="s">
        <v>227</v>
      </c>
      <c r="U978" t="s">
        <v>227</v>
      </c>
      <c r="V978" t="s">
        <v>227</v>
      </c>
    </row>
    <row r="979">
      <c r="R979" t="s">
        <v>227</v>
      </c>
      <c r="S979" t="s">
        <v>227</v>
      </c>
      <c r="T979" t="s">
        <v>227</v>
      </c>
      <c r="U979" t="s">
        <v>227</v>
      </c>
      <c r="V979" t="s">
        <v>227</v>
      </c>
    </row>
    <row r="980">
      <c r="R980" t="s">
        <v>227</v>
      </c>
      <c r="S980" t="s">
        <v>227</v>
      </c>
      <c r="T980" t="s">
        <v>227</v>
      </c>
      <c r="U980" t="s">
        <v>227</v>
      </c>
      <c r="V980" t="s">
        <v>227</v>
      </c>
    </row>
    <row r="981">
      <c r="R981" t="s">
        <v>227</v>
      </c>
      <c r="S981" t="s">
        <v>227</v>
      </c>
      <c r="T981" t="s">
        <v>227</v>
      </c>
      <c r="U981" t="s">
        <v>227</v>
      </c>
      <c r="V981" t="s">
        <v>227</v>
      </c>
    </row>
    <row r="982">
      <c r="R982" t="s">
        <v>227</v>
      </c>
      <c r="S982" t="s">
        <v>227</v>
      </c>
      <c r="T982" t="s">
        <v>227</v>
      </c>
      <c r="U982" t="s">
        <v>227</v>
      </c>
      <c r="V982" t="s">
        <v>227</v>
      </c>
    </row>
    <row r="983">
      <c r="R983" t="s">
        <v>227</v>
      </c>
      <c r="S983" t="s">
        <v>227</v>
      </c>
      <c r="T983" t="s">
        <v>227</v>
      </c>
      <c r="U983" t="s">
        <v>227</v>
      </c>
      <c r="V983" t="s">
        <v>227</v>
      </c>
    </row>
    <row r="984">
      <c r="R984" t="s">
        <v>227</v>
      </c>
      <c r="S984" t="s">
        <v>227</v>
      </c>
      <c r="T984" t="s">
        <v>227</v>
      </c>
      <c r="U984" t="s">
        <v>227</v>
      </c>
      <c r="V984" t="s">
        <v>227</v>
      </c>
    </row>
    <row r="985">
      <c r="R985" t="s">
        <v>227</v>
      </c>
      <c r="S985" t="s">
        <v>227</v>
      </c>
      <c r="T985" t="s">
        <v>227</v>
      </c>
      <c r="U985" t="s">
        <v>227</v>
      </c>
      <c r="V985" t="s">
        <v>227</v>
      </c>
    </row>
    <row r="986">
      <c r="R986" t="s">
        <v>227</v>
      </c>
      <c r="S986" t="s">
        <v>227</v>
      </c>
      <c r="T986" t="s">
        <v>227</v>
      </c>
      <c r="U986" t="s">
        <v>227</v>
      </c>
      <c r="V986" t="s">
        <v>227</v>
      </c>
    </row>
    <row r="987">
      <c r="R987" t="s">
        <v>227</v>
      </c>
      <c r="S987" t="s">
        <v>227</v>
      </c>
      <c r="T987" t="s">
        <v>227</v>
      </c>
      <c r="U987" t="s">
        <v>227</v>
      </c>
      <c r="V987" t="s">
        <v>227</v>
      </c>
    </row>
    <row r="988">
      <c r="R988" t="s">
        <v>227</v>
      </c>
      <c r="S988" t="s">
        <v>227</v>
      </c>
      <c r="T988" t="s">
        <v>227</v>
      </c>
      <c r="U988" t="s">
        <v>227</v>
      </c>
      <c r="V988" t="s">
        <v>227</v>
      </c>
    </row>
    <row r="989">
      <c r="R989" t="s">
        <v>227</v>
      </c>
      <c r="S989" t="s">
        <v>227</v>
      </c>
      <c r="T989" t="s">
        <v>227</v>
      </c>
      <c r="U989" t="s">
        <v>227</v>
      </c>
      <c r="V989" t="s">
        <v>227</v>
      </c>
    </row>
    <row r="990">
      <c r="R990" t="s">
        <v>227</v>
      </c>
      <c r="S990" t="s">
        <v>227</v>
      </c>
      <c r="T990" t="s">
        <v>227</v>
      </c>
      <c r="U990" t="s">
        <v>227</v>
      </c>
      <c r="V990" t="s">
        <v>227</v>
      </c>
    </row>
    <row r="991">
      <c r="R991" t="s">
        <v>227</v>
      </c>
      <c r="S991" t="s">
        <v>227</v>
      </c>
      <c r="T991" t="s">
        <v>227</v>
      </c>
      <c r="U991" t="s">
        <v>227</v>
      </c>
      <c r="V991" t="s">
        <v>227</v>
      </c>
    </row>
    <row r="992">
      <c r="R992" t="s">
        <v>227</v>
      </c>
      <c r="S992" t="s">
        <v>227</v>
      </c>
      <c r="T992" t="s">
        <v>227</v>
      </c>
      <c r="U992" t="s">
        <v>227</v>
      </c>
      <c r="V992" t="s">
        <v>227</v>
      </c>
    </row>
    <row r="993">
      <c r="R993" t="s">
        <v>227</v>
      </c>
      <c r="S993" t="s">
        <v>227</v>
      </c>
      <c r="T993" t="s">
        <v>227</v>
      </c>
      <c r="U993" t="s">
        <v>227</v>
      </c>
      <c r="V993" t="s">
        <v>227</v>
      </c>
    </row>
    <row r="994">
      <c r="R994" t="s">
        <v>227</v>
      </c>
      <c r="S994" t="s">
        <v>227</v>
      </c>
      <c r="T994" t="s">
        <v>227</v>
      </c>
      <c r="U994" t="s">
        <v>227</v>
      </c>
      <c r="V994" t="s">
        <v>227</v>
      </c>
    </row>
    <row r="995">
      <c r="R995" t="s">
        <v>227</v>
      </c>
      <c r="S995" t="s">
        <v>227</v>
      </c>
      <c r="T995" t="s">
        <v>227</v>
      </c>
      <c r="U995" t="s">
        <v>227</v>
      </c>
      <c r="V995" t="s">
        <v>227</v>
      </c>
    </row>
    <row r="996">
      <c r="R996" t="s">
        <v>227</v>
      </c>
      <c r="S996" t="s">
        <v>227</v>
      </c>
      <c r="T996" t="s">
        <v>227</v>
      </c>
      <c r="U996" t="s">
        <v>227</v>
      </c>
      <c r="V996" t="s">
        <v>227</v>
      </c>
    </row>
    <row r="997">
      <c r="R997" t="s">
        <v>227</v>
      </c>
      <c r="S997" t="s">
        <v>227</v>
      </c>
      <c r="T997" t="s">
        <v>227</v>
      </c>
      <c r="U997" t="s">
        <v>227</v>
      </c>
      <c r="V997" t="s">
        <v>227</v>
      </c>
    </row>
    <row r="998">
      <c r="R998" t="s">
        <v>227</v>
      </c>
      <c r="S998" t="s">
        <v>227</v>
      </c>
      <c r="T998" t="s">
        <v>227</v>
      </c>
      <c r="U998" t="s">
        <v>227</v>
      </c>
      <c r="V998" t="s">
        <v>227</v>
      </c>
    </row>
    <row r="999">
      <c r="R999" t="s">
        <v>227</v>
      </c>
      <c r="S999" t="s">
        <v>227</v>
      </c>
      <c r="T999" t="s">
        <v>227</v>
      </c>
      <c r="U999" t="s">
        <v>227</v>
      </c>
      <c r="V999" t="s">
        <v>227</v>
      </c>
    </row>
    <row r="1000">
      <c r="R1000" t="s">
        <v>227</v>
      </c>
      <c r="S1000" t="s">
        <v>227</v>
      </c>
      <c r="T1000" t="s">
        <v>227</v>
      </c>
      <c r="U1000" t="s">
        <v>227</v>
      </c>
      <c r="V1000" t="s">
        <v>227</v>
      </c>
    </row>
  </sheetData>
  <mergeCells count="15">
    <mergeCell ref="A157:B157"/>
    <mergeCell ref="A209:B209"/>
    <mergeCell ref="C209:D209"/>
    <mergeCell ref="A261:B261"/>
    <mergeCell ref="C261:D261"/>
    <mergeCell ref="A313:L313"/>
    <mergeCell ref="M313:N313"/>
    <mergeCell ref="A365:B365"/>
    <mergeCell ref="A1:B1"/>
    <mergeCell ref="C1:D1"/>
    <mergeCell ref="A53:B53"/>
    <mergeCell ref="C53:D53"/>
    <mergeCell ref="A105:B105"/>
    <mergeCell ref="C105:D105"/>
    <mergeCell ref="C157:D15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t="str">
        <f>IF(Projections!$H$3,Draft!C3,"")</f>
        <v>Nikola Jokic</v>
      </c>
      <c r="B5" t="str">
        <f>IFERROR(__xludf.DUMMYFUNCTION("IF(Projections!G3=""LeagV"", QUERY('NO USAR1'!N20:AL410, ""select * order by R desc ""),IF(Projections!G3=""PuntV"",QUERY('NO USAR1'!N20:AL410, ""select * order by S desc ""),IF(Projections!G3=""Punt+"",QUERY('NO USAR1'!N20:AL410, ""select * order by T de"&amp;"sc ""),IF(Projections!G3=""PTS"",QUERY('NO USAR1'!N20:AL410, ""select * order by U desc ""),IF(Projections!G3=""3P"",QUERY('NO USAR1'!N20:AL410, ""select * order by V desc ""),IF(Projections!G3=""REB"",QUERY('NO USAR1'!N20:AL410, ""select * order by W des"&amp;"c ""),IF(Projections!G3=""AST"",QUERY('NO USAR1'!N20:AL410, ""select * order by X desc ""),IF(Projections!G3=""STL"",QUERY('NO USAR1'!N20:AL410, ""select * order by Y desc ""),IF(Projections!G3=""BLK"",QUERY('NO USAR1'!N20:AL410, ""select * order by Z des"&amp;"c ""),IF(Projections!G3=""FG%"",QUERY('NO USAR1'!N20:AL410, ""select * order by AA desc ""),IF(Projections!G3=""FT%"",QUERY('NO USAR1'!N20:AL410, ""select * order by AB desc ""),IF(Projections!G3=""TO"",QUERY('NO USAR1'!N20:AL410, ""select * order by AC d"&amp;"esc ""),IF(Projections!G3=""z p/g"", QUERY('NO USAR1'!N20:AL410, ""select * order by AD desc ""),IF(Projections!G3=""z 3/g"",QUERY('NO USAR1'!N20:AL410, ""select * order by AE desc ""),IF(Projections!G3=""z r/g"",QUERY('NO USAR1'!N20:AL410, ""select * ord"&amp;"er by AF desc ""),IF(Projections!G3=""z a/g"",QUERY('NO USAR1'!N20:AL410, ""select * order by AG desc ""),IF(Projections!G3=""z s/g"",QUERY('NO USAR1'!N20:AL410, ""select * order by AH desc ""),IF(Projections!G3=""z b/g"",QUERY('NO USAR1'!N20:AL410, ""sel"&amp;"ect * order by AI desc ""),IF(Projections!G3=""z fg%"", QUERY('NO USAR1'!N20:AL410, ""select * order by AJ desc ""),IF(Projections!G3=""z ft%"",QUERY('NO USAR1'!N20:AL410, ""select * order by AK desc ""),IF(Projections!G3=""z to/g"",QUERY('NO USAR1'!N20:A"&amp;"L410, ""select * order by AL desc ""))))))))))))))))))))))"),"Rank")</f>
        <v>Rank</v>
      </c>
      <c r="C5" t="str">
        <f>IFERROR(__xludf.DUMMYFUNCTION("""COMPUTED_VALUE"""),"Player")</f>
        <v>Player</v>
      </c>
      <c r="D5" t="str">
        <f>IFERROR(__xludf.DUMMYFUNCTION("""COMPUTED_VALUE"""),"GP")</f>
        <v>GP</v>
      </c>
      <c r="E5" t="str">
        <f>IFERROR(__xludf.DUMMYFUNCTION("""COMPUTED_VALUE"""),"Pos")</f>
        <v>Pos</v>
      </c>
      <c r="F5" t="str">
        <f>IFERROR(__xludf.DUMMYFUNCTION("""COMPUTED_VALUE"""),"LeagV")</f>
        <v>LeagV</v>
      </c>
      <c r="G5" t="str">
        <f>IFERROR(__xludf.DUMMYFUNCTION("""COMPUTED_VALUE"""),"PuntV")</f>
        <v>PuntV</v>
      </c>
      <c r="H5" t="str">
        <f>IFERROR(__xludf.DUMMYFUNCTION("""COMPUTED_VALUE"""),"Punt+")</f>
        <v>Punt+</v>
      </c>
      <c r="I5" t="str">
        <f>IFERROR(__xludf.DUMMYFUNCTION("""COMPUTED_VALUE"""),"PTS")</f>
        <v>PTS</v>
      </c>
      <c r="J5" t="str">
        <f>IFERROR(__xludf.DUMMYFUNCTION("""COMPUTED_VALUE"""),"3P")</f>
        <v>3P</v>
      </c>
      <c r="K5" t="str">
        <f>IFERROR(__xludf.DUMMYFUNCTION("""COMPUTED_VALUE"""),"REB")</f>
        <v>REB</v>
      </c>
      <c r="L5" t="str">
        <f>IFERROR(__xludf.DUMMYFUNCTION("""COMPUTED_VALUE"""),"AST")</f>
        <v>AST</v>
      </c>
      <c r="M5" t="str">
        <f>IFERROR(__xludf.DUMMYFUNCTION("""COMPUTED_VALUE"""),"STL")</f>
        <v>STL</v>
      </c>
      <c r="N5" t="str">
        <f>IFERROR(__xludf.DUMMYFUNCTION("""COMPUTED_VALUE"""),"BLK")</f>
        <v>BLK</v>
      </c>
      <c r="O5" t="str">
        <f>IFERROR(__xludf.DUMMYFUNCTION("""COMPUTED_VALUE"""),"FG%")</f>
        <v>FG%</v>
      </c>
      <c r="P5" t="str">
        <f>IFERROR(__xludf.DUMMYFUNCTION("""COMPUTED_VALUE"""),"FT%")</f>
        <v>FT%</v>
      </c>
      <c r="Q5" t="str">
        <f>IFERROR(__xludf.DUMMYFUNCTION("""COMPUTED_VALUE"""),"TO")</f>
        <v>TO</v>
      </c>
      <c r="R5" t="str">
        <f>IFERROR(__xludf.DUMMYFUNCTION("""COMPUTED_VALUE"""),"z p/g")</f>
        <v>z p/g</v>
      </c>
      <c r="S5" t="str">
        <f>IFERROR(__xludf.DUMMYFUNCTION("""COMPUTED_VALUE"""),"z 3/g")</f>
        <v>z 3/g</v>
      </c>
      <c r="T5" t="str">
        <f>IFERROR(__xludf.DUMMYFUNCTION("""COMPUTED_VALUE"""),"z r/g")</f>
        <v>z r/g</v>
      </c>
      <c r="U5" t="str">
        <f>IFERROR(__xludf.DUMMYFUNCTION("""COMPUTED_VALUE"""),"z a/g")</f>
        <v>z a/g</v>
      </c>
      <c r="V5" t="str">
        <f>IFERROR(__xludf.DUMMYFUNCTION("""COMPUTED_VALUE"""),"z s/g")</f>
        <v>z s/g</v>
      </c>
      <c r="W5" t="str">
        <f>IFERROR(__xludf.DUMMYFUNCTION("""COMPUTED_VALUE"""),"z b/g")</f>
        <v>z b/g</v>
      </c>
      <c r="X5" t="str">
        <f>IFERROR(__xludf.DUMMYFUNCTION("""COMPUTED_VALUE"""),"z fg%")</f>
        <v>z fg%</v>
      </c>
      <c r="Y5" t="str">
        <f>IFERROR(__xludf.DUMMYFUNCTION("""COMPUTED_VALUE"""),"z ft%")</f>
        <v>z ft%</v>
      </c>
      <c r="Z5" t="str">
        <f>IFERROR(__xludf.DUMMYFUNCTION("""COMPUTED_VALUE"""),"z to/g")</f>
        <v>z to/g</v>
      </c>
    </row>
    <row r="6">
      <c r="A6" t="str">
        <f>IF(Projections!$H$3,Draft!C4,"")</f>
        <v>Giannis Antetokounmpo</v>
      </c>
      <c r="B6">
        <f>IFERROR(__xludf.DUMMYFUNCTION("""COMPUTED_VALUE"""),1.0)</f>
        <v>1</v>
      </c>
      <c r="C6" t="str">
        <f>IFERROR(__xludf.DUMMYFUNCTION("""COMPUTED_VALUE"""),"Nikola Jokic")</f>
        <v>Nikola Jokic</v>
      </c>
      <c r="D6">
        <f>IFERROR(__xludf.DUMMYFUNCTION("""COMPUTED_VALUE"""),74.0)</f>
        <v>74</v>
      </c>
      <c r="E6" t="str">
        <f>IFERROR(__xludf.DUMMYFUNCTION("""COMPUTED_VALUE"""),"C")</f>
        <v>C</v>
      </c>
      <c r="F6" s="37">
        <f>IFERROR(__xludf.DUMMYFUNCTION("""COMPUTED_VALUE"""),10.953812561210027)</f>
        <v>10.95381256</v>
      </c>
      <c r="G6" s="37">
        <f>IFERROR(__xludf.DUMMYFUNCTION("""COMPUTED_VALUE"""),9.950989362487675)</f>
        <v>9.950989362</v>
      </c>
      <c r="H6" s="37">
        <f>IFERROR(__xludf.DUMMYFUNCTION("""COMPUTED_VALUE"""),-1.0028231987223517)</f>
        <v>-1.002823199</v>
      </c>
      <c r="I6" s="37">
        <f>IFERROR(__xludf.DUMMYFUNCTION("""COMPUTED_VALUE"""),26.3)</f>
        <v>26.3</v>
      </c>
      <c r="J6" s="37">
        <f>IFERROR(__xludf.DUMMYFUNCTION("""COMPUTED_VALUE"""),1.2)</f>
        <v>1.2</v>
      </c>
      <c r="K6" s="37">
        <f>IFERROR(__xludf.DUMMYFUNCTION("""COMPUTED_VALUE"""),13.8)</f>
        <v>13.8</v>
      </c>
      <c r="L6" s="37">
        <f>IFERROR(__xludf.DUMMYFUNCTION("""COMPUTED_VALUE"""),8.4)</f>
        <v>8.4</v>
      </c>
      <c r="M6" s="37">
        <f>IFERROR(__xludf.DUMMYFUNCTION("""COMPUTED_VALUE"""),1.4)</f>
        <v>1.4</v>
      </c>
      <c r="N6" s="37">
        <f>IFERROR(__xludf.DUMMYFUNCTION("""COMPUTED_VALUE"""),0.9)</f>
        <v>0.9</v>
      </c>
      <c r="O6" s="37">
        <f>IFERROR(__xludf.DUMMYFUNCTION("""COMPUTED_VALUE"""),58.04597701149425)</f>
        <v>58.04597701</v>
      </c>
      <c r="P6" s="37">
        <f>IFERROR(__xludf.DUMMYFUNCTION("""COMPUTED_VALUE"""),83.33333333333334)</f>
        <v>83.33333333</v>
      </c>
      <c r="Q6" s="37">
        <f>IFERROR(__xludf.DUMMYFUNCTION("""COMPUTED_VALUE"""),3.9)</f>
        <v>3.9</v>
      </c>
      <c r="R6" s="37">
        <f>IFERROR(__xludf.DUMMYFUNCTION("""COMPUTED_VALUE"""),2.488959140415589)</f>
        <v>2.48895914</v>
      </c>
      <c r="S6" s="37">
        <f>IFERROR(__xludf.DUMMYFUNCTION("""COMPUTED_VALUE"""),-0.41340444733554466)</f>
        <v>-0.4134044473</v>
      </c>
      <c r="T6" s="37">
        <f>IFERROR(__xludf.DUMMYFUNCTION("""COMPUTED_VALUE"""),3.1536694660307685)</f>
        <v>3.153669466</v>
      </c>
      <c r="U6" s="37">
        <f>IFERROR(__xludf.DUMMYFUNCTION("""COMPUTED_VALUE"""),2.6811090440149266)</f>
        <v>2.681109044</v>
      </c>
      <c r="V6" s="37">
        <f>IFERROR(__xludf.DUMMYFUNCTION("""COMPUTED_VALUE"""),1.6187376964660871)</f>
        <v>1.618737696</v>
      </c>
      <c r="W6" s="37">
        <f>IFERROR(__xludf.DUMMYFUNCTION("""COMPUTED_VALUE"""),0.0)</f>
        <v>0</v>
      </c>
      <c r="X6" s="37">
        <f>IFERROR(__xludf.DUMMYFUNCTION("""COMPUTED_VALUE"""),0.0)</f>
        <v>0</v>
      </c>
      <c r="Y6" s="37">
        <f>IFERROR(__xludf.DUMMYFUNCTION("""COMPUTED_VALUE"""),0.4219184628958483)</f>
        <v>0.4219184629</v>
      </c>
      <c r="Z6" s="37">
        <f>IFERROR(__xludf.DUMMYFUNCTION("""COMPUTED_VALUE"""),0.0)</f>
        <v>0</v>
      </c>
      <c r="AA6" t="str">
        <f>IFERROR(__xludf.DUMMYFUNCTION("SUBSTITUTE(REGEXREPLACE(REGEXREPLACE(REGEXREPLACE(REGEXREPLACE(REGEXREPLACE(REGEXREPLACE(E6,"","",),IF(Projections!$U$3="""",""PG"",),),IF(Projections!$V$3="""",""SG"",),),IF(Projections!$W$3="""",""SF"",),),IF(Projections!$X$3="""",""PF"",),),IF(Projecti"&amp;"ons!$Y$3="""",""C"",),),""/"","""")"),"C")</f>
        <v>C</v>
      </c>
    </row>
    <row r="7">
      <c r="A7" t="str">
        <f>IF(Projections!$H$3,Draft!C5,"")</f>
        <v>Joel Embiid</v>
      </c>
      <c r="B7">
        <f>IFERROR(__xludf.DUMMYFUNCTION("""COMPUTED_VALUE"""),6.0)</f>
        <v>6</v>
      </c>
      <c r="C7" t="str">
        <f>IFERROR(__xludf.DUMMYFUNCTION("""COMPUTED_VALUE"""),"Luka Doncic")</f>
        <v>Luka Doncic</v>
      </c>
      <c r="D7">
        <f>IFERROR(__xludf.DUMMYFUNCTION("""COMPUTED_VALUE"""),68.0)</f>
        <v>68</v>
      </c>
      <c r="E7" t="str">
        <f>IFERROR(__xludf.DUMMYFUNCTION("""COMPUTED_VALUE"""),"PG/SG")</f>
        <v>PG/SG</v>
      </c>
      <c r="F7" s="37">
        <f>IFERROR(__xludf.DUMMYFUNCTION("""COMPUTED_VALUE"""),6.096465623698118)</f>
        <v>6.096465624</v>
      </c>
      <c r="G7" s="37">
        <f>IFERROR(__xludf.DUMMYFUNCTION("""COMPUTED_VALUE"""),9.602754324437226)</f>
        <v>9.602754324</v>
      </c>
      <c r="H7" s="37">
        <f>IFERROR(__xludf.DUMMYFUNCTION("""COMPUTED_VALUE"""),3.506288700739108)</f>
        <v>3.506288701</v>
      </c>
      <c r="I7" s="37">
        <f>IFERROR(__xludf.DUMMYFUNCTION("""COMPUTED_VALUE"""),30.2)</f>
        <v>30.2</v>
      </c>
      <c r="J7" s="37">
        <f>IFERROR(__xludf.DUMMYFUNCTION("""COMPUTED_VALUE"""),3.2)</f>
        <v>3.2</v>
      </c>
      <c r="K7" s="37">
        <f>IFERROR(__xludf.DUMMYFUNCTION("""COMPUTED_VALUE"""),9.4)</f>
        <v>9.4</v>
      </c>
      <c r="L7" s="37">
        <f>IFERROR(__xludf.DUMMYFUNCTION("""COMPUTED_VALUE"""),8.9)</f>
        <v>8.9</v>
      </c>
      <c r="M7" s="37">
        <f>IFERROR(__xludf.DUMMYFUNCTION("""COMPUTED_VALUE"""),1.2)</f>
        <v>1.2</v>
      </c>
      <c r="N7" s="37">
        <f>IFERROR(__xludf.DUMMYFUNCTION("""COMPUTED_VALUE"""),0.6)</f>
        <v>0.6</v>
      </c>
      <c r="O7" s="37">
        <f>IFERROR(__xludf.DUMMYFUNCTION("""COMPUTED_VALUE"""),46.12068965517241)</f>
        <v>46.12068966</v>
      </c>
      <c r="P7" s="37">
        <f>IFERROR(__xludf.DUMMYFUNCTION("""COMPUTED_VALUE"""),74.02597402597402)</f>
        <v>74.02597403</v>
      </c>
      <c r="Q7" s="37">
        <f>IFERROR(__xludf.DUMMYFUNCTION("""COMPUTED_VALUE"""),4.6)</f>
        <v>4.6</v>
      </c>
      <c r="R7" s="37">
        <f>IFERROR(__xludf.DUMMYFUNCTION("""COMPUTED_VALUE"""),3.5274700591313906)</f>
        <v>3.527470059</v>
      </c>
      <c r="S7" s="37">
        <f>IFERROR(__xludf.DUMMYFUNCTION("""COMPUTED_VALUE"""),1.5865066777617318)</f>
        <v>1.586506678</v>
      </c>
      <c r="T7" s="37">
        <f>IFERROR(__xludf.DUMMYFUNCTION("""COMPUTED_VALUE"""),1.357521692657672)</f>
        <v>1.357521693</v>
      </c>
      <c r="U7" s="37">
        <f>IFERROR(__xludf.DUMMYFUNCTION("""COMPUTED_VALUE"""),2.966455649413658)</f>
        <v>2.966455649</v>
      </c>
      <c r="V7" s="37">
        <f>IFERROR(__xludf.DUMMYFUNCTION("""COMPUTED_VALUE"""),0.8011379785899962)</f>
        <v>0.8011379786</v>
      </c>
      <c r="W7" s="37">
        <f>IFERROR(__xludf.DUMMYFUNCTION("""COMPUTED_VALUE"""),0.0)</f>
        <v>0</v>
      </c>
      <c r="X7" s="37">
        <f>IFERROR(__xludf.DUMMYFUNCTION("""COMPUTED_VALUE"""),0.0)</f>
        <v>0</v>
      </c>
      <c r="Y7" s="37">
        <f>IFERROR(__xludf.DUMMYFUNCTION("""COMPUTED_VALUE"""),-0.6363377331172221)</f>
        <v>-0.6363377331</v>
      </c>
      <c r="Z7" s="37">
        <f>IFERROR(__xludf.DUMMYFUNCTION("""COMPUTED_VALUE"""),0.0)</f>
        <v>0</v>
      </c>
      <c r="AA7" t="str">
        <f>IFERROR(__xludf.DUMMYFUNCTION("SUBSTITUTE(REGEXREPLACE(REGEXREPLACE(REGEXREPLACE(REGEXREPLACE(REGEXREPLACE(REGEXREPLACE(E7,"","",),IF(Projections!$U$3="""",""PG"",),),IF(Projections!$V$3="""",""SG"",),),IF(Projections!$W$3="""",""SF"",),),IF(Projections!$X$3="""",""PF"",),),IF(Projecti"&amp;"ons!$Y$3="""",""C"",),),""/"","""")"),"PGSG")</f>
        <v>PGSG</v>
      </c>
    </row>
    <row r="8">
      <c r="A8" t="str">
        <f>IF(Projections!$H$3,Draft!C6,"")</f>
        <v>Luka Doncic</v>
      </c>
      <c r="B8">
        <f>IFERROR(__xludf.DUMMYFUNCTION("""COMPUTED_VALUE"""),4.0)</f>
        <v>4</v>
      </c>
      <c r="C8" t="str">
        <f>IFERROR(__xludf.DUMMYFUNCTION("""COMPUTED_VALUE"""),"James Harden")</f>
        <v>James Harden</v>
      </c>
      <c r="D8">
        <f>IFERROR(__xludf.DUMMYFUNCTION("""COMPUTED_VALUE"""),70.0)</f>
        <v>70</v>
      </c>
      <c r="E8" t="str">
        <f>IFERROR(__xludf.DUMMYFUNCTION("""COMPUTED_VALUE"""),"PG/SF")</f>
        <v>PG/SF</v>
      </c>
      <c r="F8" s="37">
        <f>IFERROR(__xludf.DUMMYFUNCTION("""COMPUTED_VALUE"""),7.5326197957812475)</f>
        <v>7.532619796</v>
      </c>
      <c r="G8" s="37">
        <f>IFERROR(__xludf.DUMMYFUNCTION("""COMPUTED_VALUE"""),8.736533651336675)</f>
        <v>8.736533651</v>
      </c>
      <c r="H8" s="37">
        <f>IFERROR(__xludf.DUMMYFUNCTION("""COMPUTED_VALUE"""),1.2039138555554274)</f>
        <v>1.203913856</v>
      </c>
      <c r="I8" s="37">
        <f>IFERROR(__xludf.DUMMYFUNCTION("""COMPUTED_VALUE"""),22.1)</f>
        <v>22.1</v>
      </c>
      <c r="J8" s="37">
        <f>IFERROR(__xludf.DUMMYFUNCTION("""COMPUTED_VALUE"""),2.3)</f>
        <v>2.3</v>
      </c>
      <c r="K8" s="37">
        <f>IFERROR(__xludf.DUMMYFUNCTION("""COMPUTED_VALUE"""),7.5)</f>
        <v>7.5</v>
      </c>
      <c r="L8" s="37">
        <f>IFERROR(__xludf.DUMMYFUNCTION("""COMPUTED_VALUE"""),10.2)</f>
        <v>10.2</v>
      </c>
      <c r="M8" s="37">
        <f>IFERROR(__xludf.DUMMYFUNCTION("""COMPUTED_VALUE"""),1.3)</f>
        <v>1.3</v>
      </c>
      <c r="N8" s="37">
        <f>IFERROR(__xludf.DUMMYFUNCTION("""COMPUTED_VALUE"""),0.6)</f>
        <v>0.6</v>
      </c>
      <c r="O8" s="37">
        <f>IFERROR(__xludf.DUMMYFUNCTION("""COMPUTED_VALUE"""),44.36619718309859)</f>
        <v>44.36619718</v>
      </c>
      <c r="P8" s="37">
        <f>IFERROR(__xludf.DUMMYFUNCTION("""COMPUTED_VALUE"""),87.8048780487805)</f>
        <v>87.80487805</v>
      </c>
      <c r="Q8" s="37">
        <f>IFERROR(__xludf.DUMMYFUNCTION("""COMPUTED_VALUE"""),4.4)</f>
        <v>4.4</v>
      </c>
      <c r="R8" s="37">
        <f>IFERROR(__xludf.DUMMYFUNCTION("""COMPUTED_VALUE"""),1.3705627664139557)</f>
        <v>1.370562766</v>
      </c>
      <c r="S8" s="37">
        <f>IFERROR(__xludf.DUMMYFUNCTION("""COMPUTED_VALUE"""),0.6865466714679571)</f>
        <v>0.6865466715</v>
      </c>
      <c r="T8" s="37">
        <f>IFERROR(__xludf.DUMMYFUNCTION("""COMPUTED_VALUE"""),0.5819124268829259)</f>
        <v>0.5819124269</v>
      </c>
      <c r="U8" s="37">
        <f>IFERROR(__xludf.DUMMYFUNCTION("""COMPUTED_VALUE"""),3.7083568234503597)</f>
        <v>3.708356823</v>
      </c>
      <c r="V8" s="37">
        <f>IFERROR(__xludf.DUMMYFUNCTION("""COMPUTED_VALUE"""),1.209937837528042)</f>
        <v>1.209937838</v>
      </c>
      <c r="W8" s="37">
        <f>IFERROR(__xludf.DUMMYFUNCTION("""COMPUTED_VALUE"""),0.0)</f>
        <v>0</v>
      </c>
      <c r="X8" s="37">
        <f>IFERROR(__xludf.DUMMYFUNCTION("""COMPUTED_VALUE"""),0.0)</f>
        <v>0</v>
      </c>
      <c r="Y8" s="37">
        <f>IFERROR(__xludf.DUMMYFUNCTION("""COMPUTED_VALUE"""),1.1792171255934354)</f>
        <v>1.179217126</v>
      </c>
      <c r="Z8" s="37">
        <f>IFERROR(__xludf.DUMMYFUNCTION("""COMPUTED_VALUE"""),0.0)</f>
        <v>0</v>
      </c>
      <c r="AA8" t="str">
        <f>IFERROR(__xludf.DUMMYFUNCTION("SUBSTITUTE(REGEXREPLACE(REGEXREPLACE(REGEXREPLACE(REGEXREPLACE(REGEXREPLACE(REGEXREPLACE(E8,"","",),IF(Projections!$U$3="""",""PG"",),),IF(Projections!$V$3="""",""SG"",),),IF(Projections!$W$3="""",""SF"",),),IF(Projections!$X$3="""",""PF"",),),IF(Projecti"&amp;"ons!$Y$3="""",""C"",),),""/"","""")"),"PGSF")</f>
        <v>PGSF</v>
      </c>
    </row>
    <row r="9">
      <c r="A9" t="str">
        <f>IF(Projections!$H$3,Draft!C7,"")</f>
        <v>James Harden</v>
      </c>
      <c r="B9">
        <f>IFERROR(__xludf.DUMMYFUNCTION("""COMPUTED_VALUE"""),9.0)</f>
        <v>9</v>
      </c>
      <c r="C9" t="str">
        <f>IFERROR(__xludf.DUMMYFUNCTION("""COMPUTED_VALUE"""),"LaMelo Ball")</f>
        <v>LaMelo Ball</v>
      </c>
      <c r="D9">
        <f>IFERROR(__xludf.DUMMYFUNCTION("""COMPUTED_VALUE"""),59.0)</f>
        <v>59</v>
      </c>
      <c r="E9" t="str">
        <f>IFERROR(__xludf.DUMMYFUNCTION("""COMPUTED_VALUE"""),"PG")</f>
        <v>PG</v>
      </c>
      <c r="F9" s="37">
        <f>IFERROR(__xludf.DUMMYFUNCTION("""COMPUTED_VALUE"""),5.523537917912062)</f>
        <v>5.523537918</v>
      </c>
      <c r="G9" s="37">
        <f>IFERROR(__xludf.DUMMYFUNCTION("""COMPUTED_VALUE"""),8.33298690580848)</f>
        <v>8.332986906</v>
      </c>
      <c r="H9" s="37">
        <f>IFERROR(__xludf.DUMMYFUNCTION("""COMPUTED_VALUE"""),2.8094489878964186)</f>
        <v>2.809448988</v>
      </c>
      <c r="I9" s="37">
        <f>IFERROR(__xludf.DUMMYFUNCTION("""COMPUTED_VALUE"""),21.3)</f>
        <v>21.3</v>
      </c>
      <c r="J9" s="37">
        <f>IFERROR(__xludf.DUMMYFUNCTION("""COMPUTED_VALUE"""),3.1)</f>
        <v>3.1</v>
      </c>
      <c r="K9" s="37">
        <f>IFERROR(__xludf.DUMMYFUNCTION("""COMPUTED_VALUE"""),6.9)</f>
        <v>6.9</v>
      </c>
      <c r="L9" s="37">
        <f>IFERROR(__xludf.DUMMYFUNCTION("""COMPUTED_VALUE"""),8.2)</f>
        <v>8.2</v>
      </c>
      <c r="M9" s="37">
        <f>IFERROR(__xludf.DUMMYFUNCTION("""COMPUTED_VALUE"""),1.6)</f>
        <v>1.6</v>
      </c>
      <c r="N9" s="37">
        <f>IFERROR(__xludf.DUMMYFUNCTION("""COMPUTED_VALUE"""),0.4)</f>
        <v>0.4</v>
      </c>
      <c r="O9" s="37">
        <f>IFERROR(__xludf.DUMMYFUNCTION("""COMPUTED_VALUE"""),43.258426966292134)</f>
        <v>43.25842697</v>
      </c>
      <c r="P9" s="37">
        <f>IFERROR(__xludf.DUMMYFUNCTION("""COMPUTED_VALUE"""),85.29411764705883)</f>
        <v>85.29411765</v>
      </c>
      <c r="Q9" s="37">
        <f>IFERROR(__xludf.DUMMYFUNCTION("""COMPUTED_VALUE"""),3.5)</f>
        <v>3.5</v>
      </c>
      <c r="R9" s="37">
        <f>IFERROR(__xludf.DUMMYFUNCTION("""COMPUTED_VALUE"""),1.1575348856517398)</f>
        <v>1.157534886</v>
      </c>
      <c r="S9" s="37">
        <f>IFERROR(__xludf.DUMMYFUNCTION("""COMPUTED_VALUE"""),1.4865111215068678)</f>
        <v>1.486511122</v>
      </c>
      <c r="T9" s="37">
        <f>IFERROR(__xludf.DUMMYFUNCTION("""COMPUTED_VALUE"""),0.33698318505932207)</f>
        <v>0.3369831851</v>
      </c>
      <c r="U9" s="37">
        <f>IFERROR(__xludf.DUMMYFUNCTION("""COMPUTED_VALUE"""),2.5669704018554333)</f>
        <v>2.566970402</v>
      </c>
      <c r="V9" s="37">
        <f>IFERROR(__xludf.DUMMYFUNCTION("""COMPUTED_VALUE"""),2.4363374143421788)</f>
        <v>2.436337414</v>
      </c>
      <c r="W9" s="37">
        <f>IFERROR(__xludf.DUMMYFUNCTION("""COMPUTED_VALUE"""),0.0)</f>
        <v>0</v>
      </c>
      <c r="X9" s="37">
        <f>IFERROR(__xludf.DUMMYFUNCTION("""COMPUTED_VALUE"""),0.0)</f>
        <v>0</v>
      </c>
      <c r="Y9" s="37">
        <f>IFERROR(__xludf.DUMMYFUNCTION("""COMPUTED_VALUE"""),0.34864989739293945)</f>
        <v>0.3486498974</v>
      </c>
      <c r="Z9" s="37">
        <f>IFERROR(__xludf.DUMMYFUNCTION("""COMPUTED_VALUE"""),0.0)</f>
        <v>0</v>
      </c>
      <c r="AA9" t="str">
        <f>IFERROR(__xludf.DUMMYFUNCTION("SUBSTITUTE(REGEXREPLACE(REGEXREPLACE(REGEXREPLACE(REGEXREPLACE(REGEXREPLACE(REGEXREPLACE(E9,"","",),IF(Projections!$U$3="""",""PG"",),),IF(Projections!$V$3="""",""SG"",),),IF(Projections!$W$3="""",""SF"",),),IF(Projections!$X$3="""",""PF"",),),IF(Projecti"&amp;"ons!$Y$3="""",""C"",),),""/"","""")"),"PG")</f>
        <v>PG</v>
      </c>
    </row>
    <row r="10">
      <c r="A10" t="str">
        <f>IF(Projections!$H$3,Draft!C8,"")</f>
        <v>Kevin Durant</v>
      </c>
      <c r="B10">
        <f>IFERROR(__xludf.DUMMYFUNCTION("""COMPUTED_VALUE"""),5.0)</f>
        <v>5</v>
      </c>
      <c r="C10" t="str">
        <f>IFERROR(__xludf.DUMMYFUNCTION("""COMPUTED_VALUE"""),"Stephen Curry")</f>
        <v>Stephen Curry</v>
      </c>
      <c r="D10">
        <f>IFERROR(__xludf.DUMMYFUNCTION("""COMPUTED_VALUE"""),68.0)</f>
        <v>68</v>
      </c>
      <c r="E10" t="str">
        <f>IFERROR(__xludf.DUMMYFUNCTION("""COMPUTED_VALUE"""),"PG")</f>
        <v>PG</v>
      </c>
      <c r="F10" s="37">
        <f>IFERROR(__xludf.DUMMYFUNCTION("""COMPUTED_VALUE"""),6.331405175487658)</f>
        <v>6.331405175</v>
      </c>
      <c r="G10" s="37">
        <f>IFERROR(__xludf.DUMMYFUNCTION("""COMPUTED_VALUE"""),8.175472306636898)</f>
        <v>8.175472307</v>
      </c>
      <c r="H10" s="37">
        <f>IFERROR(__xludf.DUMMYFUNCTION("""COMPUTED_VALUE"""),1.8440671311492398)</f>
        <v>1.844067131</v>
      </c>
      <c r="I10" s="37">
        <f>IFERROR(__xludf.DUMMYFUNCTION("""COMPUTED_VALUE"""),25.1)</f>
        <v>25.1</v>
      </c>
      <c r="J10" s="37">
        <f>IFERROR(__xludf.DUMMYFUNCTION("""COMPUTED_VALUE"""),4.6)</f>
        <v>4.6</v>
      </c>
      <c r="K10" s="37">
        <f>IFERROR(__xludf.DUMMYFUNCTION("""COMPUTED_VALUE"""),5.3)</f>
        <v>5.3</v>
      </c>
      <c r="L10" s="37">
        <f>IFERROR(__xludf.DUMMYFUNCTION("""COMPUTED_VALUE"""),6.4)</f>
        <v>6.4</v>
      </c>
      <c r="M10" s="37">
        <f>IFERROR(__xludf.DUMMYFUNCTION("""COMPUTED_VALUE"""),1.2)</f>
        <v>1.2</v>
      </c>
      <c r="N10" s="37">
        <f>IFERROR(__xludf.DUMMYFUNCTION("""COMPUTED_VALUE"""),0.4)</f>
        <v>0.4</v>
      </c>
      <c r="O10" s="37">
        <f>IFERROR(__xludf.DUMMYFUNCTION("""COMPUTED_VALUE"""),44.02173913043478)</f>
        <v>44.02173913</v>
      </c>
      <c r="P10" s="37">
        <f>IFERROR(__xludf.DUMMYFUNCTION("""COMPUTED_VALUE"""),91.66666666666667)</f>
        <v>91.66666667</v>
      </c>
      <c r="Q10" s="37">
        <f>IFERROR(__xludf.DUMMYFUNCTION("""COMPUTED_VALUE"""),3.3)</f>
        <v>3.3</v>
      </c>
      <c r="R10" s="37">
        <f>IFERROR(__xludf.DUMMYFUNCTION("""COMPUTED_VALUE"""),2.169417319272265)</f>
        <v>2.169417319</v>
      </c>
      <c r="S10" s="37">
        <f>IFERROR(__xludf.DUMMYFUNCTION("""COMPUTED_VALUE"""),2.9864444653298245)</f>
        <v>2.986444465</v>
      </c>
      <c r="T10" s="37">
        <f>IFERROR(__xludf.DUMMYFUNCTION("""COMPUTED_VALUE"""),-0.3161614598036222)</f>
        <v>-0.3161614598</v>
      </c>
      <c r="U10" s="37">
        <f>IFERROR(__xludf.DUMMYFUNCTION("""COMPUTED_VALUE"""),1.539722622420001)</f>
        <v>1.539722622</v>
      </c>
      <c r="V10" s="37">
        <f>IFERROR(__xludf.DUMMYFUNCTION("""COMPUTED_VALUE"""),0.8011379785899962)</f>
        <v>0.8011379786</v>
      </c>
      <c r="W10" s="37">
        <f>IFERROR(__xludf.DUMMYFUNCTION("""COMPUTED_VALUE"""),0.0)</f>
        <v>0</v>
      </c>
      <c r="X10" s="37">
        <f>IFERROR(__xludf.DUMMYFUNCTION("""COMPUTED_VALUE"""),0.0)</f>
        <v>0</v>
      </c>
      <c r="Y10" s="37">
        <f>IFERROR(__xludf.DUMMYFUNCTION("""COMPUTED_VALUE"""),0.9949113808284337)</f>
        <v>0.9949113808</v>
      </c>
      <c r="Z10" s="37">
        <f>IFERROR(__xludf.DUMMYFUNCTION("""COMPUTED_VALUE"""),0.0)</f>
        <v>0</v>
      </c>
      <c r="AA10" t="str">
        <f>IFERROR(__xludf.DUMMYFUNCTION("SUBSTITUTE(REGEXREPLACE(REGEXREPLACE(REGEXREPLACE(REGEXREPLACE(REGEXREPLACE(REGEXREPLACE(E10,"","",),IF(Projections!$U$3="""",""PG"",),),IF(Projections!$V$3="""",""SG"",),),IF(Projections!$W$3="""",""SF"",),),IF(Projections!$X$3="""",""PF"",),),IF(Project"&amp;"ions!$Y$3="""",""C"",),),""/"","""")"),"PG")</f>
        <v>PG</v>
      </c>
    </row>
    <row r="11">
      <c r="A11" t="str">
        <f>IF(Projections!$H$3,Draft!C9,"")</f>
        <v>Stephen Curry</v>
      </c>
      <c r="B11">
        <f>IFERROR(__xludf.DUMMYFUNCTION("""COMPUTED_VALUE"""),12.0)</f>
        <v>12</v>
      </c>
      <c r="C11" t="str">
        <f>IFERROR(__xludf.DUMMYFUNCTION("""COMPUTED_VALUE"""),"Trae Young")</f>
        <v>Trae Young</v>
      </c>
      <c r="D11">
        <f>IFERROR(__xludf.DUMMYFUNCTION("""COMPUTED_VALUE"""),76.0)</f>
        <v>76</v>
      </c>
      <c r="E11" t="str">
        <f>IFERROR(__xludf.DUMMYFUNCTION("""COMPUTED_VALUE"""),"PG")</f>
        <v>PG</v>
      </c>
      <c r="F11" s="37">
        <f>IFERROR(__xludf.DUMMYFUNCTION("""COMPUTED_VALUE"""),4.931880320882485)</f>
        <v>4.931880321</v>
      </c>
      <c r="G11" s="37">
        <f>IFERROR(__xludf.DUMMYFUNCTION("""COMPUTED_VALUE"""),7.04965908434924)</f>
        <v>7.049659084</v>
      </c>
      <c r="H11" s="37">
        <f>IFERROR(__xludf.DUMMYFUNCTION("""COMPUTED_VALUE"""),2.117778763466755)</f>
        <v>2.117778763</v>
      </c>
      <c r="I11" s="37">
        <f>IFERROR(__xludf.DUMMYFUNCTION("""COMPUTED_VALUE"""),27.4)</f>
        <v>27.4</v>
      </c>
      <c r="J11" s="37">
        <f>IFERROR(__xludf.DUMMYFUNCTION("""COMPUTED_VALUE"""),3.0)</f>
        <v>3</v>
      </c>
      <c r="K11" s="37">
        <f>IFERROR(__xludf.DUMMYFUNCTION("""COMPUTED_VALUE"""),3.7)</f>
        <v>3.7</v>
      </c>
      <c r="L11" s="37">
        <f>IFERROR(__xludf.DUMMYFUNCTION("""COMPUTED_VALUE"""),8.7)</f>
        <v>8.7</v>
      </c>
      <c r="M11" s="37">
        <f>IFERROR(__xludf.DUMMYFUNCTION("""COMPUTED_VALUE"""),0.9)</f>
        <v>0.9</v>
      </c>
      <c r="N11" s="37">
        <f>IFERROR(__xludf.DUMMYFUNCTION("""COMPUTED_VALUE"""),0.1)</f>
        <v>0.1</v>
      </c>
      <c r="O11" s="37">
        <f>IFERROR(__xludf.DUMMYFUNCTION("""COMPUTED_VALUE"""),45.0)</f>
        <v>45</v>
      </c>
      <c r="P11" s="37">
        <f>IFERROR(__xludf.DUMMYFUNCTION("""COMPUTED_VALUE"""),91.42857142857143)</f>
        <v>91.42857143</v>
      </c>
      <c r="Q11" s="37">
        <f>IFERROR(__xludf.DUMMYFUNCTION("""COMPUTED_VALUE"""),3.9)</f>
        <v>3.9</v>
      </c>
      <c r="R11" s="37">
        <f>IFERROR(__xludf.DUMMYFUNCTION("""COMPUTED_VALUE"""),2.781872476463635)</f>
        <v>2.781872476</v>
      </c>
      <c r="S11" s="37">
        <f>IFERROR(__xludf.DUMMYFUNCTION("""COMPUTED_VALUE"""),1.386515565252004)</f>
        <v>1.386515565</v>
      </c>
      <c r="T11" s="37">
        <f>IFERROR(__xludf.DUMMYFUNCTION("""COMPUTED_VALUE"""),-0.9693061046665661)</f>
        <v>-0.9693061047</v>
      </c>
      <c r="U11" s="37">
        <f>IFERROR(__xludf.DUMMYFUNCTION("""COMPUTED_VALUE"""),2.8523170072541646)</f>
        <v>2.852317007</v>
      </c>
      <c r="V11" s="37">
        <f>IFERROR(__xludf.DUMMYFUNCTION("""COMPUTED_VALUE"""),-0.42526159822414)</f>
        <v>-0.4252615982</v>
      </c>
      <c r="W11" s="37">
        <f>IFERROR(__xludf.DUMMYFUNCTION("""COMPUTED_VALUE"""),0.0)</f>
        <v>0</v>
      </c>
      <c r="X11" s="37">
        <f>IFERROR(__xludf.DUMMYFUNCTION("""COMPUTED_VALUE"""),0.0)</f>
        <v>0</v>
      </c>
      <c r="Y11" s="37">
        <f>IFERROR(__xludf.DUMMYFUNCTION("""COMPUTED_VALUE"""),1.4235217382701428)</f>
        <v>1.423521738</v>
      </c>
      <c r="Z11" s="37">
        <f>IFERROR(__xludf.DUMMYFUNCTION("""COMPUTED_VALUE"""),0.0)</f>
        <v>0</v>
      </c>
      <c r="AA11" t="str">
        <f>IFERROR(__xludf.DUMMYFUNCTION("SUBSTITUTE(REGEXREPLACE(REGEXREPLACE(REGEXREPLACE(REGEXREPLACE(REGEXREPLACE(REGEXREPLACE(E11,"","",),IF(Projections!$U$3="""",""PG"",),),IF(Projections!$V$3="""",""SG"",),),IF(Projections!$W$3="""",""SF"",),),IF(Projections!$X$3="""",""PF"",),),IF(Project"&amp;"ions!$Y$3="""",""C"",),),""/"","""")"),"PG")</f>
        <v>PG</v>
      </c>
    </row>
    <row r="12">
      <c r="A12" t="str">
        <f>IF(Projections!$H$3,Draft!C10,"")</f>
        <v>Jayson Tatum</v>
      </c>
      <c r="B12">
        <f>IFERROR(__xludf.DUMMYFUNCTION("""COMPUTED_VALUE"""),11.0)</f>
        <v>11</v>
      </c>
      <c r="C12" t="str">
        <f>IFERROR(__xludf.DUMMYFUNCTION("""COMPUTED_VALUE"""),"Paul George")</f>
        <v>Paul George</v>
      </c>
      <c r="D12">
        <f>IFERROR(__xludf.DUMMYFUNCTION("""COMPUTED_VALUE"""),76.0)</f>
        <v>76</v>
      </c>
      <c r="E12" t="str">
        <f>IFERROR(__xludf.DUMMYFUNCTION("""COMPUTED_VALUE"""),"PG/SG")</f>
        <v>PG/SG</v>
      </c>
      <c r="F12" s="37">
        <f>IFERROR(__xludf.DUMMYFUNCTION("""COMPUTED_VALUE"""),4.948794322838329)</f>
        <v>4.948794323</v>
      </c>
      <c r="G12" s="37">
        <f>IFERROR(__xludf.DUMMYFUNCTION("""COMPUTED_VALUE"""),6.874625253155404)</f>
        <v>6.874625253</v>
      </c>
      <c r="H12" s="37">
        <f>IFERROR(__xludf.DUMMYFUNCTION("""COMPUTED_VALUE"""),1.9258309303170753)</f>
        <v>1.92583093</v>
      </c>
      <c r="I12" s="37">
        <f>IFERROR(__xludf.DUMMYFUNCTION("""COMPUTED_VALUE"""),23.5)</f>
        <v>23.5</v>
      </c>
      <c r="J12" s="37">
        <f>IFERROR(__xludf.DUMMYFUNCTION("""COMPUTED_VALUE"""),2.9)</f>
        <v>2.9</v>
      </c>
      <c r="K12" s="37">
        <f>IFERROR(__xludf.DUMMYFUNCTION("""COMPUTED_VALUE"""),6.9)</f>
        <v>6.9</v>
      </c>
      <c r="L12" s="37">
        <f>IFERROR(__xludf.DUMMYFUNCTION("""COMPUTED_VALUE"""),4.7)</f>
        <v>4.7</v>
      </c>
      <c r="M12" s="37">
        <f>IFERROR(__xludf.DUMMYFUNCTION("""COMPUTED_VALUE"""),1.6)</f>
        <v>1.6</v>
      </c>
      <c r="N12" s="37">
        <f>IFERROR(__xludf.DUMMYFUNCTION("""COMPUTED_VALUE"""),0.4)</f>
        <v>0.4</v>
      </c>
      <c r="O12" s="37">
        <f>IFERROR(__xludf.DUMMYFUNCTION("""COMPUTED_VALUE"""),45.85635359116022)</f>
        <v>45.85635359</v>
      </c>
      <c r="P12" s="37">
        <f>IFERROR(__xludf.DUMMYFUNCTION("""COMPUTED_VALUE"""),85.41666666666666)</f>
        <v>85.41666667</v>
      </c>
      <c r="Q12" s="37">
        <f>IFERROR(__xludf.DUMMYFUNCTION("""COMPUTED_VALUE"""),4.1)</f>
        <v>4.1</v>
      </c>
      <c r="R12" s="37">
        <f>IFERROR(__xludf.DUMMYFUNCTION("""COMPUTED_VALUE"""),1.743361557747833)</f>
        <v>1.743361558</v>
      </c>
      <c r="S12" s="37">
        <f>IFERROR(__xludf.DUMMYFUNCTION("""COMPUTED_VALUE"""),1.28652000899714)</f>
        <v>1.286520009</v>
      </c>
      <c r="T12" s="37">
        <f>IFERROR(__xludf.DUMMYFUNCTION("""COMPUTED_VALUE"""),0.33698318505932207)</f>
        <v>0.3369831851</v>
      </c>
      <c r="U12" s="37">
        <f>IFERROR(__xludf.DUMMYFUNCTION("""COMPUTED_VALUE"""),0.5695441640643137)</f>
        <v>0.5695441641</v>
      </c>
      <c r="V12" s="37">
        <f>IFERROR(__xludf.DUMMYFUNCTION("""COMPUTED_VALUE"""),2.4363374143421788)</f>
        <v>2.436337414</v>
      </c>
      <c r="W12" s="37">
        <f>IFERROR(__xludf.DUMMYFUNCTION("""COMPUTED_VALUE"""),0.0)</f>
        <v>0</v>
      </c>
      <c r="X12" s="37">
        <f>IFERROR(__xludf.DUMMYFUNCTION("""COMPUTED_VALUE"""),0.0)</f>
        <v>0</v>
      </c>
      <c r="Y12" s="37">
        <f>IFERROR(__xludf.DUMMYFUNCTION("""COMPUTED_VALUE"""),0.5018789229446168)</f>
        <v>0.5018789229</v>
      </c>
      <c r="Z12" s="37">
        <f>IFERROR(__xludf.DUMMYFUNCTION("""COMPUTED_VALUE"""),0.0)</f>
        <v>0</v>
      </c>
      <c r="AA12" t="str">
        <f>IFERROR(__xludf.DUMMYFUNCTION("SUBSTITUTE(REGEXREPLACE(REGEXREPLACE(REGEXREPLACE(REGEXREPLACE(REGEXREPLACE(REGEXREPLACE(E12,"","",),IF(Projections!$U$3="""",""PG"",),),IF(Projections!$V$3="""",""SG"",),),IF(Projections!$W$3="""",""SF"",),),IF(Projections!$X$3="""",""PF"",),),IF(Project"&amp;"ions!$Y$3="""",""C"",),),""/"","""")"),"PGSG")</f>
        <v>PGSG</v>
      </c>
    </row>
    <row r="13">
      <c r="A13" t="str">
        <f>IF(Projections!$H$3,Draft!C11,"")</f>
        <v>LaMelo Ball</v>
      </c>
      <c r="B13">
        <f>IFERROR(__xludf.DUMMYFUNCTION("""COMPUTED_VALUE"""),3.0)</f>
        <v>3</v>
      </c>
      <c r="C13" t="str">
        <f>IFERROR(__xludf.DUMMYFUNCTION("""COMPUTED_VALUE"""),"Joel Embiid")</f>
        <v>Joel Embiid</v>
      </c>
      <c r="D13">
        <f>IFERROR(__xludf.DUMMYFUNCTION("""COMPUTED_VALUE"""),68.0)</f>
        <v>68</v>
      </c>
      <c r="E13" t="str">
        <f>IFERROR(__xludf.DUMMYFUNCTION("""COMPUTED_VALUE"""),"C")</f>
        <v>C</v>
      </c>
      <c r="F13" s="37">
        <f>IFERROR(__xludf.DUMMYFUNCTION("""COMPUTED_VALUE"""),7.782471127877488)</f>
        <v>7.782471128</v>
      </c>
      <c r="G13" s="37">
        <f>IFERROR(__xludf.DUMMYFUNCTION("""COMPUTED_VALUE"""),6.749577481874068)</f>
        <v>6.749577482</v>
      </c>
      <c r="H13" s="37">
        <f>IFERROR(__xludf.DUMMYFUNCTION("""COMPUTED_VALUE"""),-1.0328936460034202)</f>
        <v>-1.032893646</v>
      </c>
      <c r="I13" s="37">
        <f>IFERROR(__xludf.DUMMYFUNCTION("""COMPUTED_VALUE"""),30.4)</f>
        <v>30.4</v>
      </c>
      <c r="J13" s="37">
        <f>IFERROR(__xludf.DUMMYFUNCTION("""COMPUTED_VALUE"""),1.3)</f>
        <v>1.3</v>
      </c>
      <c r="K13" s="37">
        <f>IFERROR(__xludf.DUMMYFUNCTION("""COMPUTED_VALUE"""),11.9)</f>
        <v>11.9</v>
      </c>
      <c r="L13" s="37">
        <f>IFERROR(__xludf.DUMMYFUNCTION("""COMPUTED_VALUE"""),4.0)</f>
        <v>4</v>
      </c>
      <c r="M13" s="37">
        <f>IFERROR(__xludf.DUMMYFUNCTION("""COMPUTED_VALUE"""),1.1)</f>
        <v>1.1</v>
      </c>
      <c r="N13" s="37">
        <f>IFERROR(__xludf.DUMMYFUNCTION("""COMPUTED_VALUE"""),1.5)</f>
        <v>1.5</v>
      </c>
      <c r="O13" s="37">
        <f>IFERROR(__xludf.DUMMYFUNCTION("""COMPUTED_VALUE"""),49.494949494949495)</f>
        <v>49.49494949</v>
      </c>
      <c r="P13" s="37">
        <f>IFERROR(__xludf.DUMMYFUNCTION("""COMPUTED_VALUE"""),81.89655172413794)</f>
        <v>81.89655172</v>
      </c>
      <c r="Q13" s="37">
        <f>IFERROR(__xludf.DUMMYFUNCTION("""COMPUTED_VALUE"""),3.2)</f>
        <v>3.2</v>
      </c>
      <c r="R13" s="37">
        <f>IFERROR(__xludf.DUMMYFUNCTION("""COMPUTED_VALUE"""),3.580727029321944)</f>
        <v>3.580727029</v>
      </c>
      <c r="S13" s="37">
        <f>IFERROR(__xludf.DUMMYFUNCTION("""COMPUTED_VALUE"""),-0.31340889108068076)</f>
        <v>-0.3134088911</v>
      </c>
      <c r="T13" s="37">
        <f>IFERROR(__xludf.DUMMYFUNCTION("""COMPUTED_VALUE"""),2.378060200256022)</f>
        <v>2.3780602</v>
      </c>
      <c r="U13" s="37">
        <f>IFERROR(__xludf.DUMMYFUNCTION("""COMPUTED_VALUE"""),0.17005891650608962)</f>
        <v>0.1700589165</v>
      </c>
      <c r="V13" s="37">
        <f>IFERROR(__xludf.DUMMYFUNCTION("""COMPUTED_VALUE"""),0.39233811965195126)</f>
        <v>0.3923381197</v>
      </c>
      <c r="W13" s="37">
        <f>IFERROR(__xludf.DUMMYFUNCTION("""COMPUTED_VALUE"""),0.0)</f>
        <v>0</v>
      </c>
      <c r="X13" s="37">
        <f>IFERROR(__xludf.DUMMYFUNCTION("""COMPUTED_VALUE"""),0.0)</f>
        <v>0</v>
      </c>
      <c r="Y13" s="37">
        <f>IFERROR(__xludf.DUMMYFUNCTION("""COMPUTED_VALUE"""),0.541802107218742)</f>
        <v>0.5418021072</v>
      </c>
      <c r="Z13" s="37">
        <f>IFERROR(__xludf.DUMMYFUNCTION("""COMPUTED_VALUE"""),0.0)</f>
        <v>0</v>
      </c>
      <c r="AA13" t="str">
        <f>IFERROR(__xludf.DUMMYFUNCTION("SUBSTITUTE(REGEXREPLACE(REGEXREPLACE(REGEXREPLACE(REGEXREPLACE(REGEXREPLACE(REGEXREPLACE(E13,"","",),IF(Projections!$U$3="""",""PG"",),),IF(Projections!$V$3="""",""SG"",),),IF(Projections!$W$3="""",""SF"",),),IF(Projections!$X$3="""",""PF"",),),IF(Project"&amp;"ions!$Y$3="""",""C"",),),""/"","""")"),"C")</f>
        <v>C</v>
      </c>
    </row>
    <row r="14">
      <c r="A14" t="str">
        <f>IF(Projections!$H$3,Draft!C12,"")</f>
        <v>Trae Young</v>
      </c>
      <c r="B14">
        <f>IFERROR(__xludf.DUMMYFUNCTION("""COMPUTED_VALUE"""),2.0)</f>
        <v>2</v>
      </c>
      <c r="C14" t="str">
        <f>IFERROR(__xludf.DUMMYFUNCTION("""COMPUTED_VALUE"""),"Kevin Durant")</f>
        <v>Kevin Durant</v>
      </c>
      <c r="D14">
        <f>IFERROR(__xludf.DUMMYFUNCTION("""COMPUTED_VALUE"""),68.0)</f>
        <v>68</v>
      </c>
      <c r="E14" t="str">
        <f>IFERROR(__xludf.DUMMYFUNCTION("""COMPUTED_VALUE"""),"SF/PF")</f>
        <v>SF/PF</v>
      </c>
      <c r="F14" s="37">
        <f>IFERROR(__xludf.DUMMYFUNCTION("""COMPUTED_VALUE"""),7.832399984231774)</f>
        <v>7.832399984</v>
      </c>
      <c r="G14" s="37">
        <f>IFERROR(__xludf.DUMMYFUNCTION("""COMPUTED_VALUE"""),6.627025861325052)</f>
        <v>6.627025861</v>
      </c>
      <c r="H14" s="37">
        <f>IFERROR(__xludf.DUMMYFUNCTION("""COMPUTED_VALUE"""),-1.205374122906722)</f>
        <v>-1.205374123</v>
      </c>
      <c r="I14" s="37">
        <f>IFERROR(__xludf.DUMMYFUNCTION("""COMPUTED_VALUE"""),29.2)</f>
        <v>29.2</v>
      </c>
      <c r="J14" s="37">
        <f>IFERROR(__xludf.DUMMYFUNCTION("""COMPUTED_VALUE"""),2.1)</f>
        <v>2.1</v>
      </c>
      <c r="K14" s="37">
        <f>IFERROR(__xludf.DUMMYFUNCTION("""COMPUTED_VALUE"""),7.2)</f>
        <v>7.2</v>
      </c>
      <c r="L14" s="37">
        <f>IFERROR(__xludf.DUMMYFUNCTION("""COMPUTED_VALUE"""),6.3)</f>
        <v>6.3</v>
      </c>
      <c r="M14" s="37">
        <f>IFERROR(__xludf.DUMMYFUNCTION("""COMPUTED_VALUE"""),0.9)</f>
        <v>0.9</v>
      </c>
      <c r="N14" s="37">
        <f>IFERROR(__xludf.DUMMYFUNCTION("""COMPUTED_VALUE"""),0.9)</f>
        <v>0.9</v>
      </c>
      <c r="O14" s="37">
        <f>IFERROR(__xludf.DUMMYFUNCTION("""COMPUTED_VALUE"""),52.02020202020202)</f>
        <v>52.02020202</v>
      </c>
      <c r="P14" s="37">
        <f>IFERROR(__xludf.DUMMYFUNCTION("""COMPUTED_VALUE"""),90.41095890410958)</f>
        <v>90.4109589</v>
      </c>
      <c r="Q14" s="37">
        <f>IFERROR(__xludf.DUMMYFUNCTION("""COMPUTED_VALUE"""),3.4)</f>
        <v>3.4</v>
      </c>
      <c r="R14" s="37">
        <f>IFERROR(__xludf.DUMMYFUNCTION("""COMPUTED_VALUE"""),3.261185208178621)</f>
        <v>3.261185208</v>
      </c>
      <c r="S14" s="37">
        <f>IFERROR(__xludf.DUMMYFUNCTION("""COMPUTED_VALUE"""),0.4865555589582297)</f>
        <v>0.486555559</v>
      </c>
      <c r="T14" s="37">
        <f>IFERROR(__xludf.DUMMYFUNCTION("""COMPUTED_VALUE"""),0.459447805971124)</f>
        <v>0.459447806</v>
      </c>
      <c r="U14" s="37">
        <f>IFERROR(__xludf.DUMMYFUNCTION("""COMPUTED_VALUE"""),1.4826533013402543)</f>
        <v>1.482653301</v>
      </c>
      <c r="V14" s="37">
        <f>IFERROR(__xludf.DUMMYFUNCTION("""COMPUTED_VALUE"""),-0.42526159822414)</f>
        <v>-0.4252615982</v>
      </c>
      <c r="W14" s="37">
        <f>IFERROR(__xludf.DUMMYFUNCTION("""COMPUTED_VALUE"""),0.0)</f>
        <v>0</v>
      </c>
      <c r="X14" s="37">
        <f>IFERROR(__xludf.DUMMYFUNCTION("""COMPUTED_VALUE"""),0.0)</f>
        <v>0</v>
      </c>
      <c r="Y14" s="37">
        <f>IFERROR(__xludf.DUMMYFUNCTION("""COMPUTED_VALUE"""),1.3624455851009643)</f>
        <v>1.362445585</v>
      </c>
      <c r="Z14" s="37">
        <f>IFERROR(__xludf.DUMMYFUNCTION("""COMPUTED_VALUE"""),0.0)</f>
        <v>0</v>
      </c>
      <c r="AA14" t="str">
        <f>IFERROR(__xludf.DUMMYFUNCTION("SUBSTITUTE(REGEXREPLACE(REGEXREPLACE(REGEXREPLACE(REGEXREPLACE(REGEXREPLACE(REGEXREPLACE(E14,"","",),IF(Projections!$U$3="""",""PG"",),),IF(Projections!$V$3="""",""SG"",),),IF(Projections!$W$3="""",""SF"",),),IF(Projections!$X$3="""",""PF"",),),IF(Project"&amp;"ions!$Y$3="""",""C"",),),""/"","""")"),"SFPF")</f>
        <v>SFPF</v>
      </c>
    </row>
    <row r="15">
      <c r="A15" t="str">
        <f>IF(Projections!$H$3,Draft!C13,"")</f>
        <v>Karl-Anthony Towns</v>
      </c>
      <c r="B15">
        <f>IFERROR(__xludf.DUMMYFUNCTION("""COMPUTED_VALUE"""),13.0)</f>
        <v>13</v>
      </c>
      <c r="C15" t="str">
        <f>IFERROR(__xludf.DUMMYFUNCTION("""COMPUTED_VALUE"""),"Jayson Tatum")</f>
        <v>Jayson Tatum</v>
      </c>
      <c r="D15">
        <f>IFERROR(__xludf.DUMMYFUNCTION("""COMPUTED_VALUE"""),68.0)</f>
        <v>68</v>
      </c>
      <c r="E15" t="str">
        <f>IFERROR(__xludf.DUMMYFUNCTION("""COMPUTED_VALUE"""),"SF/PF")</f>
        <v>SF/PF</v>
      </c>
      <c r="F15" s="37">
        <f>IFERROR(__xludf.DUMMYFUNCTION("""COMPUTED_VALUE"""),4.91685705746898)</f>
        <v>4.916857057</v>
      </c>
      <c r="G15" s="37">
        <f>IFERROR(__xludf.DUMMYFUNCTION("""COMPUTED_VALUE"""),6.348219010757266)</f>
        <v>6.348219011</v>
      </c>
      <c r="H15" s="37">
        <f>IFERROR(__xludf.DUMMYFUNCTION("""COMPUTED_VALUE"""),1.4313619532882855)</f>
        <v>1.431361953</v>
      </c>
      <c r="I15" s="37">
        <f>IFERROR(__xludf.DUMMYFUNCTION("""COMPUTED_VALUE"""),27.5)</f>
        <v>27.5</v>
      </c>
      <c r="J15" s="37">
        <f>IFERROR(__xludf.DUMMYFUNCTION("""COMPUTED_VALUE"""),3.1)</f>
        <v>3.1</v>
      </c>
      <c r="K15" s="37">
        <f>IFERROR(__xludf.DUMMYFUNCTION("""COMPUTED_VALUE"""),8.2)</f>
        <v>8.2</v>
      </c>
      <c r="L15" s="37">
        <f>IFERROR(__xludf.DUMMYFUNCTION("""COMPUTED_VALUE"""),4.6)</f>
        <v>4.6</v>
      </c>
      <c r="M15" s="37">
        <f>IFERROR(__xludf.DUMMYFUNCTION("""COMPUTED_VALUE"""),1.0)</f>
        <v>1</v>
      </c>
      <c r="N15" s="37">
        <f>IFERROR(__xludf.DUMMYFUNCTION("""COMPUTED_VALUE"""),0.6)</f>
        <v>0.6</v>
      </c>
      <c r="O15" s="37">
        <f>IFERROR(__xludf.DUMMYFUNCTION("""COMPUTED_VALUE"""),45.23809523809524)</f>
        <v>45.23809524</v>
      </c>
      <c r="P15" s="37">
        <f>IFERROR(__xludf.DUMMYFUNCTION("""COMPUTED_VALUE"""),85.71428571428572)</f>
        <v>85.71428571</v>
      </c>
      <c r="Q15" s="37">
        <f>IFERROR(__xludf.DUMMYFUNCTION("""COMPUTED_VALUE"""),3.0)</f>
        <v>3</v>
      </c>
      <c r="R15" s="37">
        <f>IFERROR(__xludf.DUMMYFUNCTION("""COMPUTED_VALUE"""),2.808500961558912)</f>
        <v>2.808500962</v>
      </c>
      <c r="S15" s="37">
        <f>IFERROR(__xludf.DUMMYFUNCTION("""COMPUTED_VALUE"""),1.4865111215068678)</f>
        <v>1.486511122</v>
      </c>
      <c r="T15" s="37">
        <f>IFERROR(__xludf.DUMMYFUNCTION("""COMPUTED_VALUE"""),0.8676632090104637)</f>
        <v>0.867663209</v>
      </c>
      <c r="U15" s="37">
        <f>IFERROR(__xludf.DUMMYFUNCTION("""COMPUTED_VALUE"""),0.5124748429845672)</f>
        <v>0.512474843</v>
      </c>
      <c r="V15" s="37">
        <f>IFERROR(__xludf.DUMMYFUNCTION("""COMPUTED_VALUE"""),-0.01646173928609459)</f>
        <v>-0.01646173929</v>
      </c>
      <c r="W15" s="37">
        <f>IFERROR(__xludf.DUMMYFUNCTION("""COMPUTED_VALUE"""),0.0)</f>
        <v>0</v>
      </c>
      <c r="X15" s="37">
        <f>IFERROR(__xludf.DUMMYFUNCTION("""COMPUTED_VALUE"""),0.0)</f>
        <v>0</v>
      </c>
      <c r="Y15" s="37">
        <f>IFERROR(__xludf.DUMMYFUNCTION("""COMPUTED_VALUE"""),0.689530614982549)</f>
        <v>0.689530615</v>
      </c>
      <c r="Z15" s="37">
        <f>IFERROR(__xludf.DUMMYFUNCTION("""COMPUTED_VALUE"""),0.0)</f>
        <v>0</v>
      </c>
      <c r="AA15" t="str">
        <f>IFERROR(__xludf.DUMMYFUNCTION("SUBSTITUTE(REGEXREPLACE(REGEXREPLACE(REGEXREPLACE(REGEXREPLACE(REGEXREPLACE(REGEXREPLACE(E15,"","",),IF(Projections!$U$3="""",""PG"",),),IF(Projections!$V$3="""",""SG"",),),IF(Projections!$W$3="""",""SF"",),),IF(Projections!$X$3="""",""PF"",),),IF(Project"&amp;"ions!$Y$3="""",""C"",),),""/"","""")"),"SFPF")</f>
        <v>SFPF</v>
      </c>
    </row>
    <row r="16">
      <c r="A16" t="str">
        <f>IF(Projections!$H$3,Draft!C14,"")</f>
        <v>Damian Lillard</v>
      </c>
      <c r="B16">
        <f>IFERROR(__xludf.DUMMYFUNCTION("""COMPUTED_VALUE"""),20.0)</f>
        <v>20</v>
      </c>
      <c r="C16" t="str">
        <f>IFERROR(__xludf.DUMMYFUNCTION("""COMPUTED_VALUE"""),"Fred VanVleet")</f>
        <v>Fred VanVleet</v>
      </c>
      <c r="D16">
        <f>IFERROR(__xludf.DUMMYFUNCTION("""COMPUTED_VALUE"""),58.0)</f>
        <v>58</v>
      </c>
      <c r="E16" t="str">
        <f>IFERROR(__xludf.DUMMYFUNCTION("""COMPUTED_VALUE"""),"PG/SF")</f>
        <v>PG/SF</v>
      </c>
      <c r="F16" s="37">
        <f>IFERROR(__xludf.DUMMYFUNCTION("""COMPUTED_VALUE"""),3.769391046121652)</f>
        <v>3.769391046</v>
      </c>
      <c r="G16" s="37">
        <f>IFERROR(__xludf.DUMMYFUNCTION("""COMPUTED_VALUE"""),6.308691029659802)</f>
        <v>6.30869103</v>
      </c>
      <c r="H16" s="37">
        <f>IFERROR(__xludf.DUMMYFUNCTION("""COMPUTED_VALUE"""),2.5392999835381502)</f>
        <v>2.539299984</v>
      </c>
      <c r="I16" s="37">
        <f>IFERROR(__xludf.DUMMYFUNCTION("""COMPUTED_VALUE"""),20.0)</f>
        <v>20</v>
      </c>
      <c r="J16" s="37">
        <f>IFERROR(__xludf.DUMMYFUNCTION("""COMPUTED_VALUE"""),3.6)</f>
        <v>3.6</v>
      </c>
      <c r="K16" s="37">
        <f>IFERROR(__xludf.DUMMYFUNCTION("""COMPUTED_VALUE"""),4.4)</f>
        <v>4.4</v>
      </c>
      <c r="L16" s="37">
        <f>IFERROR(__xludf.DUMMYFUNCTION("""COMPUTED_VALUE"""),6.6)</f>
        <v>6.6</v>
      </c>
      <c r="M16" s="37">
        <f>IFERROR(__xludf.DUMMYFUNCTION("""COMPUTED_VALUE"""),1.5)</f>
        <v>1.5</v>
      </c>
      <c r="N16" s="37">
        <f>IFERROR(__xludf.DUMMYFUNCTION("""COMPUTED_VALUE"""),0.5)</f>
        <v>0.5</v>
      </c>
      <c r="O16" s="37">
        <f>IFERROR(__xludf.DUMMYFUNCTION("""COMPUTED_VALUE"""),40.361445783132524)</f>
        <v>40.36144578</v>
      </c>
      <c r="P16" s="37">
        <f>IFERROR(__xludf.DUMMYFUNCTION("""COMPUTED_VALUE"""),88.23529411764706)</f>
        <v>88.23529412</v>
      </c>
      <c r="Q16" s="37">
        <f>IFERROR(__xludf.DUMMYFUNCTION("""COMPUTED_VALUE"""),2.6)</f>
        <v>2.6</v>
      </c>
      <c r="R16" s="37">
        <f>IFERROR(__xludf.DUMMYFUNCTION("""COMPUTED_VALUE"""),0.8113645794131388)</f>
        <v>0.8113645794</v>
      </c>
      <c r="S16" s="37">
        <f>IFERROR(__xludf.DUMMYFUNCTION("""COMPUTED_VALUE"""),1.986488902781187)</f>
        <v>1.986488903</v>
      </c>
      <c r="T16" s="37">
        <f>IFERROR(__xludf.DUMMYFUNCTION("""COMPUTED_VALUE"""),-0.683555322539028)</f>
        <v>-0.6835553225</v>
      </c>
      <c r="U16" s="37">
        <f>IFERROR(__xludf.DUMMYFUNCTION("""COMPUTED_VALUE"""),1.653861264579493)</f>
        <v>1.653861265</v>
      </c>
      <c r="V16" s="37">
        <f>IFERROR(__xludf.DUMMYFUNCTION("""COMPUTED_VALUE"""),2.027537555404133)</f>
        <v>2.027537555</v>
      </c>
      <c r="W16" s="37">
        <f>IFERROR(__xludf.DUMMYFUNCTION("""COMPUTED_VALUE"""),0.0)</f>
        <v>0</v>
      </c>
      <c r="X16" s="37">
        <f>IFERROR(__xludf.DUMMYFUNCTION("""COMPUTED_VALUE"""),0.0)</f>
        <v>0</v>
      </c>
      <c r="Y16" s="37">
        <f>IFERROR(__xludf.DUMMYFUNCTION("""COMPUTED_VALUE"""),0.5129940500208782)</f>
        <v>0.51299405</v>
      </c>
      <c r="Z16" s="37">
        <f>IFERROR(__xludf.DUMMYFUNCTION("""COMPUTED_VALUE"""),0.0)</f>
        <v>0</v>
      </c>
      <c r="AA16" t="str">
        <f>IFERROR(__xludf.DUMMYFUNCTION("SUBSTITUTE(REGEXREPLACE(REGEXREPLACE(REGEXREPLACE(REGEXREPLACE(REGEXREPLACE(REGEXREPLACE(E16,"","",),IF(Projections!$U$3="""",""PG"",),),IF(Projections!$V$3="""",""SG"",),),IF(Projections!$W$3="""",""SF"",),),IF(Projections!$X$3="""",""PF"",),),IF(Project"&amp;"ions!$Y$3="""",""C"",),),""/"","""")"),"PGSF")</f>
        <v>PGSF</v>
      </c>
    </row>
    <row r="17">
      <c r="A17" t="str">
        <f>IF(Projections!$H$3,Draft!D3,"")</f>
        <v>Tyrese Haliburton</v>
      </c>
      <c r="B17">
        <f>IFERROR(__xludf.DUMMYFUNCTION("""COMPUTED_VALUE"""),16.0)</f>
        <v>16</v>
      </c>
      <c r="C17" t="str">
        <f>IFERROR(__xludf.DUMMYFUNCTION("""COMPUTED_VALUE"""),"Damian Lillard")</f>
        <v>Damian Lillard</v>
      </c>
      <c r="D17">
        <f>IFERROR(__xludf.DUMMYFUNCTION("""COMPUTED_VALUE"""),75.0)</f>
        <v>75</v>
      </c>
      <c r="E17" t="str">
        <f>IFERROR(__xludf.DUMMYFUNCTION("""COMPUTED_VALUE"""),"PG")</f>
        <v>PG</v>
      </c>
      <c r="F17" s="37">
        <f>IFERROR(__xludf.DUMMYFUNCTION("""COMPUTED_VALUE"""),4.487898054869126)</f>
        <v>4.487898055</v>
      </c>
      <c r="G17" s="37">
        <f>IFERROR(__xludf.DUMMYFUNCTION("""COMPUTED_VALUE"""),6.29535934528931)</f>
        <v>6.295359345</v>
      </c>
      <c r="H17" s="37">
        <f>IFERROR(__xludf.DUMMYFUNCTION("""COMPUTED_VALUE"""),1.8074612904201848)</f>
        <v>1.80746129</v>
      </c>
      <c r="I17" s="37">
        <f>IFERROR(__xludf.DUMMYFUNCTION("""COMPUTED_VALUE"""),25.5)</f>
        <v>25.5</v>
      </c>
      <c r="J17" s="37">
        <f>IFERROR(__xludf.DUMMYFUNCTION("""COMPUTED_VALUE"""),3.5)</f>
        <v>3.5</v>
      </c>
      <c r="K17" s="37">
        <f>IFERROR(__xludf.DUMMYFUNCTION("""COMPUTED_VALUE"""),4.2)</f>
        <v>4.2</v>
      </c>
      <c r="L17" s="37">
        <f>IFERROR(__xludf.DUMMYFUNCTION("""COMPUTED_VALUE"""),7.5)</f>
        <v>7.5</v>
      </c>
      <c r="M17" s="37">
        <f>IFERROR(__xludf.DUMMYFUNCTION("""COMPUTED_VALUE"""),0.9)</f>
        <v>0.9</v>
      </c>
      <c r="N17" s="37">
        <f>IFERROR(__xludf.DUMMYFUNCTION("""COMPUTED_VALUE"""),0.3)</f>
        <v>0.3</v>
      </c>
      <c r="O17" s="37">
        <f>IFERROR(__xludf.DUMMYFUNCTION("""COMPUTED_VALUE"""),43.956043956043956)</f>
        <v>43.95604396</v>
      </c>
      <c r="P17" s="37">
        <f>IFERROR(__xludf.DUMMYFUNCTION("""COMPUTED_VALUE"""),89.55223880597015)</f>
        <v>89.55223881</v>
      </c>
      <c r="Q17" s="37">
        <f>IFERROR(__xludf.DUMMYFUNCTION("""COMPUTED_VALUE"""),3.0)</f>
        <v>3</v>
      </c>
      <c r="R17" s="37">
        <f>IFERROR(__xludf.DUMMYFUNCTION("""COMPUTED_VALUE"""),2.2759312596533725)</f>
        <v>2.27593126</v>
      </c>
      <c r="S17" s="37">
        <f>IFERROR(__xludf.DUMMYFUNCTION("""COMPUTED_VALUE"""),1.886493346526323)</f>
        <v>1.886493347</v>
      </c>
      <c r="T17" s="37">
        <f>IFERROR(__xludf.DUMMYFUNCTION("""COMPUTED_VALUE"""),-0.765198403146896)</f>
        <v>-0.7651984031</v>
      </c>
      <c r="U17" s="37">
        <f>IFERROR(__xludf.DUMMYFUNCTION("""COMPUTED_VALUE"""),2.16748515429721)</f>
        <v>2.167485154</v>
      </c>
      <c r="V17" s="37">
        <f>IFERROR(__xludf.DUMMYFUNCTION("""COMPUTED_VALUE"""),-0.42526159822414)</f>
        <v>-0.4252615982</v>
      </c>
      <c r="W17" s="37">
        <f>IFERROR(__xludf.DUMMYFUNCTION("""COMPUTED_VALUE"""),0.0)</f>
        <v>0</v>
      </c>
      <c r="X17" s="37">
        <f>IFERROR(__xludf.DUMMYFUNCTION("""COMPUTED_VALUE"""),0.0)</f>
        <v>0</v>
      </c>
      <c r="Y17" s="37">
        <f>IFERROR(__xludf.DUMMYFUNCTION("""COMPUTED_VALUE"""),1.1559095861834416)</f>
        <v>1.155909586</v>
      </c>
      <c r="Z17" s="37">
        <f>IFERROR(__xludf.DUMMYFUNCTION("""COMPUTED_VALUE"""),0.0)</f>
        <v>0</v>
      </c>
      <c r="AA17" t="str">
        <f>IFERROR(__xludf.DUMMYFUNCTION("SUBSTITUTE(REGEXREPLACE(REGEXREPLACE(REGEXREPLACE(REGEXREPLACE(REGEXREPLACE(REGEXREPLACE(E17,"","",),IF(Projections!$U$3="""",""PG"",),),IF(Projections!$V$3="""",""SG"",),),IF(Projections!$W$3="""",""SF"",),),IF(Projections!$X$3="""",""PF"",),),IF(Project"&amp;"ions!$Y$3="""",""C"",),),""/"","""")"),"PG")</f>
        <v>PG</v>
      </c>
    </row>
    <row r="18">
      <c r="A18" t="str">
        <f>IF(Projections!$H$3,Draft!D4,"")</f>
        <v>LeBron James</v>
      </c>
      <c r="B18">
        <f>IFERROR(__xludf.DUMMYFUNCTION("""COMPUTED_VALUE"""),7.0)</f>
        <v>7</v>
      </c>
      <c r="C18" t="str">
        <f>IFERROR(__xludf.DUMMYFUNCTION("""COMPUTED_VALUE"""),"LeBron James")</f>
        <v>LeBron James</v>
      </c>
      <c r="D18">
        <f>IFERROR(__xludf.DUMMYFUNCTION("""COMPUTED_VALUE"""),64.0)</f>
        <v>64</v>
      </c>
      <c r="E18" t="str">
        <f>IFERROR(__xludf.DUMMYFUNCTION("""COMPUTED_VALUE"""),"PG/SF/PF")</f>
        <v>PG/SF/PF</v>
      </c>
      <c r="F18" s="37">
        <f>IFERROR(__xludf.DUMMYFUNCTION("""COMPUTED_VALUE"""),5.88590580083909)</f>
        <v>5.885905801</v>
      </c>
      <c r="G18" s="37">
        <f>IFERROR(__xludf.DUMMYFUNCTION("""COMPUTED_VALUE"""),6.265651927748109)</f>
        <v>6.265651928</v>
      </c>
      <c r="H18" s="37">
        <f>IFERROR(__xludf.DUMMYFUNCTION("""COMPUTED_VALUE"""),0.3797461269090183)</f>
        <v>0.3797461269</v>
      </c>
      <c r="I18" s="37">
        <f>IFERROR(__xludf.DUMMYFUNCTION("""COMPUTED_VALUE"""),27.6)</f>
        <v>27.6</v>
      </c>
      <c r="J18" s="37">
        <f>IFERROR(__xludf.DUMMYFUNCTION("""COMPUTED_VALUE"""),2.7)</f>
        <v>2.7</v>
      </c>
      <c r="K18" s="37">
        <f>IFERROR(__xludf.DUMMYFUNCTION("""COMPUTED_VALUE"""),7.5)</f>
        <v>7.5</v>
      </c>
      <c r="L18" s="37">
        <f>IFERROR(__xludf.DUMMYFUNCTION("""COMPUTED_VALUE"""),6.1)</f>
        <v>6.1</v>
      </c>
      <c r="M18" s="37">
        <f>IFERROR(__xludf.DUMMYFUNCTION("""COMPUTED_VALUE"""),1.2)</f>
        <v>1.2</v>
      </c>
      <c r="N18" s="37">
        <f>IFERROR(__xludf.DUMMYFUNCTION("""COMPUTED_VALUE"""),1.0)</f>
        <v>1</v>
      </c>
      <c r="O18" s="37">
        <f>IFERROR(__xludf.DUMMYFUNCTION("""COMPUTED_VALUE"""),52.26130653266332)</f>
        <v>52.26130653</v>
      </c>
      <c r="P18" s="37">
        <f>IFERROR(__xludf.DUMMYFUNCTION("""COMPUTED_VALUE"""),74.54545454545453)</f>
        <v>74.54545455</v>
      </c>
      <c r="Q18" s="37">
        <f>IFERROR(__xludf.DUMMYFUNCTION("""COMPUTED_VALUE"""),3.2)</f>
        <v>3.2</v>
      </c>
      <c r="R18" s="37">
        <f>IFERROR(__xludf.DUMMYFUNCTION("""COMPUTED_VALUE"""),2.8351294466541894)</f>
        <v>2.835129447</v>
      </c>
      <c r="S18" s="37">
        <f>IFERROR(__xludf.DUMMYFUNCTION("""COMPUTED_VALUE"""),1.0865288964874127)</f>
        <v>1.086528896</v>
      </c>
      <c r="T18" s="37">
        <f>IFERROR(__xludf.DUMMYFUNCTION("""COMPUTED_VALUE"""),0.5819124268829259)</f>
        <v>0.5819124269</v>
      </c>
      <c r="U18" s="37">
        <f>IFERROR(__xludf.DUMMYFUNCTION("""COMPUTED_VALUE"""),1.3685146591807615)</f>
        <v>1.368514659</v>
      </c>
      <c r="V18" s="37">
        <f>IFERROR(__xludf.DUMMYFUNCTION("""COMPUTED_VALUE"""),0.8011379785899962)</f>
        <v>0.8011379786</v>
      </c>
      <c r="W18" s="37">
        <f>IFERROR(__xludf.DUMMYFUNCTION("""COMPUTED_VALUE"""),0.0)</f>
        <v>0</v>
      </c>
      <c r="X18" s="37">
        <f>IFERROR(__xludf.DUMMYFUNCTION("""COMPUTED_VALUE"""),0.0)</f>
        <v>0</v>
      </c>
      <c r="Y18" s="37">
        <f>IFERROR(__xludf.DUMMYFUNCTION("""COMPUTED_VALUE"""),-0.40757148004717714)</f>
        <v>-0.40757148</v>
      </c>
      <c r="Z18" s="37">
        <f>IFERROR(__xludf.DUMMYFUNCTION("""COMPUTED_VALUE"""),0.0)</f>
        <v>0</v>
      </c>
      <c r="AA18" t="str">
        <f>IFERROR(__xludf.DUMMYFUNCTION("SUBSTITUTE(REGEXREPLACE(REGEXREPLACE(REGEXREPLACE(REGEXREPLACE(REGEXREPLACE(REGEXREPLACE(E18,"","",),IF(Projections!$U$3="""",""PG"",),),IF(Projections!$V$3="""",""SG"",),),IF(Projections!$W$3="""",""SF"",),),IF(Projections!$X$3="""",""PF"",),),IF(Project"&amp;"ions!$Y$3="""",""C"",),),""/"","""")"),"PGSFPF")</f>
        <v>PGSFPF</v>
      </c>
    </row>
    <row r="19">
      <c r="A19" t="str">
        <f>IF(Projections!$H$3,Draft!D5,"")</f>
        <v>Paul George</v>
      </c>
      <c r="B19">
        <f>IFERROR(__xludf.DUMMYFUNCTION("""COMPUTED_VALUE"""),15.0)</f>
        <v>15</v>
      </c>
      <c r="C19" t="str">
        <f>IFERROR(__xludf.DUMMYFUNCTION("""COMPUTED_VALUE"""),"Tyrese Haliburton")</f>
        <v>Tyrese Haliburton</v>
      </c>
      <c r="D19">
        <f>IFERROR(__xludf.DUMMYFUNCTION("""COMPUTED_VALUE"""),64.0)</f>
        <v>64</v>
      </c>
      <c r="E19" t="str">
        <f>IFERROR(__xludf.DUMMYFUNCTION("""COMPUTED_VALUE"""),"PG/SG")</f>
        <v>PG/SG</v>
      </c>
      <c r="F19" s="37">
        <f>IFERROR(__xludf.DUMMYFUNCTION("""COMPUTED_VALUE"""),4.74629473378458)</f>
        <v>4.746294734</v>
      </c>
      <c r="G19" s="37">
        <f>IFERROR(__xludf.DUMMYFUNCTION("""COMPUTED_VALUE"""),6.088660393651577)</f>
        <v>6.088660394</v>
      </c>
      <c r="H19" s="37">
        <f>IFERROR(__xludf.DUMMYFUNCTION("""COMPUTED_VALUE"""),1.3423656598669966)</f>
        <v>1.34236566</v>
      </c>
      <c r="I19" s="37">
        <f>IFERROR(__xludf.DUMMYFUNCTION("""COMPUTED_VALUE"""),18.7)</f>
        <v>18.7</v>
      </c>
      <c r="J19" s="37">
        <f>IFERROR(__xludf.DUMMYFUNCTION("""COMPUTED_VALUE"""),2.2)</f>
        <v>2.2</v>
      </c>
      <c r="K19" s="37">
        <f>IFERROR(__xludf.DUMMYFUNCTION("""COMPUTED_VALUE"""),4.1)</f>
        <v>4.1</v>
      </c>
      <c r="L19" s="37">
        <f>IFERROR(__xludf.DUMMYFUNCTION("""COMPUTED_VALUE"""),9.0)</f>
        <v>9</v>
      </c>
      <c r="M19" s="37">
        <f>IFERROR(__xludf.DUMMYFUNCTION("""COMPUTED_VALUE"""),1.6)</f>
        <v>1.6</v>
      </c>
      <c r="N19" s="37">
        <f>IFERROR(__xludf.DUMMYFUNCTION("""COMPUTED_VALUE"""),0.6)</f>
        <v>0.6</v>
      </c>
      <c r="O19" s="37">
        <f>IFERROR(__xludf.DUMMYFUNCTION("""COMPUTED_VALUE"""),47.183098591549296)</f>
        <v>47.18309859</v>
      </c>
      <c r="P19" s="37">
        <f>IFERROR(__xludf.DUMMYFUNCTION("""COMPUTED_VALUE"""),85.71428571428571)</f>
        <v>85.71428571</v>
      </c>
      <c r="Q19" s="37">
        <f>IFERROR(__xludf.DUMMYFUNCTION("""COMPUTED_VALUE"""),2.6)</f>
        <v>2.6</v>
      </c>
      <c r="R19" s="37">
        <f>IFERROR(__xludf.DUMMYFUNCTION("""COMPUTED_VALUE"""),0.465194273174538)</f>
        <v>0.4651942732</v>
      </c>
      <c r="S19" s="37">
        <f>IFERROR(__xludf.DUMMYFUNCTION("""COMPUTED_VALUE"""),0.5865511152130937)</f>
        <v>0.5865511152</v>
      </c>
      <c r="T19" s="37">
        <f>IFERROR(__xludf.DUMMYFUNCTION("""COMPUTED_VALUE"""),-0.8060199434508303)</f>
        <v>-0.8060199435</v>
      </c>
      <c r="U19" s="37">
        <f>IFERROR(__xludf.DUMMYFUNCTION("""COMPUTED_VALUE"""),3.023524970493404)</f>
        <v>3.02352497</v>
      </c>
      <c r="V19" s="37">
        <f>IFERROR(__xludf.DUMMYFUNCTION("""COMPUTED_VALUE"""),2.4363374143421788)</f>
        <v>2.436337414</v>
      </c>
      <c r="W19" s="37">
        <f>IFERROR(__xludf.DUMMYFUNCTION("""COMPUTED_VALUE"""),0.0)</f>
        <v>0</v>
      </c>
      <c r="X19" s="37">
        <f>IFERROR(__xludf.DUMMYFUNCTION("""COMPUTED_VALUE"""),0.0)</f>
        <v>0</v>
      </c>
      <c r="Y19" s="37">
        <f>IFERROR(__xludf.DUMMYFUNCTION("""COMPUTED_VALUE"""),0.3830725638791932)</f>
        <v>0.3830725639</v>
      </c>
      <c r="Z19" s="37">
        <f>IFERROR(__xludf.DUMMYFUNCTION("""COMPUTED_VALUE"""),0.0)</f>
        <v>0</v>
      </c>
      <c r="AA19" t="str">
        <f>IFERROR(__xludf.DUMMYFUNCTION("SUBSTITUTE(REGEXREPLACE(REGEXREPLACE(REGEXREPLACE(REGEXREPLACE(REGEXREPLACE(REGEXREPLACE(E19,"","",),IF(Projections!$U$3="""",""PG"",),),IF(Projections!$V$3="""",""SG"",),),IF(Projections!$W$3="""",""SF"",),),IF(Projections!$X$3="""",""PF"",),),IF(Project"&amp;"ions!$Y$3="""",""C"",),),""/"","""")"),"PGSG")</f>
        <v>PGSG</v>
      </c>
    </row>
    <row r="20">
      <c r="A20" t="str">
        <f>IF(Projections!$H$3,Draft!D6,"")</f>
        <v>Anthony Davis</v>
      </c>
      <c r="B20">
        <f>IFERROR(__xludf.DUMMYFUNCTION("""COMPUTED_VALUE"""),10.0)</f>
        <v>10</v>
      </c>
      <c r="C20" t="str">
        <f>IFERROR(__xludf.DUMMYFUNCTION("""COMPUTED_VALUE"""),"Kyrie Irving")</f>
        <v>Kyrie Irving</v>
      </c>
      <c r="D20">
        <f>IFERROR(__xludf.DUMMYFUNCTION("""COMPUTED_VALUE"""),69.0)</f>
        <v>69</v>
      </c>
      <c r="E20" t="str">
        <f>IFERROR(__xludf.DUMMYFUNCTION("""COMPUTED_VALUE"""),"PG/SG")</f>
        <v>PG/SG</v>
      </c>
      <c r="F20" s="37">
        <f>IFERROR(__xludf.DUMMYFUNCTION("""COMPUTED_VALUE"""),5.036916741693826)</f>
        <v>5.036916742</v>
      </c>
      <c r="G20" s="37">
        <f>IFERROR(__xludf.DUMMYFUNCTION("""COMPUTED_VALUE"""),5.88610784901792)</f>
        <v>5.886107849</v>
      </c>
      <c r="H20" s="37">
        <f>IFERROR(__xludf.DUMMYFUNCTION("""COMPUTED_VALUE"""),0.8491911073240939)</f>
        <v>0.8491911073</v>
      </c>
      <c r="I20" s="37">
        <f>IFERROR(__xludf.DUMMYFUNCTION("""COMPUTED_VALUE"""),26.6)</f>
        <v>26.6</v>
      </c>
      <c r="J20" s="37">
        <f>IFERROR(__xludf.DUMMYFUNCTION("""COMPUTED_VALUE"""),3.1)</f>
        <v>3.1</v>
      </c>
      <c r="K20" s="37">
        <f>IFERROR(__xludf.DUMMYFUNCTION("""COMPUTED_VALUE"""),4.0)</f>
        <v>4</v>
      </c>
      <c r="L20" s="37">
        <f>IFERROR(__xludf.DUMMYFUNCTION("""COMPUTED_VALUE"""),5.2)</f>
        <v>5.2</v>
      </c>
      <c r="M20" s="37">
        <f>IFERROR(__xludf.DUMMYFUNCTION("""COMPUTED_VALUE"""),1.2)</f>
        <v>1.2</v>
      </c>
      <c r="N20" s="37">
        <f>IFERROR(__xludf.DUMMYFUNCTION("""COMPUTED_VALUE"""),0.6)</f>
        <v>0.6</v>
      </c>
      <c r="O20" s="37">
        <f>IFERROR(__xludf.DUMMYFUNCTION("""COMPUTED_VALUE"""),46.85990338164251)</f>
        <v>46.85990338</v>
      </c>
      <c r="P20" s="37">
        <f>IFERROR(__xludf.DUMMYFUNCTION("""COMPUTED_VALUE"""),93.18181818181816)</f>
        <v>93.18181818</v>
      </c>
      <c r="Q20" s="37">
        <f>IFERROR(__xludf.DUMMYFUNCTION("""COMPUTED_VALUE"""),2.5)</f>
        <v>2.5</v>
      </c>
      <c r="R20" s="37">
        <f>IFERROR(__xludf.DUMMYFUNCTION("""COMPUTED_VALUE"""),2.56884459570142)</f>
        <v>2.568844596</v>
      </c>
      <c r="S20" s="37">
        <f>IFERROR(__xludf.DUMMYFUNCTION("""COMPUTED_VALUE"""),1.4865111215068678)</f>
        <v>1.486511122</v>
      </c>
      <c r="T20" s="37">
        <f>IFERROR(__xludf.DUMMYFUNCTION("""COMPUTED_VALUE"""),-0.8468414837547641)</f>
        <v>-0.8468414838</v>
      </c>
      <c r="U20" s="37">
        <f>IFERROR(__xludf.DUMMYFUNCTION("""COMPUTED_VALUE"""),0.8548907694630452)</f>
        <v>0.8548907695</v>
      </c>
      <c r="V20" s="37">
        <f>IFERROR(__xludf.DUMMYFUNCTION("""COMPUTED_VALUE"""),0.8011379785899962)</f>
        <v>0.8011379786</v>
      </c>
      <c r="W20" s="37">
        <f>IFERROR(__xludf.DUMMYFUNCTION("""COMPUTED_VALUE"""),0.0)</f>
        <v>0</v>
      </c>
      <c r="X20" s="37">
        <f>IFERROR(__xludf.DUMMYFUNCTION("""COMPUTED_VALUE"""),0.0)</f>
        <v>0</v>
      </c>
      <c r="Y20" s="37">
        <f>IFERROR(__xludf.DUMMYFUNCTION("""COMPUTED_VALUE"""),1.0215648675113551)</f>
        <v>1.021564868</v>
      </c>
      <c r="Z20" s="37">
        <f>IFERROR(__xludf.DUMMYFUNCTION("""COMPUTED_VALUE"""),0.0)</f>
        <v>0</v>
      </c>
      <c r="AA20" t="str">
        <f>IFERROR(__xludf.DUMMYFUNCTION("SUBSTITUTE(REGEXREPLACE(REGEXREPLACE(REGEXREPLACE(REGEXREPLACE(REGEXREPLACE(REGEXREPLACE(E20,"","",),IF(Projections!$U$3="""",""PG"",),),IF(Projections!$V$3="""",""SG"",),),IF(Projections!$W$3="""",""SF"",),),IF(Projections!$X$3="""",""PF"",),),IF(Project"&amp;"ions!$Y$3="""",""C"",),),""/"","""")"),"PGSG")</f>
        <v>PGSG</v>
      </c>
    </row>
    <row r="21">
      <c r="A21" t="str">
        <f>IF(Projections!$H$3,Draft!D7,"")</f>
        <v>Kyrie Irving</v>
      </c>
      <c r="B21">
        <f>IFERROR(__xludf.DUMMYFUNCTION("""COMPUTED_VALUE"""),8.0)</f>
        <v>8</v>
      </c>
      <c r="C21" t="str">
        <f>IFERROR(__xludf.DUMMYFUNCTION("""COMPUTED_VALUE"""),"Giannis Antetokounmpo")</f>
        <v>Giannis Antetokounmpo</v>
      </c>
      <c r="D21">
        <f>IFERROR(__xludf.DUMMYFUNCTION("""COMPUTED_VALUE"""),74.0)</f>
        <v>74</v>
      </c>
      <c r="E21" t="str">
        <f>IFERROR(__xludf.DUMMYFUNCTION("""COMPUTED_VALUE"""),"PF/C")</f>
        <v>PF/C</v>
      </c>
      <c r="F21" s="37">
        <f>IFERROR(__xludf.DUMMYFUNCTION("""COMPUTED_VALUE"""),5.833275061344263)</f>
        <v>5.833275061</v>
      </c>
      <c r="G21" s="37">
        <f>IFERROR(__xludf.DUMMYFUNCTION("""COMPUTED_VALUE"""),5.7586677655729845)</f>
        <v>5.758667766</v>
      </c>
      <c r="H21" s="37">
        <f>IFERROR(__xludf.DUMMYFUNCTION("""COMPUTED_VALUE"""),-0.07460729577127889)</f>
        <v>-0.07460729577</v>
      </c>
      <c r="I21" s="37">
        <f>IFERROR(__xludf.DUMMYFUNCTION("""COMPUTED_VALUE"""),30.3)</f>
        <v>30.3</v>
      </c>
      <c r="J21" s="37">
        <f>IFERROR(__xludf.DUMMYFUNCTION("""COMPUTED_VALUE"""),1.1)</f>
        <v>1.1</v>
      </c>
      <c r="K21" s="37">
        <f>IFERROR(__xludf.DUMMYFUNCTION("""COMPUTED_VALUE"""),11.8)</f>
        <v>11.8</v>
      </c>
      <c r="L21" s="37">
        <f>IFERROR(__xludf.DUMMYFUNCTION("""COMPUTED_VALUE"""),5.9)</f>
        <v>5.9</v>
      </c>
      <c r="M21" s="37">
        <f>IFERROR(__xludf.DUMMYFUNCTION("""COMPUTED_VALUE"""),1.1)</f>
        <v>1.1</v>
      </c>
      <c r="N21" s="37">
        <f>IFERROR(__xludf.DUMMYFUNCTION("""COMPUTED_VALUE"""),1.4)</f>
        <v>1.4</v>
      </c>
      <c r="O21" s="37">
        <f>IFERROR(__xludf.DUMMYFUNCTION("""COMPUTED_VALUE"""),55.319148936170215)</f>
        <v>55.31914894</v>
      </c>
      <c r="P21" s="37">
        <f>IFERROR(__xludf.DUMMYFUNCTION("""COMPUTED_VALUE"""),72.41379310344827)</f>
        <v>72.4137931</v>
      </c>
      <c r="Q21" s="37">
        <f>IFERROR(__xludf.DUMMYFUNCTION("""COMPUTED_VALUE"""),3.4)</f>
        <v>3.4</v>
      </c>
      <c r="R21" s="37">
        <f>IFERROR(__xludf.DUMMYFUNCTION("""COMPUTED_VALUE"""),3.554098544226668)</f>
        <v>3.554098544</v>
      </c>
      <c r="S21" s="37">
        <f>IFERROR(__xludf.DUMMYFUNCTION("""COMPUTED_VALUE"""),-0.5134000035904084)</f>
        <v>-0.5134000036</v>
      </c>
      <c r="T21" s="37">
        <f>IFERROR(__xludf.DUMMYFUNCTION("""COMPUTED_VALUE"""),2.3372386599520882)</f>
        <v>2.33723866</v>
      </c>
      <c r="U21" s="37">
        <f>IFERROR(__xludf.DUMMYFUNCTION("""COMPUTED_VALUE"""),1.2543760170212694)</f>
        <v>1.254376017</v>
      </c>
      <c r="V21" s="37">
        <f>IFERROR(__xludf.DUMMYFUNCTION("""COMPUTED_VALUE"""),0.39233811965195126)</f>
        <v>0.3923381197</v>
      </c>
      <c r="W21" s="37">
        <f>IFERROR(__xludf.DUMMYFUNCTION("""COMPUTED_VALUE"""),0.0)</f>
        <v>0</v>
      </c>
      <c r="X21" s="37">
        <f>IFERROR(__xludf.DUMMYFUNCTION("""COMPUTED_VALUE"""),0.0)</f>
        <v>0</v>
      </c>
      <c r="Y21" s="37">
        <f>IFERROR(__xludf.DUMMYFUNCTION("""COMPUTED_VALUE"""),-1.265983571688584)</f>
        <v>-1.265983572</v>
      </c>
      <c r="Z21" s="37">
        <f>IFERROR(__xludf.DUMMYFUNCTION("""COMPUTED_VALUE"""),0.0)</f>
        <v>0</v>
      </c>
      <c r="AA21" t="str">
        <f>IFERROR(__xludf.DUMMYFUNCTION("SUBSTITUTE(REGEXREPLACE(REGEXREPLACE(REGEXREPLACE(REGEXREPLACE(REGEXREPLACE(REGEXREPLACE(E21,"","",),IF(Projections!$U$3="""",""PG"",),),IF(Projections!$V$3="""",""SG"",),),IF(Projections!$W$3="""",""SF"",),),IF(Projections!$X$3="""",""PF"",),),IF(Project"&amp;"ions!$Y$3="""",""C"",),),""/"","""")"),"PFC")</f>
        <v>PFC</v>
      </c>
    </row>
    <row r="22">
      <c r="A22" t="str">
        <f>IF(Projections!$H$3,Draft!D8,"")</f>
        <v>Bam Adebayo</v>
      </c>
      <c r="B22">
        <f>IFERROR(__xludf.DUMMYFUNCTION("""COMPUTED_VALUE"""),23.0)</f>
        <v>23</v>
      </c>
      <c r="C22" t="str">
        <f>IFERROR(__xludf.DUMMYFUNCTION("""COMPUTED_VALUE"""),"Donovan Mitchell")</f>
        <v>Donovan Mitchell</v>
      </c>
      <c r="D22">
        <f>IFERROR(__xludf.DUMMYFUNCTION("""COMPUTED_VALUE"""),72.0)</f>
        <v>72</v>
      </c>
      <c r="E22" t="str">
        <f>IFERROR(__xludf.DUMMYFUNCTION("""COMPUTED_VALUE"""),"PG/SF")</f>
        <v>PG/SF</v>
      </c>
      <c r="F22" s="37">
        <f>IFERROR(__xludf.DUMMYFUNCTION("""COMPUTED_VALUE"""),2.8816438713179977)</f>
        <v>2.881643871</v>
      </c>
      <c r="G22" s="37">
        <f>IFERROR(__xludf.DUMMYFUNCTION("""COMPUTED_VALUE"""),5.452278244141909)</f>
        <v>5.452278244</v>
      </c>
      <c r="H22" s="37">
        <f>IFERROR(__xludf.DUMMYFUNCTION("""COMPUTED_VALUE"""),2.5706343728239114)</f>
        <v>2.570634373</v>
      </c>
      <c r="I22" s="37">
        <f>IFERROR(__xludf.DUMMYFUNCTION("""COMPUTED_VALUE"""),24.2)</f>
        <v>24.2</v>
      </c>
      <c r="J22" s="37">
        <f>IFERROR(__xludf.DUMMYFUNCTION("""COMPUTED_VALUE"""),3.3)</f>
        <v>3.3</v>
      </c>
      <c r="K22" s="37">
        <f>IFERROR(__xludf.DUMMYFUNCTION("""COMPUTED_VALUE"""),3.9)</f>
        <v>3.9</v>
      </c>
      <c r="L22" s="37">
        <f>IFERROR(__xludf.DUMMYFUNCTION("""COMPUTED_VALUE"""),5.0)</f>
        <v>5</v>
      </c>
      <c r="M22" s="37">
        <f>IFERROR(__xludf.DUMMYFUNCTION("""COMPUTED_VALUE"""),1.4)</f>
        <v>1.4</v>
      </c>
      <c r="N22" s="37">
        <f>IFERROR(__xludf.DUMMYFUNCTION("""COMPUTED_VALUE"""),0.2)</f>
        <v>0.2</v>
      </c>
      <c r="O22" s="37">
        <f>IFERROR(__xludf.DUMMYFUNCTION("""COMPUTED_VALUE"""),45.263157894736835)</f>
        <v>45.26315789</v>
      </c>
      <c r="P22" s="37">
        <f>IFERROR(__xludf.DUMMYFUNCTION("""COMPUTED_VALUE"""),84.09090909090908)</f>
        <v>84.09090909</v>
      </c>
      <c r="Q22" s="37">
        <f>IFERROR(__xludf.DUMMYFUNCTION("""COMPUTED_VALUE"""),2.8)</f>
        <v>2.8</v>
      </c>
      <c r="R22" s="37">
        <f>IFERROR(__xludf.DUMMYFUNCTION("""COMPUTED_VALUE"""),1.929760953414772)</f>
        <v>1.929760953</v>
      </c>
      <c r="S22" s="37">
        <f>IFERROR(__xludf.DUMMYFUNCTION("""COMPUTED_VALUE"""),1.6865022340165952)</f>
        <v>1.686502234</v>
      </c>
      <c r="T22" s="37">
        <f>IFERROR(__xludf.DUMMYFUNCTION("""COMPUTED_VALUE"""),-0.8876630240586981)</f>
        <v>-0.8876630241</v>
      </c>
      <c r="U22" s="37">
        <f>IFERROR(__xludf.DUMMYFUNCTION("""COMPUTED_VALUE"""),0.7407521273035524)</f>
        <v>0.7407521273</v>
      </c>
      <c r="V22" s="37">
        <f>IFERROR(__xludf.DUMMYFUNCTION("""COMPUTED_VALUE"""),1.6187376964660871)</f>
        <v>1.618737696</v>
      </c>
      <c r="W22" s="37">
        <f>IFERROR(__xludf.DUMMYFUNCTION("""COMPUTED_VALUE"""),0.0)</f>
        <v>0</v>
      </c>
      <c r="X22" s="37">
        <f>IFERROR(__xludf.DUMMYFUNCTION("""COMPUTED_VALUE"""),0.0)</f>
        <v>0</v>
      </c>
      <c r="Y22" s="37">
        <f>IFERROR(__xludf.DUMMYFUNCTION("""COMPUTED_VALUE"""),0.3641882569996008)</f>
        <v>0.364188257</v>
      </c>
      <c r="Z22" s="37">
        <f>IFERROR(__xludf.DUMMYFUNCTION("""COMPUTED_VALUE"""),0.0)</f>
        <v>0</v>
      </c>
      <c r="AA22" t="str">
        <f>IFERROR(__xludf.DUMMYFUNCTION("SUBSTITUTE(REGEXREPLACE(REGEXREPLACE(REGEXREPLACE(REGEXREPLACE(REGEXREPLACE(REGEXREPLACE(E22,"","",),IF(Projections!$U$3="""",""PG"",),),IF(Projections!$V$3="""",""SG"",),),IF(Projections!$W$3="""",""SF"",),),IF(Projections!$X$3="""",""PF"",),),IF(Project"&amp;"ions!$Y$3="""",""C"",),),""/"","""")"),"PGSF")</f>
        <v>PGSF</v>
      </c>
    </row>
    <row r="23">
      <c r="A23" t="str">
        <f>IF(Projections!$H$3,Draft!D9,"")</f>
        <v>Fred VanVleet</v>
      </c>
      <c r="B23">
        <f>IFERROR(__xludf.DUMMYFUNCTION("""COMPUTED_VALUE"""),18.0)</f>
        <v>18</v>
      </c>
      <c r="C23" t="str">
        <f>IFERROR(__xludf.DUMMYFUNCTION("""COMPUTED_VALUE"""),"Devin Booker")</f>
        <v>Devin Booker</v>
      </c>
      <c r="D23">
        <f>IFERROR(__xludf.DUMMYFUNCTION("""COMPUTED_VALUE"""),70.0)</f>
        <v>70</v>
      </c>
      <c r="E23" t="str">
        <f>IFERROR(__xludf.DUMMYFUNCTION("""COMPUTED_VALUE"""),"PG/SF")</f>
        <v>PG/SF</v>
      </c>
      <c r="F23" s="37">
        <f>IFERROR(__xludf.DUMMYFUNCTION("""COMPUTED_VALUE"""),3.8929758808234753)</f>
        <v>3.892975881</v>
      </c>
      <c r="G23" s="37">
        <f>IFERROR(__xludf.DUMMYFUNCTION("""COMPUTED_VALUE"""),5.342592806645699)</f>
        <v>5.342592807</v>
      </c>
      <c r="H23" s="37">
        <f>IFERROR(__xludf.DUMMYFUNCTION("""COMPUTED_VALUE"""),1.449616925822224)</f>
        <v>1.449616926</v>
      </c>
      <c r="I23" s="37">
        <f>IFERROR(__xludf.DUMMYFUNCTION("""COMPUTED_VALUE"""),27.2)</f>
        <v>27.2</v>
      </c>
      <c r="J23" s="37">
        <f>IFERROR(__xludf.DUMMYFUNCTION("""COMPUTED_VALUE"""),2.8)</f>
        <v>2.8</v>
      </c>
      <c r="K23" s="37">
        <f>IFERROR(__xludf.DUMMYFUNCTION("""COMPUTED_VALUE"""),5.2)</f>
        <v>5.2</v>
      </c>
      <c r="L23" s="37">
        <f>IFERROR(__xludf.DUMMYFUNCTION("""COMPUTED_VALUE"""),4.9)</f>
        <v>4.9</v>
      </c>
      <c r="M23" s="37">
        <f>IFERROR(__xludf.DUMMYFUNCTION("""COMPUTED_VALUE"""),1.1)</f>
        <v>1.1</v>
      </c>
      <c r="N23" s="37">
        <f>IFERROR(__xludf.DUMMYFUNCTION("""COMPUTED_VALUE"""),0.4)</f>
        <v>0.4</v>
      </c>
      <c r="O23" s="37">
        <f>IFERROR(__xludf.DUMMYFUNCTION("""COMPUTED_VALUE"""),47.14285714285714)</f>
        <v>47.14285714</v>
      </c>
      <c r="P23" s="37">
        <f>IFERROR(__xludf.DUMMYFUNCTION("""COMPUTED_VALUE"""),87.03703703703704)</f>
        <v>87.03703704</v>
      </c>
      <c r="Q23" s="37">
        <f>IFERROR(__xludf.DUMMYFUNCTION("""COMPUTED_VALUE"""),2.5)</f>
        <v>2.5</v>
      </c>
      <c r="R23" s="37">
        <f>IFERROR(__xludf.DUMMYFUNCTION("""COMPUTED_VALUE"""),2.7286155062730812)</f>
        <v>2.728615506</v>
      </c>
      <c r="S23" s="37">
        <f>IFERROR(__xludf.DUMMYFUNCTION("""COMPUTED_VALUE"""),1.1865244527422762)</f>
        <v>1.186524453</v>
      </c>
      <c r="T23" s="37">
        <f>IFERROR(__xludf.DUMMYFUNCTION("""COMPUTED_VALUE"""),-0.35698300010755607)</f>
        <v>-0.3569830001</v>
      </c>
      <c r="U23" s="37">
        <f>IFERROR(__xludf.DUMMYFUNCTION("""COMPUTED_VALUE"""),0.6836828062238065)</f>
        <v>0.6836828062</v>
      </c>
      <c r="V23" s="37">
        <f>IFERROR(__xludf.DUMMYFUNCTION("""COMPUTED_VALUE"""),0.39233811965195126)</f>
        <v>0.3923381197</v>
      </c>
      <c r="W23" s="37">
        <f>IFERROR(__xludf.DUMMYFUNCTION("""COMPUTED_VALUE"""),0.0)</f>
        <v>0</v>
      </c>
      <c r="X23" s="37">
        <f>IFERROR(__xludf.DUMMYFUNCTION("""COMPUTED_VALUE"""),0.0)</f>
        <v>0</v>
      </c>
      <c r="Y23" s="37">
        <f>IFERROR(__xludf.DUMMYFUNCTION("""COMPUTED_VALUE"""),0.7084149218621403)</f>
        <v>0.7084149219</v>
      </c>
      <c r="Z23" s="37">
        <f>IFERROR(__xludf.DUMMYFUNCTION("""COMPUTED_VALUE"""),0.0)</f>
        <v>0</v>
      </c>
      <c r="AA23" t="str">
        <f>IFERROR(__xludf.DUMMYFUNCTION("SUBSTITUTE(REGEXREPLACE(REGEXREPLACE(REGEXREPLACE(REGEXREPLACE(REGEXREPLACE(REGEXREPLACE(E23,"","",),IF(Projections!$U$3="""",""PG"",),),IF(Projections!$V$3="""",""SG"",),),IF(Projections!$W$3="""",""SF"",),),IF(Projections!$X$3="""",""PF"",),),IF(Project"&amp;"ions!$Y$3="""",""C"",),),""/"","""")"),"PGSF")</f>
        <v>PGSF</v>
      </c>
    </row>
    <row r="24">
      <c r="A24" t="str">
        <f>IF(Projections!$H$3,Draft!D10,"")</f>
        <v>Devin Booker</v>
      </c>
      <c r="B24">
        <f>IFERROR(__xludf.DUMMYFUNCTION("""COMPUTED_VALUE"""),24.0)</f>
        <v>24</v>
      </c>
      <c r="C24" t="str">
        <f>IFERROR(__xludf.DUMMYFUNCTION("""COMPUTED_VALUE"""),"Darius Garland")</f>
        <v>Darius Garland</v>
      </c>
      <c r="D24">
        <f>IFERROR(__xludf.DUMMYFUNCTION("""COMPUTED_VALUE"""),77.0)</f>
        <v>77</v>
      </c>
      <c r="E24" t="str">
        <f>IFERROR(__xludf.DUMMYFUNCTION("""COMPUTED_VALUE"""),"PG/SG")</f>
        <v>PG/SG</v>
      </c>
      <c r="F24" s="37">
        <f>IFERROR(__xludf.DUMMYFUNCTION("""COMPUTED_VALUE"""),2.8579767835706473)</f>
        <v>2.857976784</v>
      </c>
      <c r="G24" s="37">
        <f>IFERROR(__xludf.DUMMYFUNCTION("""COMPUTED_VALUE"""),4.875755989699275)</f>
        <v>4.87575599</v>
      </c>
      <c r="H24" s="37">
        <f>IFERROR(__xludf.DUMMYFUNCTION("""COMPUTED_VALUE"""),2.017779206128628)</f>
        <v>2.017779206</v>
      </c>
      <c r="I24" s="37">
        <f>IFERROR(__xludf.DUMMYFUNCTION("""COMPUTED_VALUE"""),20.7)</f>
        <v>20.7</v>
      </c>
      <c r="J24" s="37">
        <f>IFERROR(__xludf.DUMMYFUNCTION("""COMPUTED_VALUE"""),2.4)</f>
        <v>2.4</v>
      </c>
      <c r="K24" s="37">
        <f>IFERROR(__xludf.DUMMYFUNCTION("""COMPUTED_VALUE"""),3.1)</f>
        <v>3.1</v>
      </c>
      <c r="L24" s="37">
        <f>IFERROR(__xludf.DUMMYFUNCTION("""COMPUTED_VALUE"""),8.0)</f>
        <v>8</v>
      </c>
      <c r="M24" s="37">
        <f>IFERROR(__xludf.DUMMYFUNCTION("""COMPUTED_VALUE"""),1.3)</f>
        <v>1.3</v>
      </c>
      <c r="N24" s="37">
        <f>IFERROR(__xludf.DUMMYFUNCTION("""COMPUTED_VALUE"""),0.1)</f>
        <v>0.1</v>
      </c>
      <c r="O24" s="37">
        <f>IFERROR(__xludf.DUMMYFUNCTION("""COMPUTED_VALUE"""),46.951219512195124)</f>
        <v>46.95121951</v>
      </c>
      <c r="P24" s="37">
        <f>IFERROR(__xludf.DUMMYFUNCTION("""COMPUTED_VALUE"""),90.90909090909092)</f>
        <v>90.90909091</v>
      </c>
      <c r="Q24" s="37">
        <f>IFERROR(__xludf.DUMMYFUNCTION("""COMPUTED_VALUE"""),3.4)</f>
        <v>3.4</v>
      </c>
      <c r="R24" s="37">
        <f>IFERROR(__xludf.DUMMYFUNCTION("""COMPUTED_VALUE"""),0.9977639750800775)</f>
        <v>0.9977639751</v>
      </c>
      <c r="S24" s="37">
        <f>IFERROR(__xludf.DUMMYFUNCTION("""COMPUTED_VALUE"""),0.786542227722821)</f>
        <v>0.7865422277</v>
      </c>
      <c r="T24" s="37">
        <f>IFERROR(__xludf.DUMMYFUNCTION("""COMPUTED_VALUE"""),-1.21423534649017)</f>
        <v>-1.214235346</v>
      </c>
      <c r="U24" s="37">
        <f>IFERROR(__xludf.DUMMYFUNCTION("""COMPUTED_VALUE"""),2.452831759695941)</f>
        <v>2.45283176</v>
      </c>
      <c r="V24" s="37">
        <f>IFERROR(__xludf.DUMMYFUNCTION("""COMPUTED_VALUE"""),1.209937837528042)</f>
        <v>1.209937838</v>
      </c>
      <c r="W24" s="37">
        <f>IFERROR(__xludf.DUMMYFUNCTION("""COMPUTED_VALUE"""),0.0)</f>
        <v>0</v>
      </c>
      <c r="X24" s="37">
        <f>IFERROR(__xludf.DUMMYFUNCTION("""COMPUTED_VALUE"""),0.0)</f>
        <v>0</v>
      </c>
      <c r="Y24" s="37">
        <f>IFERROR(__xludf.DUMMYFUNCTION("""COMPUTED_VALUE"""),0.6429155361625635)</f>
        <v>0.6429155362</v>
      </c>
      <c r="Z24" s="37">
        <f>IFERROR(__xludf.DUMMYFUNCTION("""COMPUTED_VALUE"""),0.0)</f>
        <v>0</v>
      </c>
      <c r="AA24" t="str">
        <f>IFERROR(__xludf.DUMMYFUNCTION("SUBSTITUTE(REGEXREPLACE(REGEXREPLACE(REGEXREPLACE(REGEXREPLACE(REGEXREPLACE(REGEXREPLACE(E24,"","",),IF(Projections!$U$3="""",""PG"",),),IF(Projections!$V$3="""",""SG"",),),IF(Projections!$W$3="""",""SF"",),),IF(Projections!$X$3="""",""PF"",),),IF(Project"&amp;"ions!$Y$3="""",""C"",),),""/"","""")"),"PGSG")</f>
        <v>PGSG</v>
      </c>
    </row>
    <row r="25">
      <c r="A25" t="str">
        <f>IF(Projections!$H$3,Draft!D11,"")</f>
        <v>Ja Morant</v>
      </c>
      <c r="B25">
        <f>IFERROR(__xludf.DUMMYFUNCTION("""COMPUTED_VALUE"""),32.0)</f>
        <v>32</v>
      </c>
      <c r="C25" t="str">
        <f>IFERROR(__xludf.DUMMYFUNCTION("""COMPUTED_VALUE"""),"Ja Morant")</f>
        <v>Ja Morant</v>
      </c>
      <c r="D25">
        <f>IFERROR(__xludf.DUMMYFUNCTION("""COMPUTED_VALUE"""),68.0)</f>
        <v>68</v>
      </c>
      <c r="E25" t="str">
        <f>IFERROR(__xludf.DUMMYFUNCTION("""COMPUTED_VALUE"""),"PG")</f>
        <v>PG</v>
      </c>
      <c r="F25" s="37">
        <f>IFERROR(__xludf.DUMMYFUNCTION("""COMPUTED_VALUE"""),2.183248491896628)</f>
        <v>2.183248492</v>
      </c>
      <c r="G25" s="37">
        <f>IFERROR(__xludf.DUMMYFUNCTION("""COMPUTED_VALUE"""),4.777617509049258)</f>
        <v>4.777617509</v>
      </c>
      <c r="H25" s="37">
        <f>IFERROR(__xludf.DUMMYFUNCTION("""COMPUTED_VALUE"""),2.59436901715263)</f>
        <v>2.594369017</v>
      </c>
      <c r="I25" s="37">
        <f>IFERROR(__xludf.DUMMYFUNCTION("""COMPUTED_VALUE"""),28.0)</f>
        <v>28</v>
      </c>
      <c r="J25" s="37">
        <f>IFERROR(__xludf.DUMMYFUNCTION("""COMPUTED_VALUE"""),1.6)</f>
        <v>1.6</v>
      </c>
      <c r="K25" s="37">
        <f>IFERROR(__xludf.DUMMYFUNCTION("""COMPUTED_VALUE"""),5.9)</f>
        <v>5.9</v>
      </c>
      <c r="L25" s="37">
        <f>IFERROR(__xludf.DUMMYFUNCTION("""COMPUTED_VALUE"""),7.1)</f>
        <v>7.1</v>
      </c>
      <c r="M25" s="37">
        <f>IFERROR(__xludf.DUMMYFUNCTION("""COMPUTED_VALUE"""),1.1)</f>
        <v>1.1</v>
      </c>
      <c r="N25" s="37">
        <f>IFERROR(__xludf.DUMMYFUNCTION("""COMPUTED_VALUE"""),0.4)</f>
        <v>0.4</v>
      </c>
      <c r="O25" s="37">
        <f>IFERROR(__xludf.DUMMYFUNCTION("""COMPUTED_VALUE"""),48.372093023255815)</f>
        <v>48.37209302</v>
      </c>
      <c r="P25" s="37">
        <f>IFERROR(__xludf.DUMMYFUNCTION("""COMPUTED_VALUE"""),75.67567567567566)</f>
        <v>75.67567568</v>
      </c>
      <c r="Q25" s="37">
        <f>IFERROR(__xludf.DUMMYFUNCTION("""COMPUTED_VALUE"""),3.5)</f>
        <v>3.5</v>
      </c>
      <c r="R25" s="37">
        <f>IFERROR(__xludf.DUMMYFUNCTION("""COMPUTED_VALUE"""),2.941643387035297)</f>
        <v>2.941643387</v>
      </c>
      <c r="S25" s="37">
        <f>IFERROR(__xludf.DUMMYFUNCTION("""COMPUTED_VALUE"""),-0.013422222316089305)</f>
        <v>-0.01342222232</v>
      </c>
      <c r="T25" s="37">
        <f>IFERROR(__xludf.DUMMYFUNCTION("""COMPUTED_VALUE"""),-0.07123221798001796)</f>
        <v>-0.07123221798</v>
      </c>
      <c r="U25" s="37">
        <f>IFERROR(__xludf.DUMMYFUNCTION("""COMPUTED_VALUE"""),1.9392078699782245)</f>
        <v>1.93920787</v>
      </c>
      <c r="V25" s="37">
        <f>IFERROR(__xludf.DUMMYFUNCTION("""COMPUTED_VALUE"""),0.39233811965195126)</f>
        <v>0.3923381197</v>
      </c>
      <c r="W25" s="37">
        <f>IFERROR(__xludf.DUMMYFUNCTION("""COMPUTED_VALUE"""),0.0)</f>
        <v>0</v>
      </c>
      <c r="X25" s="37">
        <f>IFERROR(__xludf.DUMMYFUNCTION("""COMPUTED_VALUE"""),0.0)</f>
        <v>0</v>
      </c>
      <c r="Y25" s="37">
        <f>IFERROR(__xludf.DUMMYFUNCTION("""COMPUTED_VALUE"""),-0.4109174273201076)</f>
        <v>-0.4109174273</v>
      </c>
      <c r="Z25" s="37">
        <f>IFERROR(__xludf.DUMMYFUNCTION("""COMPUTED_VALUE"""),0.0)</f>
        <v>0</v>
      </c>
      <c r="AA25" t="str">
        <f>IFERROR(__xludf.DUMMYFUNCTION("SUBSTITUTE(REGEXREPLACE(REGEXREPLACE(REGEXREPLACE(REGEXREPLACE(REGEXREPLACE(REGEXREPLACE(E25,"","",),IF(Projections!$U$3="""",""PG"",),),IF(Projections!$V$3="""",""SG"",),),IF(Projections!$W$3="""",""SF"",),),IF(Projections!$X$3="""",""PF"",),),IF(Project"&amp;"ions!$Y$3="""",""C"",),),""/"","""")"),"PG")</f>
        <v>PG</v>
      </c>
    </row>
    <row r="26">
      <c r="A26" t="str">
        <f>IF(Projections!$H$3,Draft!D12,"")</f>
        <v>Rudy Gobert</v>
      </c>
      <c r="B26">
        <f>IFERROR(__xludf.DUMMYFUNCTION("""COMPUTED_VALUE"""),19.0)</f>
        <v>19</v>
      </c>
      <c r="C26" t="str">
        <f>IFERROR(__xludf.DUMMYFUNCTION("""COMPUTED_VALUE"""),"Kawhi Leonard")</f>
        <v>Kawhi Leonard</v>
      </c>
      <c r="D26">
        <f>IFERROR(__xludf.DUMMYFUNCTION("""COMPUTED_VALUE"""),68.0)</f>
        <v>68</v>
      </c>
      <c r="E26" t="str">
        <f>IFERROR(__xludf.DUMMYFUNCTION("""COMPUTED_VALUE"""),"SF/PF")</f>
        <v>SF/PF</v>
      </c>
      <c r="F26" s="37">
        <f>IFERROR(__xludf.DUMMYFUNCTION("""COMPUTED_VALUE"""),3.8148709675936168)</f>
        <v>3.814870968</v>
      </c>
      <c r="G26" s="37">
        <f>IFERROR(__xludf.DUMMYFUNCTION("""COMPUTED_VALUE"""),4.559435699650079)</f>
        <v>4.5594357</v>
      </c>
      <c r="H26" s="37">
        <f>IFERROR(__xludf.DUMMYFUNCTION("""COMPUTED_VALUE"""),0.7445647320564621)</f>
        <v>0.7445647321</v>
      </c>
      <c r="I26" s="37">
        <f>IFERROR(__xludf.DUMMYFUNCTION("""COMPUTED_VALUE"""),23.5)</f>
        <v>23.5</v>
      </c>
      <c r="J26" s="37">
        <f>IFERROR(__xludf.DUMMYFUNCTION("""COMPUTED_VALUE"""),1.7)</f>
        <v>1.7</v>
      </c>
      <c r="K26" s="37">
        <f>IFERROR(__xludf.DUMMYFUNCTION("""COMPUTED_VALUE"""),6.0)</f>
        <v>6</v>
      </c>
      <c r="L26" s="37">
        <f>IFERROR(__xludf.DUMMYFUNCTION("""COMPUTED_VALUE"""),4.4)</f>
        <v>4.4</v>
      </c>
      <c r="M26" s="37">
        <f>IFERROR(__xludf.DUMMYFUNCTION("""COMPUTED_VALUE"""),1.4)</f>
        <v>1.4</v>
      </c>
      <c r="N26" s="37">
        <f>IFERROR(__xludf.DUMMYFUNCTION("""COMPUTED_VALUE"""),0.4)</f>
        <v>0.4</v>
      </c>
      <c r="O26" s="37">
        <f>IFERROR(__xludf.DUMMYFUNCTION("""COMPUTED_VALUE"""),49.418604651162795)</f>
        <v>49.41860465</v>
      </c>
      <c r="P26" s="37">
        <f>IFERROR(__xludf.DUMMYFUNCTION("""COMPUTED_VALUE"""),87.27272727272727)</f>
        <v>87.27272727</v>
      </c>
      <c r="Q26" s="37">
        <f>IFERROR(__xludf.DUMMYFUNCTION("""COMPUTED_VALUE"""),1.9)</f>
        <v>1.9</v>
      </c>
      <c r="R26" s="37">
        <f>IFERROR(__xludf.DUMMYFUNCTION("""COMPUTED_VALUE"""),1.743361557747833)</f>
        <v>1.743361558</v>
      </c>
      <c r="S26" s="37">
        <f>IFERROR(__xludf.DUMMYFUNCTION("""COMPUTED_VALUE"""),0.08657333393877437)</f>
        <v>0.08657333394</v>
      </c>
      <c r="T26" s="37">
        <f>IFERROR(__xludf.DUMMYFUNCTION("""COMPUTED_VALUE"""),-0.030410677676084106)</f>
        <v>-0.03041067768</v>
      </c>
      <c r="U26" s="37">
        <f>IFERROR(__xludf.DUMMYFUNCTION("""COMPUTED_VALUE"""),0.39833620082507504)</f>
        <v>0.3983362008</v>
      </c>
      <c r="V26" s="37">
        <f>IFERROR(__xludf.DUMMYFUNCTION("""COMPUTED_VALUE"""),1.6187376964660871)</f>
        <v>1.618737696</v>
      </c>
      <c r="W26" s="37">
        <f>IFERROR(__xludf.DUMMYFUNCTION("""COMPUTED_VALUE"""),0.0)</f>
        <v>0</v>
      </c>
      <c r="X26" s="37">
        <f>IFERROR(__xludf.DUMMYFUNCTION("""COMPUTED_VALUE"""),0.0)</f>
        <v>0</v>
      </c>
      <c r="Y26" s="37">
        <f>IFERROR(__xludf.DUMMYFUNCTION("""COMPUTED_VALUE"""),0.7428375883483941)</f>
        <v>0.7428375883</v>
      </c>
      <c r="Z26" s="37">
        <f>IFERROR(__xludf.DUMMYFUNCTION("""COMPUTED_VALUE"""),0.0)</f>
        <v>0</v>
      </c>
      <c r="AA26" t="str">
        <f>IFERROR(__xludf.DUMMYFUNCTION("SUBSTITUTE(REGEXREPLACE(REGEXREPLACE(REGEXREPLACE(REGEXREPLACE(REGEXREPLACE(REGEXREPLACE(E26,"","",),IF(Projections!$U$3="""",""PG"",),),IF(Projections!$V$3="""",""SG"",),),IF(Projections!$W$3="""",""SF"",),),IF(Projections!$X$3="""",""PF"",),),IF(Project"&amp;"ions!$Y$3="""",""C"",),),""/"","""")"),"SFPF")</f>
        <v>SFPF</v>
      </c>
    </row>
    <row r="27">
      <c r="A27" t="str">
        <f>IF(Projections!$H$3,Draft!D13,"")</f>
        <v>Domantas Sabonis</v>
      </c>
      <c r="B27">
        <f>IFERROR(__xludf.DUMMYFUNCTION("""COMPUTED_VALUE"""),25.0)</f>
        <v>25</v>
      </c>
      <c r="C27" t="str">
        <f>IFERROR(__xludf.DUMMYFUNCTION("""COMPUTED_VALUE"""),"Chris Paul")</f>
        <v>Chris Paul</v>
      </c>
      <c r="D27">
        <f>IFERROR(__xludf.DUMMYFUNCTION("""COMPUTED_VALUE"""),65.0)</f>
        <v>65</v>
      </c>
      <c r="E27" t="str">
        <f>IFERROR(__xludf.DUMMYFUNCTION("""COMPUTED_VALUE"""),"PG")</f>
        <v>PG</v>
      </c>
      <c r="F27" s="37">
        <f>IFERROR(__xludf.DUMMYFUNCTION("""COMPUTED_VALUE"""),2.8526349845229255)</f>
        <v>2.852634985</v>
      </c>
      <c r="G27" s="37">
        <f>IFERROR(__xludf.DUMMYFUNCTION("""COMPUTED_VALUE"""),4.46843688356516)</f>
        <v>4.468436884</v>
      </c>
      <c r="H27" s="37">
        <f>IFERROR(__xludf.DUMMYFUNCTION("""COMPUTED_VALUE"""),1.6158018990422347)</f>
        <v>1.615801899</v>
      </c>
      <c r="I27" s="37">
        <f>IFERROR(__xludf.DUMMYFUNCTION("""COMPUTED_VALUE"""),14.4)</f>
        <v>14.4</v>
      </c>
      <c r="J27" s="37">
        <f>IFERROR(__xludf.DUMMYFUNCTION("""COMPUTED_VALUE"""),1.0)</f>
        <v>1</v>
      </c>
      <c r="K27" s="37">
        <f>IFERROR(__xludf.DUMMYFUNCTION("""COMPUTED_VALUE"""),4.2)</f>
        <v>4.2</v>
      </c>
      <c r="L27" s="37">
        <f>IFERROR(__xludf.DUMMYFUNCTION("""COMPUTED_VALUE"""),10.5)</f>
        <v>10.5</v>
      </c>
      <c r="M27" s="37">
        <f>IFERROR(__xludf.DUMMYFUNCTION("""COMPUTED_VALUE"""),1.6)</f>
        <v>1.6</v>
      </c>
      <c r="N27" s="37">
        <f>IFERROR(__xludf.DUMMYFUNCTION("""COMPUTED_VALUE"""),0.3)</f>
        <v>0.3</v>
      </c>
      <c r="O27" s="37">
        <f>IFERROR(__xludf.DUMMYFUNCTION("""COMPUTED_VALUE"""),49.09090909090909)</f>
        <v>49.09090909</v>
      </c>
      <c r="P27" s="37">
        <f>IFERROR(__xludf.DUMMYFUNCTION("""COMPUTED_VALUE"""),83.33333333333334)</f>
        <v>83.33333333</v>
      </c>
      <c r="Q27" s="37">
        <f>IFERROR(__xludf.DUMMYFUNCTION("""COMPUTED_VALUE"""),2.3)</f>
        <v>2.3</v>
      </c>
      <c r="R27" s="37">
        <f>IFERROR(__xludf.DUMMYFUNCTION("""COMPUTED_VALUE"""),-0.6798305859223719)</f>
        <v>-0.6798305859</v>
      </c>
      <c r="S27" s="37">
        <f>IFERROR(__xludf.DUMMYFUNCTION("""COMPUTED_VALUE"""),-0.6133955598452723)</f>
        <v>-0.6133955598</v>
      </c>
      <c r="T27" s="37">
        <f>IFERROR(__xludf.DUMMYFUNCTION("""COMPUTED_VALUE"""),-0.765198403146896)</f>
        <v>-0.7651984031</v>
      </c>
      <c r="U27" s="37">
        <f>IFERROR(__xludf.DUMMYFUNCTION("""COMPUTED_VALUE"""),3.879564786689598)</f>
        <v>3.879564787</v>
      </c>
      <c r="V27" s="37">
        <f>IFERROR(__xludf.DUMMYFUNCTION("""COMPUTED_VALUE"""),2.4363374143421788)</f>
        <v>2.436337414</v>
      </c>
      <c r="W27" s="37">
        <f>IFERROR(__xludf.DUMMYFUNCTION("""COMPUTED_VALUE"""),0.0)</f>
        <v>0</v>
      </c>
      <c r="X27" s="37">
        <f>IFERROR(__xludf.DUMMYFUNCTION("""COMPUTED_VALUE"""),0.0)</f>
        <v>0</v>
      </c>
      <c r="Y27" s="37">
        <f>IFERROR(__xludf.DUMMYFUNCTION("""COMPUTED_VALUE"""),0.21095923144792414)</f>
        <v>0.2109592314</v>
      </c>
      <c r="Z27" s="37">
        <f>IFERROR(__xludf.DUMMYFUNCTION("""COMPUTED_VALUE"""),0.0)</f>
        <v>0</v>
      </c>
      <c r="AA27" t="str">
        <f>IFERROR(__xludf.DUMMYFUNCTION("SUBSTITUTE(REGEXREPLACE(REGEXREPLACE(REGEXREPLACE(REGEXREPLACE(REGEXREPLACE(REGEXREPLACE(E27,"","",),IF(Projections!$U$3="""",""PG"",),),IF(Projections!$V$3="""",""SG"",),),IF(Projections!$W$3="""",""SF"",),),IF(Projections!$X$3="""",""PF"",),),IF(Project"&amp;"ions!$Y$3="""",""C"",),),""/"","""")"),"PG")</f>
        <v>PG</v>
      </c>
    </row>
    <row r="28">
      <c r="A28" t="str">
        <f>IF(Projections!$H$3,Draft!D14,"")</f>
        <v>Kawhi Leonard</v>
      </c>
      <c r="B28">
        <f>IFERROR(__xludf.DUMMYFUNCTION("""COMPUTED_VALUE"""),31.0)</f>
        <v>31</v>
      </c>
      <c r="C28" t="str">
        <f>IFERROR(__xludf.DUMMYFUNCTION("""COMPUTED_VALUE"""),"Dejounte Murray")</f>
        <v>Dejounte Murray</v>
      </c>
      <c r="D28">
        <f>IFERROR(__xludf.DUMMYFUNCTION("""COMPUTED_VALUE"""),67.0)</f>
        <v>67</v>
      </c>
      <c r="E28" t="str">
        <f>IFERROR(__xludf.DUMMYFUNCTION("""COMPUTED_VALUE"""),"PG/SG")</f>
        <v>PG/SG</v>
      </c>
      <c r="F28" s="37">
        <f>IFERROR(__xludf.DUMMYFUNCTION("""COMPUTED_VALUE"""),2.2773241341345525)</f>
        <v>2.277324134</v>
      </c>
      <c r="G28" s="37">
        <f>IFERROR(__xludf.DUMMYFUNCTION("""COMPUTED_VALUE"""),4.3670934894135)</f>
        <v>4.367093489</v>
      </c>
      <c r="H28" s="37">
        <f>IFERROR(__xludf.DUMMYFUNCTION("""COMPUTED_VALUE"""),2.089769355278947)</f>
        <v>2.089769355</v>
      </c>
      <c r="I28" s="37">
        <f>IFERROR(__xludf.DUMMYFUNCTION("""COMPUTED_VALUE"""),18.4)</f>
        <v>18.4</v>
      </c>
      <c r="J28" s="37">
        <f>IFERROR(__xludf.DUMMYFUNCTION("""COMPUTED_VALUE"""),1.2)</f>
        <v>1.2</v>
      </c>
      <c r="K28" s="37">
        <f>IFERROR(__xludf.DUMMYFUNCTION("""COMPUTED_VALUE"""),5.7)</f>
        <v>5.7</v>
      </c>
      <c r="L28" s="37">
        <f>IFERROR(__xludf.DUMMYFUNCTION("""COMPUTED_VALUE"""),5.6)</f>
        <v>5.6</v>
      </c>
      <c r="M28" s="37">
        <f>IFERROR(__xludf.DUMMYFUNCTION("""COMPUTED_VALUE"""),1.8)</f>
        <v>1.8</v>
      </c>
      <c r="N28" s="37">
        <f>IFERROR(__xludf.DUMMYFUNCTION("""COMPUTED_VALUE"""),0.3)</f>
        <v>0.3</v>
      </c>
      <c r="O28" s="37">
        <f>IFERROR(__xludf.DUMMYFUNCTION("""COMPUTED_VALUE"""),46.25)</f>
        <v>46.25</v>
      </c>
      <c r="P28" s="37">
        <f>IFERROR(__xludf.DUMMYFUNCTION("""COMPUTED_VALUE"""),83.33333333333334)</f>
        <v>83.33333333</v>
      </c>
      <c r="Q28" s="37">
        <f>IFERROR(__xludf.DUMMYFUNCTION("""COMPUTED_VALUE"""),2.3)</f>
        <v>2.3</v>
      </c>
      <c r="R28" s="37">
        <f>IFERROR(__xludf.DUMMYFUNCTION("""COMPUTED_VALUE"""),0.38530881788870686)</f>
        <v>0.3853088179</v>
      </c>
      <c r="S28" s="37">
        <f>IFERROR(__xludf.DUMMYFUNCTION("""COMPUTED_VALUE"""),-0.41340444733554466)</f>
        <v>-0.4134044473</v>
      </c>
      <c r="T28" s="37">
        <f>IFERROR(__xludf.DUMMYFUNCTION("""COMPUTED_VALUE"""),-0.15287529858788604)</f>
        <v>-0.1528752986</v>
      </c>
      <c r="U28" s="37">
        <f>IFERROR(__xludf.DUMMYFUNCTION("""COMPUTED_VALUE"""),1.08316805378203)</f>
        <v>1.083168054</v>
      </c>
      <c r="V28" s="37">
        <f>IFERROR(__xludf.DUMMYFUNCTION("""COMPUTED_VALUE"""),3.2539371322182697)</f>
        <v>3.253937132</v>
      </c>
      <c r="W28" s="37">
        <f>IFERROR(__xludf.DUMMYFUNCTION("""COMPUTED_VALUE"""),0.0)</f>
        <v>0</v>
      </c>
      <c r="X28" s="37">
        <f>IFERROR(__xludf.DUMMYFUNCTION("""COMPUTED_VALUE"""),0.0)</f>
        <v>0</v>
      </c>
      <c r="Y28" s="37">
        <f>IFERROR(__xludf.DUMMYFUNCTION("""COMPUTED_VALUE"""),0.21095923144792414)</f>
        <v>0.2109592314</v>
      </c>
      <c r="Z28" s="37">
        <f>IFERROR(__xludf.DUMMYFUNCTION("""COMPUTED_VALUE"""),0.0)</f>
        <v>0</v>
      </c>
      <c r="AA28" t="str">
        <f>IFERROR(__xludf.DUMMYFUNCTION("SUBSTITUTE(REGEXREPLACE(REGEXREPLACE(REGEXREPLACE(REGEXREPLACE(REGEXREPLACE(REGEXREPLACE(E28,"","",),IF(Projections!$U$3="""",""PG"",),),IF(Projections!$V$3="""",""SG"",),),IF(Projections!$W$3="""",""SF"",),),IF(Projections!$X$3="""",""PF"",),),IF(Project"&amp;"ions!$Y$3="""",""C"",),),""/"","""")"),"PGSG")</f>
        <v>PGSG</v>
      </c>
    </row>
    <row r="29">
      <c r="A29" s="29" t="str">
        <f>IF(Projections!$H$3,Draft!E3,"")</f>
        <v>Donovan Mitchell</v>
      </c>
      <c r="B29">
        <f>IFERROR(__xludf.DUMMYFUNCTION("""COMPUTED_VALUE"""),21.0)</f>
        <v>21</v>
      </c>
      <c r="C29" t="str">
        <f>IFERROR(__xludf.DUMMYFUNCTION("""COMPUTED_VALUE"""),"Jimmy Butler")</f>
        <v>Jimmy Butler</v>
      </c>
      <c r="D29">
        <f>IFERROR(__xludf.DUMMYFUNCTION("""COMPUTED_VALUE"""),68.0)</f>
        <v>68</v>
      </c>
      <c r="E29" t="str">
        <f>IFERROR(__xludf.DUMMYFUNCTION("""COMPUTED_VALUE"""),"PG/SG")</f>
        <v>PG/SG</v>
      </c>
      <c r="F29" s="37">
        <f>IFERROR(__xludf.DUMMYFUNCTION("""COMPUTED_VALUE"""),3.4411021935926778)</f>
        <v>3.441102194</v>
      </c>
      <c r="G29" s="37">
        <f>IFERROR(__xludf.DUMMYFUNCTION("""COMPUTED_VALUE"""),4.239230678761515)</f>
        <v>4.239230679</v>
      </c>
      <c r="H29" s="37">
        <f>IFERROR(__xludf.DUMMYFUNCTION("""COMPUTED_VALUE"""),0.7981284851688368)</f>
        <v>0.7981284852</v>
      </c>
      <c r="I29" s="37">
        <f>IFERROR(__xludf.DUMMYFUNCTION("""COMPUTED_VALUE"""),21.3)</f>
        <v>21.3</v>
      </c>
      <c r="J29" s="37">
        <f>IFERROR(__xludf.DUMMYFUNCTION("""COMPUTED_VALUE"""),0.5)</f>
        <v>0.5</v>
      </c>
      <c r="K29" s="37">
        <f>IFERROR(__xludf.DUMMYFUNCTION("""COMPUTED_VALUE"""),6.0)</f>
        <v>6</v>
      </c>
      <c r="L29" s="37">
        <f>IFERROR(__xludf.DUMMYFUNCTION("""COMPUTED_VALUE"""),5.3)</f>
        <v>5.3</v>
      </c>
      <c r="M29" s="37">
        <f>IFERROR(__xludf.DUMMYFUNCTION("""COMPUTED_VALUE"""),1.6)</f>
        <v>1.6</v>
      </c>
      <c r="N29" s="37">
        <f>IFERROR(__xludf.DUMMYFUNCTION("""COMPUTED_VALUE"""),0.5)</f>
        <v>0.5</v>
      </c>
      <c r="O29" s="37">
        <f>IFERROR(__xludf.DUMMYFUNCTION("""COMPUTED_VALUE"""),47.61904761904762)</f>
        <v>47.61904762</v>
      </c>
      <c r="P29" s="37">
        <f>IFERROR(__xludf.DUMMYFUNCTION("""COMPUTED_VALUE"""),85.8974358974359)</f>
        <v>85.8974359</v>
      </c>
      <c r="Q29" s="37">
        <f>IFERROR(__xludf.DUMMYFUNCTION("""COMPUTED_VALUE"""),2.1)</f>
        <v>2.1</v>
      </c>
      <c r="R29" s="37">
        <f>IFERROR(__xludf.DUMMYFUNCTION("""COMPUTED_VALUE"""),1.1575348856517398)</f>
        <v>1.157534886</v>
      </c>
      <c r="S29" s="37">
        <f>IFERROR(__xludf.DUMMYFUNCTION("""COMPUTED_VALUE"""),-1.1133733411195912)</f>
        <v>-1.113373341</v>
      </c>
      <c r="T29" s="37">
        <f>IFERROR(__xludf.DUMMYFUNCTION("""COMPUTED_VALUE"""),-0.030410677676084106)</f>
        <v>-0.03041067768</v>
      </c>
      <c r="U29" s="37">
        <f>IFERROR(__xludf.DUMMYFUNCTION("""COMPUTED_VALUE"""),0.9119600905427914)</f>
        <v>0.9119600905</v>
      </c>
      <c r="V29" s="37">
        <f>IFERROR(__xludf.DUMMYFUNCTION("""COMPUTED_VALUE"""),2.4363374143421788)</f>
        <v>2.436337414</v>
      </c>
      <c r="W29" s="37">
        <f>IFERROR(__xludf.DUMMYFUNCTION("""COMPUTED_VALUE"""),0.0)</f>
        <v>0</v>
      </c>
      <c r="X29" s="37">
        <f>IFERROR(__xludf.DUMMYFUNCTION("""COMPUTED_VALUE"""),0.0)</f>
        <v>0</v>
      </c>
      <c r="Y29" s="37">
        <f>IFERROR(__xludf.DUMMYFUNCTION("""COMPUTED_VALUE"""),0.8771823070204804)</f>
        <v>0.877182307</v>
      </c>
      <c r="Z29" s="37">
        <f>IFERROR(__xludf.DUMMYFUNCTION("""COMPUTED_VALUE"""),0.0)</f>
        <v>0</v>
      </c>
      <c r="AA29" t="str">
        <f>IFERROR(__xludf.DUMMYFUNCTION("SUBSTITUTE(REGEXREPLACE(REGEXREPLACE(REGEXREPLACE(REGEXREPLACE(REGEXREPLACE(REGEXREPLACE(E29,"","",),IF(Projections!$U$3="""",""PG"",),),IF(Projections!$V$3="""",""SG"",),),IF(Projections!$W$3="""",""SF"",),),IF(Projections!$X$3="""",""PF"",),),IF(Project"&amp;"ions!$Y$3="""",""C"",),),""/"","""")"),"PGSG")</f>
        <v>PGSG</v>
      </c>
    </row>
    <row r="30">
      <c r="A30" s="29" t="str">
        <f>IF(Projections!$H$3,Draft!E4,"")</f>
        <v>Jrue Holiday</v>
      </c>
      <c r="B30">
        <f>IFERROR(__xludf.DUMMYFUNCTION("""COMPUTED_VALUE"""),22.0)</f>
        <v>22</v>
      </c>
      <c r="C30" t="str">
        <f>IFERROR(__xludf.DUMMYFUNCTION("""COMPUTED_VALUE"""),"Khris Middleton")</f>
        <v>Khris Middleton</v>
      </c>
      <c r="D30">
        <f>IFERROR(__xludf.DUMMYFUNCTION("""COMPUTED_VALUE"""),60.0)</f>
        <v>60</v>
      </c>
      <c r="E30" t="str">
        <f>IFERROR(__xludf.DUMMYFUNCTION("""COMPUTED_VALUE"""),"SF")</f>
        <v>SF</v>
      </c>
      <c r="F30" s="37">
        <f>IFERROR(__xludf.DUMMYFUNCTION("""COMPUTED_VALUE"""),3.1477022171568)</f>
        <v>3.147702217</v>
      </c>
      <c r="G30" s="37">
        <f>IFERROR(__xludf.DUMMYFUNCTION("""COMPUTED_VALUE"""),4.204319319896021)</f>
        <v>4.20431932</v>
      </c>
      <c r="H30" s="37">
        <f>IFERROR(__xludf.DUMMYFUNCTION("""COMPUTED_VALUE"""),1.0566171027392208)</f>
        <v>1.056617103</v>
      </c>
      <c r="I30" s="37">
        <f>IFERROR(__xludf.DUMMYFUNCTION("""COMPUTED_VALUE"""),20.7)</f>
        <v>20.7</v>
      </c>
      <c r="J30" s="37">
        <f>IFERROR(__xludf.DUMMYFUNCTION("""COMPUTED_VALUE"""),2.5)</f>
        <v>2.5</v>
      </c>
      <c r="K30" s="37">
        <f>IFERROR(__xludf.DUMMYFUNCTION("""COMPUTED_VALUE"""),5.5)</f>
        <v>5.5</v>
      </c>
      <c r="L30" s="37">
        <f>IFERROR(__xludf.DUMMYFUNCTION("""COMPUTED_VALUE"""),5.5)</f>
        <v>5.5</v>
      </c>
      <c r="M30" s="37">
        <f>IFERROR(__xludf.DUMMYFUNCTION("""COMPUTED_VALUE"""),1.2)</f>
        <v>1.2</v>
      </c>
      <c r="N30" s="37">
        <f>IFERROR(__xludf.DUMMYFUNCTION("""COMPUTED_VALUE"""),0.3)</f>
        <v>0.3</v>
      </c>
      <c r="O30" s="37">
        <f>IFERROR(__xludf.DUMMYFUNCTION("""COMPUTED_VALUE"""),47.333333333333336)</f>
        <v>47.33333333</v>
      </c>
      <c r="P30" s="37">
        <f>IFERROR(__xludf.DUMMYFUNCTION("""COMPUTED_VALUE"""),88.88888888888889)</f>
        <v>88.88888889</v>
      </c>
      <c r="Q30" s="37">
        <f>IFERROR(__xludf.DUMMYFUNCTION("""COMPUTED_VALUE"""),3.0)</f>
        <v>3</v>
      </c>
      <c r="R30" s="37">
        <f>IFERROR(__xludf.DUMMYFUNCTION("""COMPUTED_VALUE"""),0.9977639750800775)</f>
        <v>0.9977639751</v>
      </c>
      <c r="S30" s="37">
        <f>IFERROR(__xludf.DUMMYFUNCTION("""COMPUTED_VALUE"""),0.8865377839776849)</f>
        <v>0.886537784</v>
      </c>
      <c r="T30" s="37">
        <f>IFERROR(__xludf.DUMMYFUNCTION("""COMPUTED_VALUE"""),-0.2345183791957541)</f>
        <v>-0.2345183792</v>
      </c>
      <c r="U30" s="37">
        <f>IFERROR(__xludf.DUMMYFUNCTION("""COMPUTED_VALUE"""),1.026098732702284)</f>
        <v>1.026098733</v>
      </c>
      <c r="V30" s="37">
        <f>IFERROR(__xludf.DUMMYFUNCTION("""COMPUTED_VALUE"""),0.8011379785899962)</f>
        <v>0.8011379786</v>
      </c>
      <c r="W30" s="37">
        <f>IFERROR(__xludf.DUMMYFUNCTION("""COMPUTED_VALUE"""),0.0)</f>
        <v>0</v>
      </c>
      <c r="X30" s="37">
        <f>IFERROR(__xludf.DUMMYFUNCTION("""COMPUTED_VALUE"""),0.0)</f>
        <v>0</v>
      </c>
      <c r="Y30" s="37">
        <f>IFERROR(__xludf.DUMMYFUNCTION("""COMPUTED_VALUE"""),0.7272992287417323)</f>
        <v>0.7272992287</v>
      </c>
      <c r="Z30" s="37">
        <f>IFERROR(__xludf.DUMMYFUNCTION("""COMPUTED_VALUE"""),0.0)</f>
        <v>0</v>
      </c>
      <c r="AA30" t="str">
        <f>IFERROR(__xludf.DUMMYFUNCTION("SUBSTITUTE(REGEXREPLACE(REGEXREPLACE(REGEXREPLACE(REGEXREPLACE(REGEXREPLACE(REGEXREPLACE(E30,"","",),IF(Projections!$U$3="""",""PG"",),),IF(Projections!$V$3="""",""SG"",),),IF(Projections!$W$3="""",""SF"",),),IF(Projections!$X$3="""",""PF"",),),IF(Project"&amp;"ions!$Y$3="""",""C"",),),""/"","""")"),"SF")</f>
        <v>SF</v>
      </c>
    </row>
    <row r="31">
      <c r="A31" s="29" t="str">
        <f>IF(Projections!$H$3,Draft!E5,"")</f>
        <v>Dejounte Murray</v>
      </c>
      <c r="B31">
        <f>IFERROR(__xludf.DUMMYFUNCTION("""COMPUTED_VALUE"""),28.0)</f>
        <v>28</v>
      </c>
      <c r="C31" t="str">
        <f>IFERROR(__xludf.DUMMYFUNCTION("""COMPUTED_VALUE"""),"Jrue Holiday")</f>
        <v>Jrue Holiday</v>
      </c>
      <c r="D31">
        <f>IFERROR(__xludf.DUMMYFUNCTION("""COMPUTED_VALUE"""),65.0)</f>
        <v>65</v>
      </c>
      <c r="E31" t="str">
        <f>IFERROR(__xludf.DUMMYFUNCTION("""COMPUTED_VALUE"""),"PG/SG")</f>
        <v>PG/SG</v>
      </c>
      <c r="F31" s="37">
        <f>IFERROR(__xludf.DUMMYFUNCTION("""COMPUTED_VALUE"""),2.6132013457087284)</f>
        <v>2.613201346</v>
      </c>
      <c r="G31" s="37">
        <f>IFERROR(__xludf.DUMMYFUNCTION("""COMPUTED_VALUE"""),4.191531843850808)</f>
        <v>4.191531844</v>
      </c>
      <c r="H31" s="37">
        <f>IFERROR(__xludf.DUMMYFUNCTION("""COMPUTED_VALUE"""),1.5783304981420798)</f>
        <v>1.578330498</v>
      </c>
      <c r="I31" s="37">
        <f>IFERROR(__xludf.DUMMYFUNCTION("""COMPUTED_VALUE"""),18.2)</f>
        <v>18.2</v>
      </c>
      <c r="J31" s="37">
        <f>IFERROR(__xludf.DUMMYFUNCTION("""COMPUTED_VALUE"""),2.0)</f>
        <v>2</v>
      </c>
      <c r="K31" s="37">
        <f>IFERROR(__xludf.DUMMYFUNCTION("""COMPUTED_VALUE"""),4.6)</f>
        <v>4.6</v>
      </c>
      <c r="L31" s="37">
        <f>IFERROR(__xludf.DUMMYFUNCTION("""COMPUTED_VALUE"""),6.9)</f>
        <v>6.9</v>
      </c>
      <c r="M31" s="37">
        <f>IFERROR(__xludf.DUMMYFUNCTION("""COMPUTED_VALUE"""),1.6)</f>
        <v>1.6</v>
      </c>
      <c r="N31" s="37">
        <f>IFERROR(__xludf.DUMMYFUNCTION("""COMPUTED_VALUE"""),0.4)</f>
        <v>0.4</v>
      </c>
      <c r="O31" s="37">
        <f>IFERROR(__xludf.DUMMYFUNCTION("""COMPUTED_VALUE"""),50.0)</f>
        <v>50</v>
      </c>
      <c r="P31" s="37">
        <f>IFERROR(__xludf.DUMMYFUNCTION("""COMPUTED_VALUE"""),75.00000000000001)</f>
        <v>75</v>
      </c>
      <c r="Q31" s="37">
        <f>IFERROR(__xludf.DUMMYFUNCTION("""COMPUTED_VALUE"""),2.8)</f>
        <v>2.8</v>
      </c>
      <c r="R31" s="37">
        <f>IFERROR(__xludf.DUMMYFUNCTION("""COMPUTED_VALUE"""),0.33205184769815305)</f>
        <v>0.3320518477</v>
      </c>
      <c r="S31" s="37">
        <f>IFERROR(__xludf.DUMMYFUNCTION("""COMPUTED_VALUE"""),0.3865600027033658)</f>
        <v>0.3865600027</v>
      </c>
      <c r="T31" s="37">
        <f>IFERROR(__xludf.DUMMYFUNCTION("""COMPUTED_VALUE"""),-0.6019122419311602)</f>
        <v>-0.6019122419</v>
      </c>
      <c r="U31" s="37">
        <f>IFERROR(__xludf.DUMMYFUNCTION("""COMPUTED_VALUE"""),1.8250692278187324)</f>
        <v>1.825069228</v>
      </c>
      <c r="V31" s="37">
        <f>IFERROR(__xludf.DUMMYFUNCTION("""COMPUTED_VALUE"""),2.4363374143421788)</f>
        <v>2.436337414</v>
      </c>
      <c r="W31" s="37">
        <f>IFERROR(__xludf.DUMMYFUNCTION("""COMPUTED_VALUE"""),0.0)</f>
        <v>0</v>
      </c>
      <c r="X31" s="37">
        <f>IFERROR(__xludf.DUMMYFUNCTION("""COMPUTED_VALUE"""),0.0)</f>
        <v>0</v>
      </c>
      <c r="Y31" s="37">
        <f>IFERROR(__xludf.DUMMYFUNCTION("""COMPUTED_VALUE"""),-0.18657440678046072)</f>
        <v>-0.1865744068</v>
      </c>
      <c r="Z31" s="37">
        <f>IFERROR(__xludf.DUMMYFUNCTION("""COMPUTED_VALUE"""),0.0)</f>
        <v>0</v>
      </c>
      <c r="AA31" t="str">
        <f>IFERROR(__xludf.DUMMYFUNCTION("SUBSTITUTE(REGEXREPLACE(REGEXREPLACE(REGEXREPLACE(REGEXREPLACE(REGEXREPLACE(REGEXREPLACE(E31,"","",),IF(Projections!$U$3="""",""PG"",),),IF(Projections!$V$3="""",""SG"",),),IF(Projections!$W$3="""",""SF"",),),IF(Projections!$X$3="""",""PF"",),),IF(Project"&amp;"ions!$Y$3="""",""C"",),),""/"","""")"),"PGSG")</f>
        <v>PGSG</v>
      </c>
    </row>
    <row r="32">
      <c r="A32" s="29" t="str">
        <f>IF(Projections!$H$3,Draft!E6,"")</f>
        <v>Bradley Beal</v>
      </c>
      <c r="B32">
        <f>IFERROR(__xludf.DUMMYFUNCTION("""COMPUTED_VALUE"""),33.0)</f>
        <v>33</v>
      </c>
      <c r="C32" t="str">
        <f>IFERROR(__xludf.DUMMYFUNCTION("""COMPUTED_VALUE"""),"Bradley Beal")</f>
        <v>Bradley Beal</v>
      </c>
      <c r="D32">
        <f>IFERROR(__xludf.DUMMYFUNCTION("""COMPUTED_VALUE"""),70.0)</f>
        <v>70</v>
      </c>
      <c r="E32" t="str">
        <f>IFERROR(__xludf.DUMMYFUNCTION("""COMPUTED_VALUE"""),"SG")</f>
        <v>SG</v>
      </c>
      <c r="F32" s="37">
        <f>IFERROR(__xludf.DUMMYFUNCTION("""COMPUTED_VALUE"""),2.125980099963983)</f>
        <v>2.1259801</v>
      </c>
      <c r="G32" s="37">
        <f>IFERROR(__xludf.DUMMYFUNCTION("""COMPUTED_VALUE"""),3.969301843505023)</f>
        <v>3.969301844</v>
      </c>
      <c r="H32" s="37">
        <f>IFERROR(__xludf.DUMMYFUNCTION("""COMPUTED_VALUE"""),1.8433217435410398)</f>
        <v>1.843321744</v>
      </c>
      <c r="I32" s="37">
        <f>IFERROR(__xludf.DUMMYFUNCTION("""COMPUTED_VALUE"""),24.3)</f>
        <v>24.3</v>
      </c>
      <c r="J32" s="37">
        <f>IFERROR(__xludf.DUMMYFUNCTION("""COMPUTED_VALUE"""),2.1)</f>
        <v>2.1</v>
      </c>
      <c r="K32" s="37">
        <f>IFERROR(__xludf.DUMMYFUNCTION("""COMPUTED_VALUE"""),4.8)</f>
        <v>4.8</v>
      </c>
      <c r="L32" s="37">
        <f>IFERROR(__xludf.DUMMYFUNCTION("""COMPUTED_VALUE"""),5.4)</f>
        <v>5.4</v>
      </c>
      <c r="M32" s="37">
        <f>IFERROR(__xludf.DUMMYFUNCTION("""COMPUTED_VALUE"""),1.2)</f>
        <v>1.2</v>
      </c>
      <c r="N32" s="37">
        <f>IFERROR(__xludf.DUMMYFUNCTION("""COMPUTED_VALUE"""),0.4)</f>
        <v>0.4</v>
      </c>
      <c r="O32" s="37">
        <f>IFERROR(__xludf.DUMMYFUNCTION("""COMPUTED_VALUE"""),46.63212435233161)</f>
        <v>46.63212435</v>
      </c>
      <c r="P32" s="37">
        <f>IFERROR(__xludf.DUMMYFUNCTION("""COMPUTED_VALUE"""),82.3529411764706)</f>
        <v>82.35294118</v>
      </c>
      <c r="Q32" s="37">
        <f>IFERROR(__xludf.DUMMYFUNCTION("""COMPUTED_VALUE"""),3.4)</f>
        <v>3.4</v>
      </c>
      <c r="R32" s="37">
        <f>IFERROR(__xludf.DUMMYFUNCTION("""COMPUTED_VALUE"""),1.956389438510049)</f>
        <v>1.956389439</v>
      </c>
      <c r="S32" s="37">
        <f>IFERROR(__xludf.DUMMYFUNCTION("""COMPUTED_VALUE"""),0.4865555589582297)</f>
        <v>0.486555559</v>
      </c>
      <c r="T32" s="37">
        <f>IFERROR(__xludf.DUMMYFUNCTION("""COMPUTED_VALUE"""),-0.5202691613232922)</f>
        <v>-0.5202691613</v>
      </c>
      <c r="U32" s="37">
        <f>IFERROR(__xludf.DUMMYFUNCTION("""COMPUTED_VALUE"""),0.969029411622538)</f>
        <v>0.9690294116</v>
      </c>
      <c r="V32" s="37">
        <f>IFERROR(__xludf.DUMMYFUNCTION("""COMPUTED_VALUE"""),0.8011379785899962)</f>
        <v>0.8011379786</v>
      </c>
      <c r="W32" s="37">
        <f>IFERROR(__xludf.DUMMYFUNCTION("""COMPUTED_VALUE"""),0.0)</f>
        <v>0</v>
      </c>
      <c r="X32" s="37">
        <f>IFERROR(__xludf.DUMMYFUNCTION("""COMPUTED_VALUE"""),0.0)</f>
        <v>0</v>
      </c>
      <c r="Y32" s="37">
        <f>IFERROR(__xludf.DUMMYFUNCTION("""COMPUTED_VALUE"""),0.276458617147502)</f>
        <v>0.2764586171</v>
      </c>
      <c r="Z32" s="37">
        <f>IFERROR(__xludf.DUMMYFUNCTION("""COMPUTED_VALUE"""),0.0)</f>
        <v>0</v>
      </c>
      <c r="AA32" t="str">
        <f>IFERROR(__xludf.DUMMYFUNCTION("SUBSTITUTE(REGEXREPLACE(REGEXREPLACE(REGEXREPLACE(REGEXREPLACE(REGEXREPLACE(REGEXREPLACE(E32,"","",),IF(Projections!$U$3="""",""PG"",),),IF(Projections!$V$3="""",""SG"",),),IF(Projections!$W$3="""",""SF"",),),IF(Projections!$X$3="""",""PF"",),),IF(Project"&amp;"ions!$Y$3="""",""C"",),),""/"","""")"),"SG")</f>
        <v>SG</v>
      </c>
    </row>
    <row r="33">
      <c r="A33" s="29" t="str">
        <f>IF(Projections!$H$3,Draft!E7,"")</f>
        <v>Zion Williamson</v>
      </c>
      <c r="B33">
        <f>IFERROR(__xludf.DUMMYFUNCTION("""COMPUTED_VALUE"""),37.0)</f>
        <v>37</v>
      </c>
      <c r="C33" t="str">
        <f>IFERROR(__xludf.DUMMYFUNCTION("""COMPUTED_VALUE"""),"Terry Rozier")</f>
        <v>Terry Rozier</v>
      </c>
      <c r="D33">
        <f>IFERROR(__xludf.DUMMYFUNCTION("""COMPUTED_VALUE"""),68.0)</f>
        <v>68</v>
      </c>
      <c r="E33" t="str">
        <f>IFERROR(__xludf.DUMMYFUNCTION("""COMPUTED_VALUE"""),"PG/SG")</f>
        <v>PG/SG</v>
      </c>
      <c r="F33" s="37">
        <f>IFERROR(__xludf.DUMMYFUNCTION("""COMPUTED_VALUE"""),1.7047970015521434)</f>
        <v>1.704797002</v>
      </c>
      <c r="G33" s="37">
        <f>IFERROR(__xludf.DUMMYFUNCTION("""COMPUTED_VALUE"""),3.9094759609497127)</f>
        <v>3.909475961</v>
      </c>
      <c r="H33" s="37">
        <f>IFERROR(__xludf.DUMMYFUNCTION("""COMPUTED_VALUE"""),2.2046789593975693)</f>
        <v>2.204678959</v>
      </c>
      <c r="I33" s="37">
        <f>IFERROR(__xludf.DUMMYFUNCTION("""COMPUTED_VALUE"""),21.0)</f>
        <v>21</v>
      </c>
      <c r="J33" s="37">
        <f>IFERROR(__xludf.DUMMYFUNCTION("""COMPUTED_VALUE"""),3.1)</f>
        <v>3.1</v>
      </c>
      <c r="K33" s="37">
        <f>IFERROR(__xludf.DUMMYFUNCTION("""COMPUTED_VALUE"""),4.4)</f>
        <v>4.4</v>
      </c>
      <c r="L33" s="37">
        <f>IFERROR(__xludf.DUMMYFUNCTION("""COMPUTED_VALUE"""),4.6)</f>
        <v>4.6</v>
      </c>
      <c r="M33" s="37">
        <f>IFERROR(__xludf.DUMMYFUNCTION("""COMPUTED_VALUE"""),1.3)</f>
        <v>1.3</v>
      </c>
      <c r="N33" s="37">
        <f>IFERROR(__xludf.DUMMYFUNCTION("""COMPUTED_VALUE"""),0.3)</f>
        <v>0.3</v>
      </c>
      <c r="O33" s="37">
        <f>IFERROR(__xludf.DUMMYFUNCTION("""COMPUTED_VALUE"""),44.0)</f>
        <v>44</v>
      </c>
      <c r="P33" s="37">
        <f>IFERROR(__xludf.DUMMYFUNCTION("""COMPUTED_VALUE"""),85.71428571428572)</f>
        <v>85.71428571</v>
      </c>
      <c r="Q33" s="37">
        <f>IFERROR(__xludf.DUMMYFUNCTION("""COMPUTED_VALUE"""),1.3)</f>
        <v>1.3</v>
      </c>
      <c r="R33" s="37">
        <f>IFERROR(__xludf.DUMMYFUNCTION("""COMPUTED_VALUE"""),1.0776494303659088)</f>
        <v>1.07764943</v>
      </c>
      <c r="S33" s="37">
        <f>IFERROR(__xludf.DUMMYFUNCTION("""COMPUTED_VALUE"""),1.4865111215068678)</f>
        <v>1.486511122</v>
      </c>
      <c r="T33" s="37">
        <f>IFERROR(__xludf.DUMMYFUNCTION("""COMPUTED_VALUE"""),-0.683555322539028)</f>
        <v>-0.6835553225</v>
      </c>
      <c r="U33" s="37">
        <f>IFERROR(__xludf.DUMMYFUNCTION("""COMPUTED_VALUE"""),0.5124748429845672)</f>
        <v>0.512474843</v>
      </c>
      <c r="V33" s="37">
        <f>IFERROR(__xludf.DUMMYFUNCTION("""COMPUTED_VALUE"""),1.209937837528042)</f>
        <v>1.209937838</v>
      </c>
      <c r="W33" s="37">
        <f>IFERROR(__xludf.DUMMYFUNCTION("""COMPUTED_VALUE"""),0.0)</f>
        <v>0</v>
      </c>
      <c r="X33" s="37">
        <f>IFERROR(__xludf.DUMMYFUNCTION("""COMPUTED_VALUE"""),0.0)</f>
        <v>0</v>
      </c>
      <c r="Y33" s="37">
        <f>IFERROR(__xludf.DUMMYFUNCTION("""COMPUTED_VALUE"""),0.3064580511033551)</f>
        <v>0.3064580511</v>
      </c>
      <c r="Z33" s="37">
        <f>IFERROR(__xludf.DUMMYFUNCTION("""COMPUTED_VALUE"""),0.0)</f>
        <v>0</v>
      </c>
      <c r="AA33" t="str">
        <f>IFERROR(__xludf.DUMMYFUNCTION("SUBSTITUTE(REGEXREPLACE(REGEXREPLACE(REGEXREPLACE(REGEXREPLACE(REGEXREPLACE(REGEXREPLACE(E33,"","",),IF(Projections!$U$3="""",""PG"",),),IF(Projections!$V$3="""",""SG"",),),IF(Projections!$W$3="""",""SF"",),),IF(Projections!$X$3="""",""PF"",),),IF(Project"&amp;"ions!$Y$3="""",""C"",),),""/"","""")"),"PGSG")</f>
        <v>PGSG</v>
      </c>
    </row>
    <row r="34">
      <c r="A34" s="29" t="str">
        <f>IF(Projections!$H$3,Draft!E8,"")</f>
        <v>Jimmy Butler</v>
      </c>
      <c r="B34">
        <f>IFERROR(__xludf.DUMMYFUNCTION("""COMPUTED_VALUE"""),26.0)</f>
        <v>26</v>
      </c>
      <c r="C34" t="str">
        <f>IFERROR(__xludf.DUMMYFUNCTION("""COMPUTED_VALUE"""),"Shai Gilgeous-Alexander")</f>
        <v>Shai Gilgeous-Alexander</v>
      </c>
      <c r="D34">
        <f>IFERROR(__xludf.DUMMYFUNCTION("""COMPUTED_VALUE"""),69.0)</f>
        <v>69</v>
      </c>
      <c r="E34" t="str">
        <f>IFERROR(__xludf.DUMMYFUNCTION("""COMPUTED_VALUE"""),"PG/SF")</f>
        <v>PG/SF</v>
      </c>
      <c r="F34" s="37">
        <f>IFERROR(__xludf.DUMMYFUNCTION("""COMPUTED_VALUE"""),2.8021351816565416)</f>
        <v>2.802135182</v>
      </c>
      <c r="G34" s="37">
        <f>IFERROR(__xludf.DUMMYFUNCTION("""COMPUTED_VALUE"""),3.892768122997551)</f>
        <v>3.892768123</v>
      </c>
      <c r="H34" s="37">
        <f>IFERROR(__xludf.DUMMYFUNCTION("""COMPUTED_VALUE"""),1.0906329413410094)</f>
        <v>1.090632941</v>
      </c>
      <c r="I34" s="37">
        <f>IFERROR(__xludf.DUMMYFUNCTION("""COMPUTED_VALUE"""),24.9)</f>
        <v>24.9</v>
      </c>
      <c r="J34" s="37">
        <f>IFERROR(__xludf.DUMMYFUNCTION("""COMPUTED_VALUE"""),1.6)</f>
        <v>1.6</v>
      </c>
      <c r="K34" s="37">
        <f>IFERROR(__xludf.DUMMYFUNCTION("""COMPUTED_VALUE"""),5.1)</f>
        <v>5.1</v>
      </c>
      <c r="L34" s="37">
        <f>IFERROR(__xludf.DUMMYFUNCTION("""COMPUTED_VALUE"""),5.7)</f>
        <v>5.7</v>
      </c>
      <c r="M34" s="37">
        <f>IFERROR(__xludf.DUMMYFUNCTION("""COMPUTED_VALUE"""),1.2)</f>
        <v>1.2</v>
      </c>
      <c r="N34" s="37">
        <f>IFERROR(__xludf.DUMMYFUNCTION("""COMPUTED_VALUE"""),0.8)</f>
        <v>0.8</v>
      </c>
      <c r="O34" s="37">
        <f>IFERROR(__xludf.DUMMYFUNCTION("""COMPUTED_VALUE"""),46.73913043478261)</f>
        <v>46.73913043</v>
      </c>
      <c r="P34" s="37">
        <f>IFERROR(__xludf.DUMMYFUNCTION("""COMPUTED_VALUE"""),81.08108108108108)</f>
        <v>81.08108108</v>
      </c>
      <c r="Q34" s="37">
        <f>IFERROR(__xludf.DUMMYFUNCTION("""COMPUTED_VALUE"""),2.9)</f>
        <v>2.9</v>
      </c>
      <c r="R34" s="37">
        <f>IFERROR(__xludf.DUMMYFUNCTION("""COMPUTED_VALUE"""),2.1161603490817105)</f>
        <v>2.116160349</v>
      </c>
      <c r="S34" s="37">
        <f>IFERROR(__xludf.DUMMYFUNCTION("""COMPUTED_VALUE"""),-0.013422222316089305)</f>
        <v>-0.01342222232</v>
      </c>
      <c r="T34" s="37">
        <f>IFERROR(__xludf.DUMMYFUNCTION("""COMPUTED_VALUE"""),-0.39780454041149027)</f>
        <v>-0.3978045404</v>
      </c>
      <c r="U34" s="37">
        <f>IFERROR(__xludf.DUMMYFUNCTION("""COMPUTED_VALUE"""),1.1402373748617767)</f>
        <v>1.140237375</v>
      </c>
      <c r="V34" s="37">
        <f>IFERROR(__xludf.DUMMYFUNCTION("""COMPUTED_VALUE"""),0.8011379785899962)</f>
        <v>0.8011379786</v>
      </c>
      <c r="W34" s="37">
        <f>IFERROR(__xludf.DUMMYFUNCTION("""COMPUTED_VALUE"""),0.0)</f>
        <v>0</v>
      </c>
      <c r="X34" s="37">
        <f>IFERROR(__xludf.DUMMYFUNCTION("""COMPUTED_VALUE"""),0.0)</f>
        <v>0</v>
      </c>
      <c r="Y34" s="37">
        <f>IFERROR(__xludf.DUMMYFUNCTION("""COMPUTED_VALUE"""),0.2464591831916472)</f>
        <v>0.2464591832</v>
      </c>
      <c r="Z34" s="37">
        <f>IFERROR(__xludf.DUMMYFUNCTION("""COMPUTED_VALUE"""),0.0)</f>
        <v>0</v>
      </c>
      <c r="AA34" t="str">
        <f>IFERROR(__xludf.DUMMYFUNCTION("SUBSTITUTE(REGEXREPLACE(REGEXREPLACE(REGEXREPLACE(REGEXREPLACE(REGEXREPLACE(REGEXREPLACE(E34,"","",),IF(Projections!$U$3="""",""PG"",),),IF(Projections!$V$3="""",""SG"",),),IF(Projections!$W$3="""",""SF"",),),IF(Projections!$X$3="""",""PF"",),),IF(Project"&amp;"ions!$Y$3="""",""C"",),),""/"","""")"),"PGSF")</f>
        <v>PGSF</v>
      </c>
    </row>
    <row r="35">
      <c r="A35" s="29" t="str">
        <f>IF(Projections!$H$3,Draft!E9,"")</f>
        <v>Chris Paul</v>
      </c>
      <c r="B35">
        <f>IFERROR(__xludf.DUMMYFUNCTION("""COMPUTED_VALUE"""),30.0)</f>
        <v>30</v>
      </c>
      <c r="C35" t="str">
        <f>IFERROR(__xludf.DUMMYFUNCTION("""COMPUTED_VALUE"""),"Cade Cunningham")</f>
        <v>Cade Cunningham</v>
      </c>
      <c r="D35">
        <f>IFERROR(__xludf.DUMMYFUNCTION("""COMPUTED_VALUE"""),72.0)</f>
        <v>72</v>
      </c>
      <c r="E35" t="str">
        <f>IFERROR(__xludf.DUMMYFUNCTION("""COMPUTED_VALUE"""),"PG/SG")</f>
        <v>PG/SG</v>
      </c>
      <c r="F35" s="37">
        <f>IFERROR(__xludf.DUMMYFUNCTION("""COMPUTED_VALUE"""),2.334219721603025)</f>
        <v>2.334219722</v>
      </c>
      <c r="G35" s="37">
        <f>IFERROR(__xludf.DUMMYFUNCTION("""COMPUTED_VALUE"""),3.8205720123775944)</f>
        <v>3.820572012</v>
      </c>
      <c r="H35" s="37">
        <f>IFERROR(__xludf.DUMMYFUNCTION("""COMPUTED_VALUE"""),1.4863522907745694)</f>
        <v>1.486352291</v>
      </c>
      <c r="I35" s="37">
        <f>IFERROR(__xludf.DUMMYFUNCTION("""COMPUTED_VALUE"""),19.8)</f>
        <v>19.8</v>
      </c>
      <c r="J35" s="37">
        <f>IFERROR(__xludf.DUMMYFUNCTION("""COMPUTED_VALUE"""),2.0)</f>
        <v>2</v>
      </c>
      <c r="K35" s="37">
        <f>IFERROR(__xludf.DUMMYFUNCTION("""COMPUTED_VALUE"""),6.2)</f>
        <v>6.2</v>
      </c>
      <c r="L35" s="37">
        <f>IFERROR(__xludf.DUMMYFUNCTION("""COMPUTED_VALUE"""),6.3)</f>
        <v>6.3</v>
      </c>
      <c r="M35" s="37">
        <f>IFERROR(__xludf.DUMMYFUNCTION("""COMPUTED_VALUE"""),1.2)</f>
        <v>1.2</v>
      </c>
      <c r="N35" s="37">
        <f>IFERROR(__xludf.DUMMYFUNCTION("""COMPUTED_VALUE"""),0.8)</f>
        <v>0.8</v>
      </c>
      <c r="O35" s="37">
        <f>IFERROR(__xludf.DUMMYFUNCTION("""COMPUTED_VALUE"""),42.54143646408839)</f>
        <v>42.54143646</v>
      </c>
      <c r="P35" s="37">
        <f>IFERROR(__xludf.DUMMYFUNCTION("""COMPUTED_VALUE"""),86.20689655172414)</f>
        <v>86.20689655</v>
      </c>
      <c r="Q35" s="37">
        <f>IFERROR(__xludf.DUMMYFUNCTION("""COMPUTED_VALUE"""),4.2)</f>
        <v>4.2</v>
      </c>
      <c r="R35" s="37">
        <f>IFERROR(__xludf.DUMMYFUNCTION("""COMPUTED_VALUE"""),0.7581076092225851)</f>
        <v>0.7581076092</v>
      </c>
      <c r="S35" s="37">
        <f>IFERROR(__xludf.DUMMYFUNCTION("""COMPUTED_VALUE"""),0.3865600027033658)</f>
        <v>0.3865600027</v>
      </c>
      <c r="T35" s="37">
        <f>IFERROR(__xludf.DUMMYFUNCTION("""COMPUTED_VALUE"""),0.051232402931783966)</f>
        <v>0.05123240293</v>
      </c>
      <c r="U35" s="37">
        <f>IFERROR(__xludf.DUMMYFUNCTION("""COMPUTED_VALUE"""),1.4826533013402543)</f>
        <v>1.482653301</v>
      </c>
      <c r="V35" s="37">
        <f>IFERROR(__xludf.DUMMYFUNCTION("""COMPUTED_VALUE"""),0.8011379785899962)</f>
        <v>0.8011379786</v>
      </c>
      <c r="W35" s="37">
        <f>IFERROR(__xludf.DUMMYFUNCTION("""COMPUTED_VALUE"""),0.0)</f>
        <v>0</v>
      </c>
      <c r="X35" s="37">
        <f>IFERROR(__xludf.DUMMYFUNCTION("""COMPUTED_VALUE"""),0.0)</f>
        <v>0</v>
      </c>
      <c r="Y35" s="37">
        <f>IFERROR(__xludf.DUMMYFUNCTION("""COMPUTED_VALUE"""),0.340880717589609)</f>
        <v>0.3408807176</v>
      </c>
      <c r="Z35" s="37">
        <f>IFERROR(__xludf.DUMMYFUNCTION("""COMPUTED_VALUE"""),0.0)</f>
        <v>0</v>
      </c>
      <c r="AA35" t="str">
        <f>IFERROR(__xludf.DUMMYFUNCTION("SUBSTITUTE(REGEXREPLACE(REGEXREPLACE(REGEXREPLACE(REGEXREPLACE(REGEXREPLACE(REGEXREPLACE(E35,"","",),IF(Projections!$U$3="""",""PG"",),),IF(Projections!$V$3="""",""SG"",),),IF(Projections!$W$3="""",""SF"",),),IF(Projections!$X$3="""",""PF"",),),IF(Project"&amp;"ions!$Y$3="""",""C"",),),""/"","""")"),"PGSG")</f>
        <v>PGSG</v>
      </c>
    </row>
    <row r="36">
      <c r="A36" s="29" t="str">
        <f>IF(Projections!$H$3,Draft!E10,"")</f>
        <v>Darius Garland</v>
      </c>
      <c r="B36">
        <f>IFERROR(__xludf.DUMMYFUNCTION("""COMPUTED_VALUE"""),38.0)</f>
        <v>38</v>
      </c>
      <c r="C36" t="str">
        <f>IFERROR(__xludf.DUMMYFUNCTION("""COMPUTED_VALUE"""),"Anthony Edwards")</f>
        <v>Anthony Edwards</v>
      </c>
      <c r="D36">
        <f>IFERROR(__xludf.DUMMYFUNCTION("""COMPUTED_VALUE"""),70.0)</f>
        <v>70</v>
      </c>
      <c r="E36" t="str">
        <f>IFERROR(__xludf.DUMMYFUNCTION("""COMPUTED_VALUE"""),"SG/SF")</f>
        <v>SG/SF</v>
      </c>
      <c r="F36" s="37">
        <f>IFERROR(__xludf.DUMMYFUNCTION("""COMPUTED_VALUE"""),1.7027913732852522)</f>
        <v>1.702791373</v>
      </c>
      <c r="G36" s="37">
        <f>IFERROR(__xludf.DUMMYFUNCTION("""COMPUTED_VALUE"""),3.7845179396137536)</f>
        <v>3.78451794</v>
      </c>
      <c r="H36" s="37">
        <f>IFERROR(__xludf.DUMMYFUNCTION("""COMPUTED_VALUE"""),2.081726566328501)</f>
        <v>2.081726566</v>
      </c>
      <c r="I36" s="37">
        <f>IFERROR(__xludf.DUMMYFUNCTION("""COMPUTED_VALUE"""),22.3)</f>
        <v>22.3</v>
      </c>
      <c r="J36" s="37">
        <f>IFERROR(__xludf.DUMMYFUNCTION("""COMPUTED_VALUE"""),3.1)</f>
        <v>3.1</v>
      </c>
      <c r="K36" s="37">
        <f>IFERROR(__xludf.DUMMYFUNCTION("""COMPUTED_VALUE"""),4.0)</f>
        <v>4</v>
      </c>
      <c r="L36" s="37">
        <f>IFERROR(__xludf.DUMMYFUNCTION("""COMPUTED_VALUE"""),4.0)</f>
        <v>4</v>
      </c>
      <c r="M36" s="37">
        <f>IFERROR(__xludf.DUMMYFUNCTION("""COMPUTED_VALUE"""),1.4)</f>
        <v>1.4</v>
      </c>
      <c r="N36" s="37">
        <f>IFERROR(__xludf.DUMMYFUNCTION("""COMPUTED_VALUE"""),0.6)</f>
        <v>0.6</v>
      </c>
      <c r="O36" s="37">
        <f>IFERROR(__xludf.DUMMYFUNCTION("""COMPUTED_VALUE"""),44.19889502762431)</f>
        <v>44.19889503</v>
      </c>
      <c r="P36" s="37">
        <f>IFERROR(__xludf.DUMMYFUNCTION("""COMPUTED_VALUE"""),78.04878048780489)</f>
        <v>78.04878049</v>
      </c>
      <c r="Q36" s="37">
        <f>IFERROR(__xludf.DUMMYFUNCTION("""COMPUTED_VALUE"""),2.7)</f>
        <v>2.7</v>
      </c>
      <c r="R36" s="37">
        <f>IFERROR(__xludf.DUMMYFUNCTION("""COMPUTED_VALUE"""),1.4238197366045096)</f>
        <v>1.423819737</v>
      </c>
      <c r="S36" s="37">
        <f>IFERROR(__xludf.DUMMYFUNCTION("""COMPUTED_VALUE"""),1.4865111215068678)</f>
        <v>1.486511122</v>
      </c>
      <c r="T36" s="37">
        <f>IFERROR(__xludf.DUMMYFUNCTION("""COMPUTED_VALUE"""),-0.8468414837547641)</f>
        <v>-0.8468414838</v>
      </c>
      <c r="U36" s="37">
        <f>IFERROR(__xludf.DUMMYFUNCTION("""COMPUTED_VALUE"""),0.17005891650608962)</f>
        <v>0.1700589165</v>
      </c>
      <c r="V36" s="37">
        <f>IFERROR(__xludf.DUMMYFUNCTION("""COMPUTED_VALUE"""),1.6187376964660871)</f>
        <v>1.618737696</v>
      </c>
      <c r="W36" s="37">
        <f>IFERROR(__xludf.DUMMYFUNCTION("""COMPUTED_VALUE"""),0.0)</f>
        <v>0</v>
      </c>
      <c r="X36" s="37">
        <f>IFERROR(__xludf.DUMMYFUNCTION("""COMPUTED_VALUE"""),0.0)</f>
        <v>0</v>
      </c>
      <c r="Y36" s="37">
        <f>IFERROR(__xludf.DUMMYFUNCTION("""COMPUTED_VALUE"""),-0.06776804771503679)</f>
        <v>-0.06776804772</v>
      </c>
      <c r="Z36" s="37">
        <f>IFERROR(__xludf.DUMMYFUNCTION("""COMPUTED_VALUE"""),0.0)</f>
        <v>0</v>
      </c>
      <c r="AA36" t="str">
        <f>IFERROR(__xludf.DUMMYFUNCTION("SUBSTITUTE(REGEXREPLACE(REGEXREPLACE(REGEXREPLACE(REGEXREPLACE(REGEXREPLACE(REGEXREPLACE(E36,"","",),IF(Projections!$U$3="""",""PG"",),),IF(Projections!$V$3="""",""SG"",),),IF(Projections!$W$3="""",""SF"",),),IF(Projections!$X$3="""",""PF"",),),IF(Project"&amp;"ions!$Y$3="""",""C"",),),""/"","""")"),"SGSF")</f>
        <v>SGSF</v>
      </c>
    </row>
    <row r="37">
      <c r="A37" s="29" t="str">
        <f>IF(Projections!$H$3,Draft!E11,"")</f>
        <v>Kristaps Porzingis</v>
      </c>
      <c r="B37">
        <f>IFERROR(__xludf.DUMMYFUNCTION("""COMPUTED_VALUE"""),14.0)</f>
        <v>14</v>
      </c>
      <c r="C37" t="str">
        <f>IFERROR(__xludf.DUMMYFUNCTION("""COMPUTED_VALUE"""),"Karl-Anthony Towns")</f>
        <v>Karl-Anthony Towns</v>
      </c>
      <c r="D37">
        <f>IFERROR(__xludf.DUMMYFUNCTION("""COMPUTED_VALUE"""),74.0)</f>
        <v>74</v>
      </c>
      <c r="E37" t="str">
        <f>IFERROR(__xludf.DUMMYFUNCTION("""COMPUTED_VALUE"""),"C")</f>
        <v>C</v>
      </c>
      <c r="F37" s="37">
        <f>IFERROR(__xludf.DUMMYFUNCTION("""COMPUTED_VALUE"""),4.7521535492324585)</f>
        <v>4.752153549</v>
      </c>
      <c r="G37" s="37">
        <f>IFERROR(__xludf.DUMMYFUNCTION("""COMPUTED_VALUE"""),3.779362775272387)</f>
        <v>3.779362775</v>
      </c>
      <c r="H37" s="37">
        <f>IFERROR(__xludf.DUMMYFUNCTION("""COMPUTED_VALUE"""),-0.9727907739600714)</f>
        <v>-0.972790774</v>
      </c>
      <c r="I37" s="37">
        <f>IFERROR(__xludf.DUMMYFUNCTION("""COMPUTED_VALUE"""),23.4)</f>
        <v>23.4</v>
      </c>
      <c r="J37" s="37">
        <f>IFERROR(__xludf.DUMMYFUNCTION("""COMPUTED_VALUE"""),2.2)</f>
        <v>2.2</v>
      </c>
      <c r="K37" s="37">
        <f>IFERROR(__xludf.DUMMYFUNCTION("""COMPUTED_VALUE"""),8.7)</f>
        <v>8.7</v>
      </c>
      <c r="L37" s="37">
        <f>IFERROR(__xludf.DUMMYFUNCTION("""COMPUTED_VALUE"""),3.7)</f>
        <v>3.7</v>
      </c>
      <c r="M37" s="37">
        <f>IFERROR(__xludf.DUMMYFUNCTION("""COMPUTED_VALUE"""),1.0)</f>
        <v>1</v>
      </c>
      <c r="N37" s="37">
        <f>IFERROR(__xludf.DUMMYFUNCTION("""COMPUTED_VALUE"""),1.0)</f>
        <v>1</v>
      </c>
      <c r="O37" s="37">
        <f>IFERROR(__xludf.DUMMYFUNCTION("""COMPUTED_VALUE"""),51.59235668789809)</f>
        <v>51.59235669</v>
      </c>
      <c r="P37" s="37">
        <f>IFERROR(__xludf.DUMMYFUNCTION("""COMPUTED_VALUE"""),83.33333333333334)</f>
        <v>83.33333333</v>
      </c>
      <c r="Q37" s="37">
        <f>IFERROR(__xludf.DUMMYFUNCTION("""COMPUTED_VALUE"""),3.2)</f>
        <v>3.2</v>
      </c>
      <c r="R37" s="37">
        <f>IFERROR(__xludf.DUMMYFUNCTION("""COMPUTED_VALUE"""),1.7167330726525556)</f>
        <v>1.716733073</v>
      </c>
      <c r="S37" s="37">
        <f>IFERROR(__xludf.DUMMYFUNCTION("""COMPUTED_VALUE"""),0.5865511152130937)</f>
        <v>0.5865511152</v>
      </c>
      <c r="T37" s="37">
        <f>IFERROR(__xludf.DUMMYFUNCTION("""COMPUTED_VALUE"""),1.0717709105301336)</f>
        <v>1.071770911</v>
      </c>
      <c r="U37" s="37">
        <f>IFERROR(__xludf.DUMMYFUNCTION("""COMPUTED_VALUE"""),-0.0011490467331491702)</f>
        <v>-0.001149046733</v>
      </c>
      <c r="V37" s="37">
        <f>IFERROR(__xludf.DUMMYFUNCTION("""COMPUTED_VALUE"""),-0.01646173928609459)</f>
        <v>-0.01646173929</v>
      </c>
      <c r="W37" s="37">
        <f>IFERROR(__xludf.DUMMYFUNCTION("""COMPUTED_VALUE"""),0.0)</f>
        <v>0</v>
      </c>
      <c r="X37" s="37">
        <f>IFERROR(__xludf.DUMMYFUNCTION("""COMPUTED_VALUE"""),0.0)</f>
        <v>0</v>
      </c>
      <c r="Y37" s="37">
        <f>IFERROR(__xludf.DUMMYFUNCTION("""COMPUTED_VALUE"""),0.4219184628958483)</f>
        <v>0.4219184629</v>
      </c>
      <c r="Z37" s="37">
        <f>IFERROR(__xludf.DUMMYFUNCTION("""COMPUTED_VALUE"""),0.0)</f>
        <v>0</v>
      </c>
      <c r="AA37" t="str">
        <f>IFERROR(__xludf.DUMMYFUNCTION("SUBSTITUTE(REGEXREPLACE(REGEXREPLACE(REGEXREPLACE(REGEXREPLACE(REGEXREPLACE(REGEXREPLACE(E37,"","",),IF(Projections!$U$3="""",""PG"",),),IF(Projections!$V$3="""",""SG"",),),IF(Projections!$W$3="""",""SF"",),),IF(Projections!$X$3="""",""PF"",),),IF(Project"&amp;"ions!$Y$3="""",""C"",),),""/"","""")"),"C")</f>
        <v>C</v>
      </c>
    </row>
    <row r="38">
      <c r="A38" s="29" t="str">
        <f>IF(Projections!$H$3,Draft!E12,"")</f>
        <v>Cade Cunningham</v>
      </c>
      <c r="B38">
        <f>IFERROR(__xludf.DUMMYFUNCTION("""COMPUTED_VALUE"""),41.0)</f>
        <v>41</v>
      </c>
      <c r="C38" t="str">
        <f>IFERROR(__xludf.DUMMYFUNCTION("""COMPUTED_VALUE"""),"Jaylen Brown")</f>
        <v>Jaylen Brown</v>
      </c>
      <c r="D38">
        <f>IFERROR(__xludf.DUMMYFUNCTION("""COMPUTED_VALUE"""),74.0)</f>
        <v>74</v>
      </c>
      <c r="E38" t="str">
        <f>IFERROR(__xludf.DUMMYFUNCTION("""COMPUTED_VALUE"""),"SG/SF")</f>
        <v>SG/SF</v>
      </c>
      <c r="F38" s="37">
        <f>IFERROR(__xludf.DUMMYFUNCTION("""COMPUTED_VALUE"""),1.3152452494667966)</f>
        <v>1.315245249</v>
      </c>
      <c r="G38" s="37">
        <f>IFERROR(__xludf.DUMMYFUNCTION("""COMPUTED_VALUE"""),3.2480214527364866)</f>
        <v>3.248021453</v>
      </c>
      <c r="H38" s="37">
        <f>IFERROR(__xludf.DUMMYFUNCTION("""COMPUTED_VALUE"""),1.93277620326969)</f>
        <v>1.932776203</v>
      </c>
      <c r="I38" s="37">
        <f>IFERROR(__xludf.DUMMYFUNCTION("""COMPUTED_VALUE"""),24.3)</f>
        <v>24.3</v>
      </c>
      <c r="J38" s="37">
        <f>IFERROR(__xludf.DUMMYFUNCTION("""COMPUTED_VALUE"""),2.6)</f>
        <v>2.6</v>
      </c>
      <c r="K38" s="37">
        <f>IFERROR(__xludf.DUMMYFUNCTION("""COMPUTED_VALUE"""),6.3)</f>
        <v>6.3</v>
      </c>
      <c r="L38" s="37">
        <f>IFERROR(__xludf.DUMMYFUNCTION("""COMPUTED_VALUE"""),3.6)</f>
        <v>3.6</v>
      </c>
      <c r="M38" s="37">
        <f>IFERROR(__xludf.DUMMYFUNCTION("""COMPUTED_VALUE"""),1.1)</f>
        <v>1.1</v>
      </c>
      <c r="N38" s="37">
        <f>IFERROR(__xludf.DUMMYFUNCTION("""COMPUTED_VALUE"""),0.3)</f>
        <v>0.3</v>
      </c>
      <c r="O38" s="37">
        <f>IFERROR(__xludf.DUMMYFUNCTION("""COMPUTED_VALUE"""),47.61904761904762)</f>
        <v>47.61904762</v>
      </c>
      <c r="P38" s="37">
        <f>IFERROR(__xludf.DUMMYFUNCTION("""COMPUTED_VALUE"""),77.55102040816325)</f>
        <v>77.55102041</v>
      </c>
      <c r="Q38" s="37">
        <f>IFERROR(__xludf.DUMMYFUNCTION("""COMPUTED_VALUE"""),2.8)</f>
        <v>2.8</v>
      </c>
      <c r="R38" s="37">
        <f>IFERROR(__xludf.DUMMYFUNCTION("""COMPUTED_VALUE"""),1.956389438510049)</f>
        <v>1.956389439</v>
      </c>
      <c r="S38" s="37">
        <f>IFERROR(__xludf.DUMMYFUNCTION("""COMPUTED_VALUE"""),0.9865333402325488)</f>
        <v>0.9865333402</v>
      </c>
      <c r="T38" s="37">
        <f>IFERROR(__xludf.DUMMYFUNCTION("""COMPUTED_VALUE"""),0.09205394323571782)</f>
        <v>0.09205394324</v>
      </c>
      <c r="U38" s="37">
        <f>IFERROR(__xludf.DUMMYFUNCTION("""COMPUTED_VALUE"""),-0.058218367812895515)</f>
        <v>-0.05821836781</v>
      </c>
      <c r="V38" s="37">
        <f>IFERROR(__xludf.DUMMYFUNCTION("""COMPUTED_VALUE"""),0.39233811965195126)</f>
        <v>0.3923381197</v>
      </c>
      <c r="W38" s="37">
        <f>IFERROR(__xludf.DUMMYFUNCTION("""COMPUTED_VALUE"""),0.0)</f>
        <v>0</v>
      </c>
      <c r="X38" s="37">
        <f>IFERROR(__xludf.DUMMYFUNCTION("""COMPUTED_VALUE"""),0.0)</f>
        <v>0</v>
      </c>
      <c r="Y38" s="37">
        <f>IFERROR(__xludf.DUMMYFUNCTION("""COMPUTED_VALUE"""),-0.12107502108088491)</f>
        <v>-0.1210750211</v>
      </c>
      <c r="Z38" s="37">
        <f>IFERROR(__xludf.DUMMYFUNCTION("""COMPUTED_VALUE"""),0.0)</f>
        <v>0</v>
      </c>
      <c r="AA38" t="str">
        <f>IFERROR(__xludf.DUMMYFUNCTION("SUBSTITUTE(REGEXREPLACE(REGEXREPLACE(REGEXREPLACE(REGEXREPLACE(REGEXREPLACE(REGEXREPLACE(E38,"","",),IF(Projections!$U$3="""",""PG"",),),IF(Projections!$V$3="""",""SG"",),),IF(Projections!$W$3="""",""SF"",),),IF(Projections!$X$3="""",""PF"",),),IF(Project"&amp;"ions!$Y$3="""",""C"",),),""/"","""")"),"SGSF")</f>
        <v>SGSF</v>
      </c>
    </row>
    <row r="39">
      <c r="A39" s="29" t="str">
        <f>IF(Projections!$H$3,Draft!E13,"")</f>
        <v>Pascal Siakam</v>
      </c>
      <c r="B39">
        <f>IFERROR(__xludf.DUMMYFUNCTION("""COMPUTED_VALUE"""),48.0)</f>
        <v>48</v>
      </c>
      <c r="C39" t="str">
        <f>IFERROR(__xludf.DUMMYFUNCTION("""COMPUTED_VALUE"""),"De'Aaron Fox")</f>
        <v>De'Aaron Fox</v>
      </c>
      <c r="D39">
        <f>IFERROR(__xludf.DUMMYFUNCTION("""COMPUTED_VALUE"""),70.0)</f>
        <v>70</v>
      </c>
      <c r="E39" t="str">
        <f>IFERROR(__xludf.DUMMYFUNCTION("""COMPUTED_VALUE"""),"PG")</f>
        <v>PG</v>
      </c>
      <c r="F39" s="37">
        <f>IFERROR(__xludf.DUMMYFUNCTION("""COMPUTED_VALUE"""),0.5227268136073807)</f>
        <v>0.5227268136</v>
      </c>
      <c r="G39" s="37">
        <f>IFERROR(__xludf.DUMMYFUNCTION("""COMPUTED_VALUE"""),2.9143723427443984)</f>
        <v>2.914372343</v>
      </c>
      <c r="H39" s="37">
        <f>IFERROR(__xludf.DUMMYFUNCTION("""COMPUTED_VALUE"""),2.391645529137018)</f>
        <v>2.391645529</v>
      </c>
      <c r="I39" s="37">
        <f>IFERROR(__xludf.DUMMYFUNCTION("""COMPUTED_VALUE"""),24.0)</f>
        <v>24</v>
      </c>
      <c r="J39" s="37">
        <f>IFERROR(__xludf.DUMMYFUNCTION("""COMPUTED_VALUE"""),1.5)</f>
        <v>1.5</v>
      </c>
      <c r="K39" s="37">
        <f>IFERROR(__xludf.DUMMYFUNCTION("""COMPUTED_VALUE"""),4.0)</f>
        <v>4</v>
      </c>
      <c r="L39" s="37">
        <f>IFERROR(__xludf.DUMMYFUNCTION("""COMPUTED_VALUE"""),6.5)</f>
        <v>6.5</v>
      </c>
      <c r="M39" s="37">
        <f>IFERROR(__xludf.DUMMYFUNCTION("""COMPUTED_VALUE"""),1.2)</f>
        <v>1.2</v>
      </c>
      <c r="N39" s="37">
        <f>IFERROR(__xludf.DUMMYFUNCTION("""COMPUTED_VALUE"""),0.4)</f>
        <v>0.4</v>
      </c>
      <c r="O39" s="37">
        <f>IFERROR(__xludf.DUMMYFUNCTION("""COMPUTED_VALUE"""),47.61904761904762)</f>
        <v>47.61904762</v>
      </c>
      <c r="P39" s="37">
        <f>IFERROR(__xludf.DUMMYFUNCTION("""COMPUTED_VALUE"""),75.0)</f>
        <v>75</v>
      </c>
      <c r="Q39" s="37">
        <f>IFERROR(__xludf.DUMMYFUNCTION("""COMPUTED_VALUE"""),2.9)</f>
        <v>2.9</v>
      </c>
      <c r="R39" s="37">
        <f>IFERROR(__xludf.DUMMYFUNCTION("""COMPUTED_VALUE"""),1.876503983224218)</f>
        <v>1.876503983</v>
      </c>
      <c r="S39" s="37">
        <f>IFERROR(__xludf.DUMMYFUNCTION("""COMPUTED_VALUE"""),-0.1134177785709532)</f>
        <v>-0.1134177786</v>
      </c>
      <c r="T39" s="37">
        <f>IFERROR(__xludf.DUMMYFUNCTION("""COMPUTED_VALUE"""),-0.8468414837547641)</f>
        <v>-0.8468414838</v>
      </c>
      <c r="U39" s="37">
        <f>IFERROR(__xludf.DUMMYFUNCTION("""COMPUTED_VALUE"""),1.5967919434997468)</f>
        <v>1.596791943</v>
      </c>
      <c r="V39" s="37">
        <f>IFERROR(__xludf.DUMMYFUNCTION("""COMPUTED_VALUE"""),0.8011379785899962)</f>
        <v>0.8011379786</v>
      </c>
      <c r="W39" s="37">
        <f>IFERROR(__xludf.DUMMYFUNCTION("""COMPUTED_VALUE"""),0.0)</f>
        <v>0</v>
      </c>
      <c r="X39" s="37">
        <f>IFERROR(__xludf.DUMMYFUNCTION("""COMPUTED_VALUE"""),0.0)</f>
        <v>0</v>
      </c>
      <c r="Y39" s="37">
        <f>IFERROR(__xludf.DUMMYFUNCTION("""COMPUTED_VALUE"""),-0.3998023002438455)</f>
        <v>-0.3998023002</v>
      </c>
      <c r="Z39" s="37">
        <f>IFERROR(__xludf.DUMMYFUNCTION("""COMPUTED_VALUE"""),0.0)</f>
        <v>0</v>
      </c>
      <c r="AA39" t="str">
        <f>IFERROR(__xludf.DUMMYFUNCTION("SUBSTITUTE(REGEXREPLACE(REGEXREPLACE(REGEXREPLACE(REGEXREPLACE(REGEXREPLACE(REGEXREPLACE(E39,"","",),IF(Projections!$U$3="""",""PG"",),),IF(Projections!$V$3="""",""SG"",),),IF(Projections!$W$3="""",""SF"",),),IF(Projections!$X$3="""",""PF"",),),IF(Project"&amp;"ions!$Y$3="""",""C"",),),""/"","""")"),"PG")</f>
        <v>PG</v>
      </c>
    </row>
    <row r="40">
      <c r="A40" s="29" t="str">
        <f>IF(Projections!$H$3,Draft!E14,"")</f>
        <v>Anthony Edwards</v>
      </c>
      <c r="B40">
        <f>IFERROR(__xludf.DUMMYFUNCTION("""COMPUTED_VALUE"""),40.0)</f>
        <v>40</v>
      </c>
      <c r="C40" t="str">
        <f>IFERROR(__xludf.DUMMYFUNCTION("""COMPUTED_VALUE"""),"Pascal Siakam")</f>
        <v>Pascal Siakam</v>
      </c>
      <c r="D40">
        <f>IFERROR(__xludf.DUMMYFUNCTION("""COMPUTED_VALUE"""),73.0)</f>
        <v>73</v>
      </c>
      <c r="E40" t="str">
        <f>IFERROR(__xludf.DUMMYFUNCTION("""COMPUTED_VALUE"""),"PF/C")</f>
        <v>PF/C</v>
      </c>
      <c r="F40" s="37">
        <f>IFERROR(__xludf.DUMMYFUNCTION("""COMPUTED_VALUE"""),1.3444560194839668)</f>
        <v>1.344456019</v>
      </c>
      <c r="G40" s="37">
        <f>IFERROR(__xludf.DUMMYFUNCTION("""COMPUTED_VALUE"""),2.9077603193752957)</f>
        <v>2.907760319</v>
      </c>
      <c r="H40" s="37">
        <f>IFERROR(__xludf.DUMMYFUNCTION("""COMPUTED_VALUE"""),1.563304299891329)</f>
        <v>1.5633043</v>
      </c>
      <c r="I40" s="37">
        <f>IFERROR(__xludf.DUMMYFUNCTION("""COMPUTED_VALUE"""),22.0)</f>
        <v>22</v>
      </c>
      <c r="J40" s="37">
        <f>IFERROR(__xludf.DUMMYFUNCTION("""COMPUTED_VALUE"""),1.1)</f>
        <v>1.1</v>
      </c>
      <c r="K40" s="37">
        <f>IFERROR(__xludf.DUMMYFUNCTION("""COMPUTED_VALUE"""),8.3)</f>
        <v>8.3</v>
      </c>
      <c r="L40" s="37">
        <f>IFERROR(__xludf.DUMMYFUNCTION("""COMPUTED_VALUE"""),5.0)</f>
        <v>5</v>
      </c>
      <c r="M40" s="37">
        <f>IFERROR(__xludf.DUMMYFUNCTION("""COMPUTED_VALUE"""),1.2)</f>
        <v>1.2</v>
      </c>
      <c r="N40" s="37">
        <f>IFERROR(__xludf.DUMMYFUNCTION("""COMPUTED_VALUE"""),0.6)</f>
        <v>0.6</v>
      </c>
      <c r="O40" s="37">
        <f>IFERROR(__xludf.DUMMYFUNCTION("""COMPUTED_VALUE"""),47.72727272727273)</f>
        <v>47.72727273</v>
      </c>
      <c r="P40" s="37">
        <f>IFERROR(__xludf.DUMMYFUNCTION("""COMPUTED_VALUE"""),75.00000000000001)</f>
        <v>75</v>
      </c>
      <c r="Q40" s="37">
        <f>IFERROR(__xludf.DUMMYFUNCTION("""COMPUTED_VALUE"""),2.7)</f>
        <v>2.7</v>
      </c>
      <c r="R40" s="37">
        <f>IFERROR(__xludf.DUMMYFUNCTION("""COMPUTED_VALUE"""),1.3439342813186785)</f>
        <v>1.343934281</v>
      </c>
      <c r="S40" s="37">
        <f>IFERROR(__xludf.DUMMYFUNCTION("""COMPUTED_VALUE"""),-0.5134000035904084)</f>
        <v>-0.5134000036</v>
      </c>
      <c r="T40" s="37">
        <f>IFERROR(__xludf.DUMMYFUNCTION("""COMPUTED_VALUE"""),0.9084847493143983)</f>
        <v>0.9084847493</v>
      </c>
      <c r="U40" s="37">
        <f>IFERROR(__xludf.DUMMYFUNCTION("""COMPUTED_VALUE"""),0.7407521273035524)</f>
        <v>0.7407521273</v>
      </c>
      <c r="V40" s="37">
        <f>IFERROR(__xludf.DUMMYFUNCTION("""COMPUTED_VALUE"""),0.8011379785899962)</f>
        <v>0.8011379786</v>
      </c>
      <c r="W40" s="37">
        <f>IFERROR(__xludf.DUMMYFUNCTION("""COMPUTED_VALUE"""),0.0)</f>
        <v>0</v>
      </c>
      <c r="X40" s="37">
        <f>IFERROR(__xludf.DUMMYFUNCTION("""COMPUTED_VALUE"""),0.0)</f>
        <v>0</v>
      </c>
      <c r="Y40" s="37">
        <f>IFERROR(__xludf.DUMMYFUNCTION("""COMPUTED_VALUE"""),-0.37314881356092144)</f>
        <v>-0.3731488136</v>
      </c>
      <c r="Z40" s="37">
        <f>IFERROR(__xludf.DUMMYFUNCTION("""COMPUTED_VALUE"""),0.0)</f>
        <v>0</v>
      </c>
      <c r="AA40" t="str">
        <f>IFERROR(__xludf.DUMMYFUNCTION("SUBSTITUTE(REGEXREPLACE(REGEXREPLACE(REGEXREPLACE(REGEXREPLACE(REGEXREPLACE(REGEXREPLACE(E40,"","",),IF(Projections!$U$3="""",""PG"",),),IF(Projections!$V$3="""",""SG"",),),IF(Projections!$W$3="""",""SF"",),),IF(Projections!$X$3="""",""PF"",),),IF(Project"&amp;"ions!$Y$3="""",""C"",),),""/"","""")"),"PFC")</f>
        <v>PFC</v>
      </c>
    </row>
    <row r="41">
      <c r="A41" s="29" t="str">
        <f>IF(Projections!$H$3,Draft!F3,"")</f>
        <v>John Collins</v>
      </c>
      <c r="B41">
        <f>IFERROR(__xludf.DUMMYFUNCTION("""COMPUTED_VALUE"""),29.0)</f>
        <v>29</v>
      </c>
      <c r="C41" t="str">
        <f>IFERROR(__xludf.DUMMYFUNCTION("""COMPUTED_VALUE"""),"Domantas Sabonis")</f>
        <v>Domantas Sabonis</v>
      </c>
      <c r="D41">
        <f>IFERROR(__xludf.DUMMYFUNCTION("""COMPUTED_VALUE"""),50.0)</f>
        <v>50</v>
      </c>
      <c r="E41" t="str">
        <f>IFERROR(__xludf.DUMMYFUNCTION("""COMPUTED_VALUE"""),"PF/C")</f>
        <v>PF/C</v>
      </c>
      <c r="F41" s="37">
        <f>IFERROR(__xludf.DUMMYFUNCTION("""COMPUTED_VALUE"""),2.386674178423356)</f>
        <v>2.386674178</v>
      </c>
      <c r="G41" s="37">
        <f>IFERROR(__xludf.DUMMYFUNCTION("""COMPUTED_VALUE"""),2.5242880886949433)</f>
        <v>2.524288089</v>
      </c>
      <c r="H41" s="37">
        <f>IFERROR(__xludf.DUMMYFUNCTION("""COMPUTED_VALUE"""),0.13761391027158743)</f>
        <v>0.1376139103</v>
      </c>
      <c r="I41" s="37">
        <f>IFERROR(__xludf.DUMMYFUNCTION("""COMPUTED_VALUE"""),19.1)</f>
        <v>19.1</v>
      </c>
      <c r="J41" s="37">
        <f>IFERROR(__xludf.DUMMYFUNCTION("""COMPUTED_VALUE"""),0.6)</f>
        <v>0.6</v>
      </c>
      <c r="K41" s="37">
        <f>IFERROR(__xludf.DUMMYFUNCTION("""COMPUTED_VALUE"""),11.8)</f>
        <v>11.8</v>
      </c>
      <c r="L41" s="37">
        <f>IFERROR(__xludf.DUMMYFUNCTION("""COMPUTED_VALUE"""),5.5)</f>
        <v>5.5</v>
      </c>
      <c r="M41" s="37">
        <f>IFERROR(__xludf.DUMMYFUNCTION("""COMPUTED_VALUE"""),1.0)</f>
        <v>1</v>
      </c>
      <c r="N41" s="37">
        <f>IFERROR(__xludf.DUMMYFUNCTION("""COMPUTED_VALUE"""),0.5)</f>
        <v>0.5</v>
      </c>
      <c r="O41" s="37">
        <f>IFERROR(__xludf.DUMMYFUNCTION("""COMPUTED_VALUE"""),55.72519083969466)</f>
        <v>55.72519084</v>
      </c>
      <c r="P41" s="37">
        <f>IFERROR(__xludf.DUMMYFUNCTION("""COMPUTED_VALUE"""),74.50980392156863)</f>
        <v>74.50980392</v>
      </c>
      <c r="Q41" s="37">
        <f>IFERROR(__xludf.DUMMYFUNCTION("""COMPUTED_VALUE"""),3.2)</f>
        <v>3.2</v>
      </c>
      <c r="R41" s="37">
        <f>IFERROR(__xludf.DUMMYFUNCTION("""COMPUTED_VALUE"""),0.5717082135556464)</f>
        <v>0.5717082136</v>
      </c>
      <c r="S41" s="37">
        <f>IFERROR(__xludf.DUMMYFUNCTION("""COMPUTED_VALUE"""),-1.0133777848647274)</f>
        <v>-1.013377785</v>
      </c>
      <c r="T41" s="37">
        <f>IFERROR(__xludf.DUMMYFUNCTION("""COMPUTED_VALUE"""),2.3372386599520882)</f>
        <v>2.33723866</v>
      </c>
      <c r="U41" s="37">
        <f>IFERROR(__xludf.DUMMYFUNCTION("""COMPUTED_VALUE"""),1.026098732702284)</f>
        <v>1.026098733</v>
      </c>
      <c r="V41" s="37">
        <f>IFERROR(__xludf.DUMMYFUNCTION("""COMPUTED_VALUE"""),-0.01646173928609459)</f>
        <v>-0.01646173929</v>
      </c>
      <c r="W41" s="37">
        <f>IFERROR(__xludf.DUMMYFUNCTION("""COMPUTED_VALUE"""),0.0)</f>
        <v>0</v>
      </c>
      <c r="X41" s="37">
        <f>IFERROR(__xludf.DUMMYFUNCTION("""COMPUTED_VALUE"""),0.0)</f>
        <v>0</v>
      </c>
      <c r="Y41" s="37">
        <f>IFERROR(__xludf.DUMMYFUNCTION("""COMPUTED_VALUE"""),-0.3809179933642532)</f>
        <v>-0.3809179934</v>
      </c>
      <c r="Z41" s="37">
        <f>IFERROR(__xludf.DUMMYFUNCTION("""COMPUTED_VALUE"""),0.0)</f>
        <v>0</v>
      </c>
      <c r="AA41" t="str">
        <f>IFERROR(__xludf.DUMMYFUNCTION("SUBSTITUTE(REGEXREPLACE(REGEXREPLACE(REGEXREPLACE(REGEXREPLACE(REGEXREPLACE(REGEXREPLACE(E41,"","",),IF(Projections!$U$3="""",""PG"",),),IF(Projections!$V$3="""",""SG"",),),IF(Projections!$W$3="""",""SF"",),),IF(Projections!$X$3="""",""PF"",),),IF(Project"&amp;"ions!$Y$3="""",""C"",),),""/"","""")"),"PFC")</f>
        <v>PFC</v>
      </c>
    </row>
    <row r="42">
      <c r="A42" s="29" t="str">
        <f>IF(Projections!$H$3,Draft!F4,"")</f>
        <v>Khris Middleton</v>
      </c>
      <c r="B42">
        <f>IFERROR(__xludf.DUMMYFUNCTION("""COMPUTED_VALUE"""),53.0)</f>
        <v>53</v>
      </c>
      <c r="C42" t="str">
        <f>IFERROR(__xludf.DUMMYFUNCTION("""COMPUTED_VALUE"""),"CJ McCollum")</f>
        <v>CJ McCollum</v>
      </c>
      <c r="D42">
        <f>IFERROR(__xludf.DUMMYFUNCTION("""COMPUTED_VALUE"""),72.0)</f>
        <v>72</v>
      </c>
      <c r="E42" t="str">
        <f>IFERROR(__xludf.DUMMYFUNCTION("""COMPUTED_VALUE"""),"SG")</f>
        <v>SG</v>
      </c>
      <c r="F42" s="37">
        <f>IFERROR(__xludf.DUMMYFUNCTION("""COMPUTED_VALUE"""),0.08399904687777626)</f>
        <v>0.08399904688</v>
      </c>
      <c r="G42" s="37">
        <f>IFERROR(__xludf.DUMMYFUNCTION("""COMPUTED_VALUE"""),2.4087599411884453)</f>
        <v>2.408759941</v>
      </c>
      <c r="H42" s="37">
        <f>IFERROR(__xludf.DUMMYFUNCTION("""COMPUTED_VALUE"""),2.324760894310669)</f>
        <v>2.324760894</v>
      </c>
      <c r="I42" s="37">
        <f>IFERROR(__xludf.DUMMYFUNCTION("""COMPUTED_VALUE"""),22.6)</f>
        <v>22.6</v>
      </c>
      <c r="J42" s="37">
        <f>IFERROR(__xludf.DUMMYFUNCTION("""COMPUTED_VALUE"""),3.0)</f>
        <v>3</v>
      </c>
      <c r="K42" s="37">
        <f>IFERROR(__xludf.DUMMYFUNCTION("""COMPUTED_VALUE"""),4.5)</f>
        <v>4.5</v>
      </c>
      <c r="L42" s="37">
        <f>IFERROR(__xludf.DUMMYFUNCTION("""COMPUTED_VALUE"""),4.2)</f>
        <v>4.2</v>
      </c>
      <c r="M42" s="37">
        <f>IFERROR(__xludf.DUMMYFUNCTION("""COMPUTED_VALUE"""),1.1)</f>
        <v>1.1</v>
      </c>
      <c r="N42" s="37">
        <f>IFERROR(__xludf.DUMMYFUNCTION("""COMPUTED_VALUE"""),0.4)</f>
        <v>0.4</v>
      </c>
      <c r="O42" s="37">
        <f>IFERROR(__xludf.DUMMYFUNCTION("""COMPUTED_VALUE"""),46.35416666666667)</f>
        <v>46.35416667</v>
      </c>
      <c r="P42" s="37">
        <f>IFERROR(__xludf.DUMMYFUNCTION("""COMPUTED_VALUE"""),67.85714285714286)</f>
        <v>67.85714286</v>
      </c>
      <c r="Q42" s="37">
        <f>IFERROR(__xludf.DUMMYFUNCTION("""COMPUTED_VALUE"""),2.0)</f>
        <v>2</v>
      </c>
      <c r="R42" s="37">
        <f>IFERROR(__xludf.DUMMYFUNCTION("""COMPUTED_VALUE"""),1.5037051918903406)</f>
        <v>1.503705192</v>
      </c>
      <c r="S42" s="37">
        <f>IFERROR(__xludf.DUMMYFUNCTION("""COMPUTED_VALUE"""),1.386515565252004)</f>
        <v>1.386515565</v>
      </c>
      <c r="T42" s="37">
        <f>IFERROR(__xludf.DUMMYFUNCTION("""COMPUTED_VALUE"""),-0.6427337822350941)</f>
        <v>-0.6427337822</v>
      </c>
      <c r="U42" s="37">
        <f>IFERROR(__xludf.DUMMYFUNCTION("""COMPUTED_VALUE"""),0.2841975586655823)</f>
        <v>0.2841975587</v>
      </c>
      <c r="V42" s="37">
        <f>IFERROR(__xludf.DUMMYFUNCTION("""COMPUTED_VALUE"""),0.39233811965195126)</f>
        <v>0.3923381197</v>
      </c>
      <c r="W42" s="37">
        <f>IFERROR(__xludf.DUMMYFUNCTION("""COMPUTED_VALUE"""),0.0)</f>
        <v>0</v>
      </c>
      <c r="X42" s="37">
        <f>IFERROR(__xludf.DUMMYFUNCTION("""COMPUTED_VALUE"""),0.0)</f>
        <v>0</v>
      </c>
      <c r="Y42" s="37">
        <f>IFERROR(__xludf.DUMMYFUNCTION("""COMPUTED_VALUE"""),-0.5152627120363384)</f>
        <v>-0.515262712</v>
      </c>
      <c r="Z42" s="37">
        <f>IFERROR(__xludf.DUMMYFUNCTION("""COMPUTED_VALUE"""),0.0)</f>
        <v>0</v>
      </c>
      <c r="AA42" t="str">
        <f>IFERROR(__xludf.DUMMYFUNCTION("SUBSTITUTE(REGEXREPLACE(REGEXREPLACE(REGEXREPLACE(REGEXREPLACE(REGEXREPLACE(REGEXREPLACE(E42,"","",),IF(Projections!$U$3="""",""PG"",),),IF(Projections!$V$3="""",""SG"",),),IF(Projections!$W$3="""",""SF"",),),IF(Projections!$X$3="""",""PF"",),),IF(Project"&amp;"ions!$Y$3="""",""C"",),),""/"","""")"),"SG")</f>
        <v>SG</v>
      </c>
    </row>
    <row r="43">
      <c r="A43" s="29" t="str">
        <f>IF(Projections!$H$3,Draft!F5,"")</f>
        <v>Deandre Ayton</v>
      </c>
      <c r="B43">
        <f>IFERROR(__xludf.DUMMYFUNCTION("""COMPUTED_VALUE"""),44.0)</f>
        <v>44</v>
      </c>
      <c r="C43" t="str">
        <f>IFERROR(__xludf.DUMMYFUNCTION("""COMPUTED_VALUE"""),"Kyle Lowry")</f>
        <v>Kyle Lowry</v>
      </c>
      <c r="D43">
        <f>IFERROR(__xludf.DUMMYFUNCTION("""COMPUTED_VALUE"""),72.0)</f>
        <v>72</v>
      </c>
      <c r="E43" t="str">
        <f>IFERROR(__xludf.DUMMYFUNCTION("""COMPUTED_VALUE"""),"PG")</f>
        <v>PG</v>
      </c>
      <c r="F43" s="37">
        <f>IFERROR(__xludf.DUMMYFUNCTION("""COMPUTED_VALUE"""),1.0161744745495547)</f>
        <v>1.016174475</v>
      </c>
      <c r="G43" s="37">
        <f>IFERROR(__xludf.DUMMYFUNCTION("""COMPUTED_VALUE"""),2.3978786896296747)</f>
        <v>2.39787869</v>
      </c>
      <c r="H43" s="37">
        <f>IFERROR(__xludf.DUMMYFUNCTION("""COMPUTED_VALUE"""),1.38170421508012)</f>
        <v>1.381704215</v>
      </c>
      <c r="I43" s="37">
        <f>IFERROR(__xludf.DUMMYFUNCTION("""COMPUTED_VALUE"""),14.8)</f>
        <v>14.8</v>
      </c>
      <c r="J43" s="37">
        <f>IFERROR(__xludf.DUMMYFUNCTION("""COMPUTED_VALUE"""),2.4)</f>
        <v>2.4</v>
      </c>
      <c r="K43" s="37">
        <f>IFERROR(__xludf.DUMMYFUNCTION("""COMPUTED_VALUE"""),4.6)</f>
        <v>4.6</v>
      </c>
      <c r="L43" s="37">
        <f>IFERROR(__xludf.DUMMYFUNCTION("""COMPUTED_VALUE"""),7.3)</f>
        <v>7.3</v>
      </c>
      <c r="M43" s="37">
        <f>IFERROR(__xludf.DUMMYFUNCTION("""COMPUTED_VALUE"""),1.1)</f>
        <v>1.1</v>
      </c>
      <c r="N43" s="37">
        <f>IFERROR(__xludf.DUMMYFUNCTION("""COMPUTED_VALUE"""),0.3)</f>
        <v>0.3</v>
      </c>
      <c r="O43" s="37">
        <f>IFERROR(__xludf.DUMMYFUNCTION("""COMPUTED_VALUE"""),44.24778761061947)</f>
        <v>44.24778761</v>
      </c>
      <c r="P43" s="37">
        <f>IFERROR(__xludf.DUMMYFUNCTION("""COMPUTED_VALUE"""),86.20689655172414)</f>
        <v>86.20689655</v>
      </c>
      <c r="Q43" s="37">
        <f>IFERROR(__xludf.DUMMYFUNCTION("""COMPUTED_VALUE"""),2.8)</f>
        <v>2.8</v>
      </c>
      <c r="R43" s="37">
        <f>IFERROR(__xludf.DUMMYFUNCTION("""COMPUTED_VALUE"""),-0.5733166455412638)</f>
        <v>-0.5733166455</v>
      </c>
      <c r="S43" s="37">
        <f>IFERROR(__xludf.DUMMYFUNCTION("""COMPUTED_VALUE"""),0.786542227722821)</f>
        <v>0.7865422277</v>
      </c>
      <c r="T43" s="37">
        <f>IFERROR(__xludf.DUMMYFUNCTION("""COMPUTED_VALUE"""),-0.6019122419311602)</f>
        <v>-0.6019122419</v>
      </c>
      <c r="U43" s="37">
        <f>IFERROR(__xludf.DUMMYFUNCTION("""COMPUTED_VALUE"""),2.0533465121377175)</f>
        <v>2.053346512</v>
      </c>
      <c r="V43" s="37">
        <f>IFERROR(__xludf.DUMMYFUNCTION("""COMPUTED_VALUE"""),0.39233811965195126)</f>
        <v>0.3923381197</v>
      </c>
      <c r="W43" s="37">
        <f>IFERROR(__xludf.DUMMYFUNCTION("""COMPUTED_VALUE"""),0.0)</f>
        <v>0</v>
      </c>
      <c r="X43" s="37">
        <f>IFERROR(__xludf.DUMMYFUNCTION("""COMPUTED_VALUE"""),0.0)</f>
        <v>0</v>
      </c>
      <c r="Y43" s="37">
        <f>IFERROR(__xludf.DUMMYFUNCTION("""COMPUTED_VALUE"""),0.340880717589609)</f>
        <v>0.3408807176</v>
      </c>
      <c r="Z43" s="37">
        <f>IFERROR(__xludf.DUMMYFUNCTION("""COMPUTED_VALUE"""),0.0)</f>
        <v>0</v>
      </c>
      <c r="AA43" t="str">
        <f>IFERROR(__xludf.DUMMYFUNCTION("SUBSTITUTE(REGEXREPLACE(REGEXREPLACE(REGEXREPLACE(REGEXREPLACE(REGEXREPLACE(REGEXREPLACE(E43,"","",),IF(Projections!$U$3="""",""PG"",),),IF(Projections!$V$3="""",""SG"",),),IF(Projections!$W$3="""",""SF"",),),IF(Projections!$X$3="""",""PF"",),),IF(Project"&amp;"ions!$Y$3="""",""C"",),),""/"","""")"),"PG")</f>
        <v>PG</v>
      </c>
    </row>
    <row r="44">
      <c r="A44" s="29" t="str">
        <f>IF(Projections!$H$3,Draft!F6,"")</f>
        <v>De'Aaron Fox</v>
      </c>
      <c r="B44">
        <f>IFERROR(__xludf.DUMMYFUNCTION("""COMPUTED_VALUE"""),36.0)</f>
        <v>36</v>
      </c>
      <c r="C44" t="str">
        <f>IFERROR(__xludf.DUMMYFUNCTION("""COMPUTED_VALUE"""),"DeMar DeRozan")</f>
        <v>DeMar DeRozan</v>
      </c>
      <c r="D44">
        <f>IFERROR(__xludf.DUMMYFUNCTION("""COMPUTED_VALUE"""),73.0)</f>
        <v>73</v>
      </c>
      <c r="E44" t="str">
        <f>IFERROR(__xludf.DUMMYFUNCTION("""COMPUTED_VALUE"""),"SG/SF")</f>
        <v>SG/SF</v>
      </c>
      <c r="F44" s="37">
        <f>IFERROR(__xludf.DUMMYFUNCTION("""COMPUTED_VALUE"""),1.7114073520827184)</f>
        <v>1.711407352</v>
      </c>
      <c r="G44" s="37">
        <f>IFERROR(__xludf.DUMMYFUNCTION("""COMPUTED_VALUE"""),2.29454158271008)</f>
        <v>2.294541583</v>
      </c>
      <c r="H44" s="37">
        <f>IFERROR(__xludf.DUMMYFUNCTION("""COMPUTED_VALUE"""),0.5831342306273615)</f>
        <v>0.5831342306</v>
      </c>
      <c r="I44" s="37">
        <f>IFERROR(__xludf.DUMMYFUNCTION("""COMPUTED_VALUE"""),26.1)</f>
        <v>26.1</v>
      </c>
      <c r="J44" s="37">
        <f>IFERROR(__xludf.DUMMYFUNCTION("""COMPUTED_VALUE"""),0.7)</f>
        <v>0.7</v>
      </c>
      <c r="K44" s="37">
        <f>IFERROR(__xludf.DUMMYFUNCTION("""COMPUTED_VALUE"""),5.1)</f>
        <v>5.1</v>
      </c>
      <c r="L44" s="37">
        <f>IFERROR(__xludf.DUMMYFUNCTION("""COMPUTED_VALUE"""),4.9)</f>
        <v>4.9</v>
      </c>
      <c r="M44" s="37">
        <f>IFERROR(__xludf.DUMMYFUNCTION("""COMPUTED_VALUE"""),0.9)</f>
        <v>0.9</v>
      </c>
      <c r="N44" s="37">
        <f>IFERROR(__xludf.DUMMYFUNCTION("""COMPUTED_VALUE"""),0.3)</f>
        <v>0.3</v>
      </c>
      <c r="O44" s="37">
        <f>IFERROR(__xludf.DUMMYFUNCTION("""COMPUTED_VALUE"""),49.73262032085562)</f>
        <v>49.73262032</v>
      </c>
      <c r="P44" s="37">
        <f>IFERROR(__xludf.DUMMYFUNCTION("""COMPUTED_VALUE"""),86.0759493670886)</f>
        <v>86.07594937</v>
      </c>
      <c r="Q44" s="37">
        <f>IFERROR(__xludf.DUMMYFUNCTION("""COMPUTED_VALUE"""),2.4)</f>
        <v>2.4</v>
      </c>
      <c r="R44" s="37">
        <f>IFERROR(__xludf.DUMMYFUNCTION("""COMPUTED_VALUE"""),2.435702170225035)</f>
        <v>2.43570217</v>
      </c>
      <c r="S44" s="37">
        <f>IFERROR(__xludf.DUMMYFUNCTION("""COMPUTED_VALUE"""),-0.9133822286098637)</f>
        <v>-0.9133822286</v>
      </c>
      <c r="T44" s="37">
        <f>IFERROR(__xludf.DUMMYFUNCTION("""COMPUTED_VALUE"""),-0.39780454041149027)</f>
        <v>-0.3978045404</v>
      </c>
      <c r="U44" s="37">
        <f>IFERROR(__xludf.DUMMYFUNCTION("""COMPUTED_VALUE"""),0.6836828062238065)</f>
        <v>0.6836828062</v>
      </c>
      <c r="V44" s="37">
        <f>IFERROR(__xludf.DUMMYFUNCTION("""COMPUTED_VALUE"""),-0.42526159822414)</f>
        <v>-0.4252615982</v>
      </c>
      <c r="W44" s="37">
        <f>IFERROR(__xludf.DUMMYFUNCTION("""COMPUTED_VALUE"""),0.0)</f>
        <v>0</v>
      </c>
      <c r="X44" s="37">
        <f>IFERROR(__xludf.DUMMYFUNCTION("""COMPUTED_VALUE"""),0.0)</f>
        <v>0</v>
      </c>
      <c r="Y44" s="37">
        <f>IFERROR(__xludf.DUMMYFUNCTION("""COMPUTED_VALUE"""),0.9116049735067325)</f>
        <v>0.9116049735</v>
      </c>
      <c r="Z44" s="37">
        <f>IFERROR(__xludf.DUMMYFUNCTION("""COMPUTED_VALUE"""),0.0)</f>
        <v>0</v>
      </c>
      <c r="AA44" t="str">
        <f>IFERROR(__xludf.DUMMYFUNCTION("SUBSTITUTE(REGEXREPLACE(REGEXREPLACE(REGEXREPLACE(REGEXREPLACE(REGEXREPLACE(REGEXREPLACE(E44,"","",),IF(Projections!$U$3="""",""PG"",),),IF(Projections!$V$3="""",""SG"",),),IF(Projections!$W$3="""",""SF"",),),IF(Projections!$X$3="""",""PF"",),),IF(Project"&amp;"ions!$Y$3="""",""C"",),),""/"","""")"),"SGSF")</f>
        <v>SGSF</v>
      </c>
    </row>
    <row r="45">
      <c r="A45" s="29" t="str">
        <f>IF(Projections!$H$3,Draft!F7,"")</f>
        <v>Jarrett Allen</v>
      </c>
      <c r="B45">
        <f>IFERROR(__xludf.DUMMYFUNCTION("""COMPUTED_VALUE"""),43.0)</f>
        <v>43</v>
      </c>
      <c r="C45" t="str">
        <f>IFERROR(__xludf.DUMMYFUNCTION("""COMPUTED_VALUE"""),"Desmond Bane")</f>
        <v>Desmond Bane</v>
      </c>
      <c r="D45">
        <f>IFERROR(__xludf.DUMMYFUNCTION("""COMPUTED_VALUE"""),72.0)</f>
        <v>72</v>
      </c>
      <c r="E45" t="str">
        <f>IFERROR(__xludf.DUMMYFUNCTION("""COMPUTED_VALUE"""),"SG")</f>
        <v>SG</v>
      </c>
      <c r="F45" s="37">
        <f>IFERROR(__xludf.DUMMYFUNCTION("""COMPUTED_VALUE"""),1.1152569676109128)</f>
        <v>1.115256968</v>
      </c>
      <c r="G45" s="37">
        <f>IFERROR(__xludf.DUMMYFUNCTION("""COMPUTED_VALUE"""),2.069409800826728)</f>
        <v>2.069409801</v>
      </c>
      <c r="H45" s="37">
        <f>IFERROR(__xludf.DUMMYFUNCTION("""COMPUTED_VALUE"""),0.9541528332158151)</f>
        <v>0.9541528332</v>
      </c>
      <c r="I45" s="37">
        <f>IFERROR(__xludf.DUMMYFUNCTION("""COMPUTED_VALUE"""),19.0)</f>
        <v>19</v>
      </c>
      <c r="J45" s="37">
        <f>IFERROR(__xludf.DUMMYFUNCTION("""COMPUTED_VALUE"""),3.1)</f>
        <v>3.1</v>
      </c>
      <c r="K45" s="37">
        <f>IFERROR(__xludf.DUMMYFUNCTION("""COMPUTED_VALUE"""),4.5)</f>
        <v>4.5</v>
      </c>
      <c r="L45" s="37">
        <f>IFERROR(__xludf.DUMMYFUNCTION("""COMPUTED_VALUE"""),2.8)</f>
        <v>2.8</v>
      </c>
      <c r="M45" s="37">
        <f>IFERROR(__xludf.DUMMYFUNCTION("""COMPUTED_VALUE"""),1.2)</f>
        <v>1.2</v>
      </c>
      <c r="N45" s="37">
        <f>IFERROR(__xludf.DUMMYFUNCTION("""COMPUTED_VALUE"""),0.4)</f>
        <v>0.4</v>
      </c>
      <c r="O45" s="37">
        <f>IFERROR(__xludf.DUMMYFUNCTION("""COMPUTED_VALUE"""),46.05263157894737)</f>
        <v>46.05263158</v>
      </c>
      <c r="P45" s="37">
        <f>IFERROR(__xludf.DUMMYFUNCTION("""COMPUTED_VALUE"""),90.47619047619047)</f>
        <v>90.47619048</v>
      </c>
      <c r="Q45" s="37">
        <f>IFERROR(__xludf.DUMMYFUNCTION("""COMPUTED_VALUE"""),1.6)</f>
        <v>1.6</v>
      </c>
      <c r="R45" s="37">
        <f>IFERROR(__xludf.DUMMYFUNCTION("""COMPUTED_VALUE"""),0.5450797284603691)</f>
        <v>0.5450797285</v>
      </c>
      <c r="S45" s="37">
        <f>IFERROR(__xludf.DUMMYFUNCTION("""COMPUTED_VALUE"""),1.4865111215068678)</f>
        <v>1.486511122</v>
      </c>
      <c r="T45" s="37">
        <f>IFERROR(__xludf.DUMMYFUNCTION("""COMPUTED_VALUE"""),-0.6427337822350941)</f>
        <v>-0.6427337822</v>
      </c>
      <c r="U45" s="37">
        <f>IFERROR(__xludf.DUMMYFUNCTION("""COMPUTED_VALUE"""),-0.514772936450866)</f>
        <v>-0.5147729365</v>
      </c>
      <c r="V45" s="37">
        <f>IFERROR(__xludf.DUMMYFUNCTION("""COMPUTED_VALUE"""),0.8011379785899962)</f>
        <v>0.8011379786</v>
      </c>
      <c r="W45" s="37">
        <f>IFERROR(__xludf.DUMMYFUNCTION("""COMPUTED_VALUE"""),0.0)</f>
        <v>0</v>
      </c>
      <c r="X45" s="37">
        <f>IFERROR(__xludf.DUMMYFUNCTION("""COMPUTED_VALUE"""),0.0)</f>
        <v>0</v>
      </c>
      <c r="Y45" s="37">
        <f>IFERROR(__xludf.DUMMYFUNCTION("""COMPUTED_VALUE"""),0.3941876909554545)</f>
        <v>0.394187691</v>
      </c>
      <c r="Z45" s="37">
        <f>IFERROR(__xludf.DUMMYFUNCTION("""COMPUTED_VALUE"""),0.0)</f>
        <v>0</v>
      </c>
      <c r="AA45" t="str">
        <f>IFERROR(__xludf.DUMMYFUNCTION("SUBSTITUTE(REGEXREPLACE(REGEXREPLACE(REGEXREPLACE(REGEXREPLACE(REGEXREPLACE(REGEXREPLACE(E45,"","",),IF(Projections!$U$3="""",""PG"",),),IF(Projections!$V$3="""",""SG"",),),IF(Projections!$W$3="""",""SF"",),),IF(Projections!$X$3="""",""PF"",),),IF(Project"&amp;"ions!$Y$3="""",""C"",),),""/"","""")"),"SG")</f>
        <v>SG</v>
      </c>
    </row>
    <row r="46">
      <c r="A46" s="29" t="str">
        <f>IF(Projections!$H$3,Draft!F8,"")</f>
        <v>Myles Turner</v>
      </c>
      <c r="B46">
        <f>IFERROR(__xludf.DUMMYFUNCTION("""COMPUTED_VALUE"""),17.0)</f>
        <v>17</v>
      </c>
      <c r="C46" t="str">
        <f>IFERROR(__xludf.DUMMYFUNCTION("""COMPUTED_VALUE"""),"Anthony Davis")</f>
        <v>Anthony Davis</v>
      </c>
      <c r="D46">
        <f>IFERROR(__xludf.DUMMYFUNCTION("""COMPUTED_VALUE"""),60.0)</f>
        <v>60</v>
      </c>
      <c r="E46" t="str">
        <f>IFERROR(__xludf.DUMMYFUNCTION("""COMPUTED_VALUE"""),"PF/C")</f>
        <v>PF/C</v>
      </c>
      <c r="F46" s="37">
        <f>IFERROR(__xludf.DUMMYFUNCTION("""COMPUTED_VALUE"""),4.251076641723402)</f>
        <v>4.251076642</v>
      </c>
      <c r="G46" s="37">
        <f>IFERROR(__xludf.DUMMYFUNCTION("""COMPUTED_VALUE"""),2.0081520881204558)</f>
        <v>2.008152088</v>
      </c>
      <c r="H46" s="37">
        <f>IFERROR(__xludf.DUMMYFUNCTION("""COMPUTED_VALUE"""),-2.242924553602946)</f>
        <v>-2.242924554</v>
      </c>
      <c r="I46" s="37">
        <f>IFERROR(__xludf.DUMMYFUNCTION("""COMPUTED_VALUE"""),23.8)</f>
        <v>23.8</v>
      </c>
      <c r="J46" s="37">
        <f>IFERROR(__xludf.DUMMYFUNCTION("""COMPUTED_VALUE"""),0.3)</f>
        <v>0.3</v>
      </c>
      <c r="K46" s="37">
        <f>IFERROR(__xludf.DUMMYFUNCTION("""COMPUTED_VALUE"""),10.1)</f>
        <v>10.1</v>
      </c>
      <c r="L46" s="37">
        <f>IFERROR(__xludf.DUMMYFUNCTION("""COMPUTED_VALUE"""),3.2)</f>
        <v>3.2</v>
      </c>
      <c r="M46" s="37">
        <f>IFERROR(__xludf.DUMMYFUNCTION("""COMPUTED_VALUE"""),1.2)</f>
        <v>1.2</v>
      </c>
      <c r="N46" s="37">
        <f>IFERROR(__xludf.DUMMYFUNCTION("""COMPUTED_VALUE"""),2.0)</f>
        <v>2</v>
      </c>
      <c r="O46" s="37">
        <f>IFERROR(__xludf.DUMMYFUNCTION("""COMPUTED_VALUE"""),53.37078651685393)</f>
        <v>53.37078652</v>
      </c>
      <c r="P46" s="37">
        <f>IFERROR(__xludf.DUMMYFUNCTION("""COMPUTED_VALUE"""),72.58064516129032)</f>
        <v>72.58064516</v>
      </c>
      <c r="Q46" s="37">
        <f>IFERROR(__xludf.DUMMYFUNCTION("""COMPUTED_VALUE"""),2.1)</f>
        <v>2.1</v>
      </c>
      <c r="R46" s="37">
        <f>IFERROR(__xludf.DUMMYFUNCTION("""COMPUTED_VALUE"""),1.8232470130336642)</f>
        <v>1.823247013</v>
      </c>
      <c r="S46" s="37">
        <f>IFERROR(__xludf.DUMMYFUNCTION("""COMPUTED_VALUE"""),-1.313364453629319)</f>
        <v>-1.313364454</v>
      </c>
      <c r="T46" s="37">
        <f>IFERROR(__xludf.DUMMYFUNCTION("""COMPUTED_VALUE"""),1.6432724747852099)</f>
        <v>1.643272475</v>
      </c>
      <c r="U46" s="37">
        <f>IFERROR(__xludf.DUMMYFUNCTION("""COMPUTED_VALUE"""),-0.2864956521318806)</f>
        <v>-0.2864956521</v>
      </c>
      <c r="V46" s="37">
        <f>IFERROR(__xludf.DUMMYFUNCTION("""COMPUTED_VALUE"""),0.8011379785899962)</f>
        <v>0.8011379786</v>
      </c>
      <c r="W46" s="37">
        <f>IFERROR(__xludf.DUMMYFUNCTION("""COMPUTED_VALUE"""),0.0)</f>
        <v>0</v>
      </c>
      <c r="X46" s="37">
        <f>IFERROR(__xludf.DUMMYFUNCTION("""COMPUTED_VALUE"""),0.0)</f>
        <v>0</v>
      </c>
      <c r="Y46" s="37">
        <f>IFERROR(__xludf.DUMMYFUNCTION("""COMPUTED_VALUE"""),-0.6596452725272148)</f>
        <v>-0.6596452725</v>
      </c>
      <c r="Z46" s="37">
        <f>IFERROR(__xludf.DUMMYFUNCTION("""COMPUTED_VALUE"""),0.0)</f>
        <v>0</v>
      </c>
      <c r="AA46" t="str">
        <f>IFERROR(__xludf.DUMMYFUNCTION("SUBSTITUTE(REGEXREPLACE(REGEXREPLACE(REGEXREPLACE(REGEXREPLACE(REGEXREPLACE(REGEXREPLACE(E46,"","",),IF(Projections!$U$3="""",""PG"",),),IF(Projections!$V$3="""",""SG"",),),IF(Projections!$W$3="""",""SF"",),),IF(Projections!$X$3="""",""PF"",),),IF(Project"&amp;"ions!$Y$3="""",""C"",),),""/"","""")"),"PFC")</f>
        <v>PFC</v>
      </c>
    </row>
    <row r="47">
      <c r="A47" s="29" t="str">
        <f>IF(Projections!$H$3,Draft!F9,"")</f>
        <v>Nikola Vucevic</v>
      </c>
      <c r="B47">
        <f>IFERROR(__xludf.DUMMYFUNCTION("""COMPUTED_VALUE"""),66.0)</f>
        <v>66</v>
      </c>
      <c r="C47" t="str">
        <f>IFERROR(__xludf.DUMMYFUNCTION("""COMPUTED_VALUE"""),"D'Angelo Russell")</f>
        <v>D'Angelo Russell</v>
      </c>
      <c r="D47">
        <f>IFERROR(__xludf.DUMMYFUNCTION("""COMPUTED_VALUE"""),68.0)</f>
        <v>68</v>
      </c>
      <c r="E47" t="str">
        <f>IFERROR(__xludf.DUMMYFUNCTION("""COMPUTED_VALUE"""),"PG/SG")</f>
        <v>PG/SG</v>
      </c>
      <c r="F47" s="37">
        <f>IFERROR(__xludf.DUMMYFUNCTION("""COMPUTED_VALUE"""),-0.45894363708941244)</f>
        <v>-0.4589436371</v>
      </c>
      <c r="G47" s="37">
        <f>IFERROR(__xludf.DUMMYFUNCTION("""COMPUTED_VALUE"""),1.952656951942472)</f>
        <v>1.952656952</v>
      </c>
      <c r="H47" s="37">
        <f>IFERROR(__xludf.DUMMYFUNCTION("""COMPUTED_VALUE"""),2.4116005890318846)</f>
        <v>2.411600589</v>
      </c>
      <c r="I47" s="37">
        <f>IFERROR(__xludf.DUMMYFUNCTION("""COMPUTED_VALUE"""),17.7)</f>
        <v>17.7</v>
      </c>
      <c r="J47" s="37">
        <f>IFERROR(__xludf.DUMMYFUNCTION("""COMPUTED_VALUE"""),2.6)</f>
        <v>2.6</v>
      </c>
      <c r="K47" s="37">
        <f>IFERROR(__xludf.DUMMYFUNCTION("""COMPUTED_VALUE"""),3.4)</f>
        <v>3.4</v>
      </c>
      <c r="L47" s="37">
        <f>IFERROR(__xludf.DUMMYFUNCTION("""COMPUTED_VALUE"""),7.0)</f>
        <v>7</v>
      </c>
      <c r="M47" s="37">
        <f>IFERROR(__xludf.DUMMYFUNCTION("""COMPUTED_VALUE"""),1.0)</f>
        <v>1</v>
      </c>
      <c r="N47" s="37">
        <f>IFERROR(__xludf.DUMMYFUNCTION("""COMPUTED_VALUE"""),0.3)</f>
        <v>0.3</v>
      </c>
      <c r="O47" s="37">
        <f>IFERROR(__xludf.DUMMYFUNCTION("""COMPUTED_VALUE"""),41.95804195804196)</f>
        <v>41.95804196</v>
      </c>
      <c r="P47" s="37">
        <f>IFERROR(__xludf.DUMMYFUNCTION("""COMPUTED_VALUE"""),78.94736842105263)</f>
        <v>78.94736842</v>
      </c>
      <c r="Q47" s="37">
        <f>IFERROR(__xludf.DUMMYFUNCTION("""COMPUTED_VALUE"""),2.6)</f>
        <v>2.6</v>
      </c>
      <c r="R47" s="37">
        <f>IFERROR(__xludf.DUMMYFUNCTION("""COMPUTED_VALUE"""),0.19890942222176813)</f>
        <v>0.1989094222</v>
      </c>
      <c r="S47" s="37">
        <f>IFERROR(__xludf.DUMMYFUNCTION("""COMPUTED_VALUE"""),0.9865333402325488)</f>
        <v>0.9865333402</v>
      </c>
      <c r="T47" s="37">
        <f>IFERROR(__xludf.DUMMYFUNCTION("""COMPUTED_VALUE"""),-1.0917707255783682)</f>
        <v>-1.091770726</v>
      </c>
      <c r="U47" s="37">
        <f>IFERROR(__xludf.DUMMYFUNCTION("""COMPUTED_VALUE"""),1.8821385488984785)</f>
        <v>1.882138549</v>
      </c>
      <c r="V47" s="37">
        <f>IFERROR(__xludf.DUMMYFUNCTION("""COMPUTED_VALUE"""),-0.01646173928609459)</f>
        <v>-0.01646173929</v>
      </c>
      <c r="W47" s="37">
        <f>IFERROR(__xludf.DUMMYFUNCTION("""COMPUTED_VALUE"""),0.0)</f>
        <v>0</v>
      </c>
      <c r="X47" s="37">
        <f>IFERROR(__xludf.DUMMYFUNCTION("""COMPUTED_VALUE"""),0.0)</f>
        <v>0</v>
      </c>
      <c r="Y47" s="37">
        <f>IFERROR(__xludf.DUMMYFUNCTION("""COMPUTED_VALUE"""),-0.006691894545860713)</f>
        <v>-0.006691894546</v>
      </c>
      <c r="Z47" s="37">
        <f>IFERROR(__xludf.DUMMYFUNCTION("""COMPUTED_VALUE"""),0.0)</f>
        <v>0</v>
      </c>
      <c r="AA47" t="str">
        <f>IFERROR(__xludf.DUMMYFUNCTION("SUBSTITUTE(REGEXREPLACE(REGEXREPLACE(REGEXREPLACE(REGEXREPLACE(REGEXREPLACE(REGEXREPLACE(E47,"","",),IF(Projections!$U$3="""",""PG"",),),IF(Projections!$V$3="""",""SG"",),),IF(Projections!$W$3="""",""SF"",),),IF(Projections!$X$3="""",""PF"",),),IF(Project"&amp;"ions!$Y$3="""",""C"",),),""/"","""")"),"PGSG")</f>
        <v>PGSG</v>
      </c>
    </row>
    <row r="48">
      <c r="A48" s="29" t="str">
        <f>IF(Projections!$H$3,Draft!F10,"")</f>
        <v>DeMar DeRozan</v>
      </c>
      <c r="B48">
        <f>IFERROR(__xludf.DUMMYFUNCTION("""COMPUTED_VALUE"""),45.0)</f>
        <v>45</v>
      </c>
      <c r="C48" t="str">
        <f>IFERROR(__xludf.DUMMYFUNCTION("""COMPUTED_VALUE"""),"Zach LaVine")</f>
        <v>Zach LaVine</v>
      </c>
      <c r="D48">
        <f>IFERROR(__xludf.DUMMYFUNCTION("""COMPUTED_VALUE"""),70.0)</f>
        <v>70</v>
      </c>
      <c r="E48" t="str">
        <f>IFERROR(__xludf.DUMMYFUNCTION("""COMPUTED_VALUE"""),"SG/SF")</f>
        <v>SG/SF</v>
      </c>
      <c r="F48" s="37">
        <f>IFERROR(__xludf.DUMMYFUNCTION("""COMPUTED_VALUE"""),1.0032637945713245)</f>
        <v>1.003263795</v>
      </c>
      <c r="G48" s="37">
        <f>IFERROR(__xludf.DUMMYFUNCTION("""COMPUTED_VALUE"""),1.8732034010523129)</f>
        <v>1.873203401</v>
      </c>
      <c r="H48" s="37">
        <f>IFERROR(__xludf.DUMMYFUNCTION("""COMPUTED_VALUE"""),0.8699396064809883)</f>
        <v>0.8699396065</v>
      </c>
      <c r="I48" s="37">
        <f>IFERROR(__xludf.DUMMYFUNCTION("""COMPUTED_VALUE"""),24.6)</f>
        <v>24.6</v>
      </c>
      <c r="J48" s="37">
        <f>IFERROR(__xludf.DUMMYFUNCTION("""COMPUTED_VALUE"""),2.8)</f>
        <v>2.8</v>
      </c>
      <c r="K48" s="37">
        <f>IFERROR(__xludf.DUMMYFUNCTION("""COMPUTED_VALUE"""),4.6)</f>
        <v>4.6</v>
      </c>
      <c r="L48" s="37">
        <f>IFERROR(__xludf.DUMMYFUNCTION("""COMPUTED_VALUE"""),4.5)</f>
        <v>4.5</v>
      </c>
      <c r="M48" s="37">
        <f>IFERROR(__xludf.DUMMYFUNCTION("""COMPUTED_VALUE"""),0.6)</f>
        <v>0.6</v>
      </c>
      <c r="N48" s="37">
        <f>IFERROR(__xludf.DUMMYFUNCTION("""COMPUTED_VALUE"""),0.3)</f>
        <v>0.3</v>
      </c>
      <c r="O48" s="37">
        <f>IFERROR(__xludf.DUMMYFUNCTION("""COMPUTED_VALUE"""),48.57142857142857)</f>
        <v>48.57142857</v>
      </c>
      <c r="P48" s="37">
        <f>IFERROR(__xludf.DUMMYFUNCTION("""COMPUTED_VALUE"""),83.92857142857144)</f>
        <v>83.92857143</v>
      </c>
      <c r="Q48" s="37">
        <f>IFERROR(__xludf.DUMMYFUNCTION("""COMPUTED_VALUE"""),2.6)</f>
        <v>2.6</v>
      </c>
      <c r="R48" s="37">
        <f>IFERROR(__xludf.DUMMYFUNCTION("""COMPUTED_VALUE"""),2.03627489379588)</f>
        <v>2.036274894</v>
      </c>
      <c r="S48" s="37">
        <f>IFERROR(__xludf.DUMMYFUNCTION("""COMPUTED_VALUE"""),1.1865244527422762)</f>
        <v>1.186524453</v>
      </c>
      <c r="T48" s="37">
        <f>IFERROR(__xludf.DUMMYFUNCTION("""COMPUTED_VALUE"""),-0.6019122419311602)</f>
        <v>-0.6019122419</v>
      </c>
      <c r="U48" s="37">
        <f>IFERROR(__xludf.DUMMYFUNCTION("""COMPUTED_VALUE"""),0.4554055219048211)</f>
        <v>0.4554055219</v>
      </c>
      <c r="V48" s="37">
        <f>IFERROR(__xludf.DUMMYFUNCTION("""COMPUTED_VALUE"""),-1.6516611750382768)</f>
        <v>-1.651661175</v>
      </c>
      <c r="W48" s="37">
        <f>IFERROR(__xludf.DUMMYFUNCTION("""COMPUTED_VALUE"""),0.0)</f>
        <v>0</v>
      </c>
      <c r="X48" s="37">
        <f>IFERROR(__xludf.DUMMYFUNCTION("""COMPUTED_VALUE"""),0.0)</f>
        <v>0</v>
      </c>
      <c r="Y48" s="37">
        <f>IFERROR(__xludf.DUMMYFUNCTION("""COMPUTED_VALUE"""),0.44857194957877206)</f>
        <v>0.4485719496</v>
      </c>
      <c r="Z48" s="37">
        <f>IFERROR(__xludf.DUMMYFUNCTION("""COMPUTED_VALUE"""),0.0)</f>
        <v>0</v>
      </c>
      <c r="AA48" t="str">
        <f>IFERROR(__xludf.DUMMYFUNCTION("SUBSTITUTE(REGEXREPLACE(REGEXREPLACE(REGEXREPLACE(REGEXREPLACE(REGEXREPLACE(REGEXREPLACE(E48,"","",),IF(Projections!$U$3="""",""PG"",),),IF(Projections!$V$3="""",""SG"",),),IF(Projections!$W$3="""",""SF"",),),IF(Projections!$X$3="""",""PF"",),),IF(Project"&amp;"ions!$Y$3="""",""C"",),),""/"","""")"),"SGSF")</f>
        <v>SGSF</v>
      </c>
    </row>
    <row r="49">
      <c r="A49" s="29" t="str">
        <f>IF(Projections!$H$3,Draft!F11,"")</f>
        <v>Shai Gilgeous-Alexander</v>
      </c>
      <c r="B49">
        <f>IFERROR(__xludf.DUMMYFUNCTION("""COMPUTED_VALUE"""),27.0)</f>
        <v>27</v>
      </c>
      <c r="C49" t="str">
        <f>IFERROR(__xludf.DUMMYFUNCTION("""COMPUTED_VALUE"""),"Bam Adebayo")</f>
        <v>Bam Adebayo</v>
      </c>
      <c r="D49">
        <f>IFERROR(__xludf.DUMMYFUNCTION("""COMPUTED_VALUE"""),64.0)</f>
        <v>64</v>
      </c>
      <c r="E49" t="str">
        <f>IFERROR(__xludf.DUMMYFUNCTION("""COMPUTED_VALUE"""),"PF/C")</f>
        <v>PF/C</v>
      </c>
      <c r="F49" s="37">
        <f>IFERROR(__xludf.DUMMYFUNCTION("""COMPUTED_VALUE"""),2.695111279166529)</f>
        <v>2.695111279</v>
      </c>
      <c r="G49" s="37">
        <f>IFERROR(__xludf.DUMMYFUNCTION("""COMPUTED_VALUE"""),1.8557754314484525)</f>
        <v>1.855775431</v>
      </c>
      <c r="H49" s="37">
        <f>IFERROR(__xludf.DUMMYFUNCTION("""COMPUTED_VALUE"""),-0.8393358477180763)</f>
        <v>-0.8393358477</v>
      </c>
      <c r="I49" s="37">
        <f>IFERROR(__xludf.DUMMYFUNCTION("""COMPUTED_VALUE"""),19.9)</f>
        <v>19.9</v>
      </c>
      <c r="J49" s="37">
        <f>IFERROR(__xludf.DUMMYFUNCTION("""COMPUTED_VALUE"""),0.0)</f>
        <v>0</v>
      </c>
      <c r="K49" s="37">
        <f>IFERROR(__xludf.DUMMYFUNCTION("""COMPUTED_VALUE"""),10.5)</f>
        <v>10.5</v>
      </c>
      <c r="L49" s="37">
        <f>IFERROR(__xludf.DUMMYFUNCTION("""COMPUTED_VALUE"""),3.7)</f>
        <v>3.7</v>
      </c>
      <c r="M49" s="37">
        <f>IFERROR(__xludf.DUMMYFUNCTION("""COMPUTED_VALUE"""),1.3)</f>
        <v>1.3</v>
      </c>
      <c r="N49" s="37">
        <f>IFERROR(__xludf.DUMMYFUNCTION("""COMPUTED_VALUE"""),1.0)</f>
        <v>1</v>
      </c>
      <c r="O49" s="37">
        <f>IFERROR(__xludf.DUMMYFUNCTION("""COMPUTED_VALUE"""),55.47445255474452)</f>
        <v>55.47445255</v>
      </c>
      <c r="P49" s="37">
        <f>IFERROR(__xludf.DUMMYFUNCTION("""COMPUTED_VALUE"""),75.80645161290323)</f>
        <v>75.80645161</v>
      </c>
      <c r="Q49" s="37">
        <f>IFERROR(__xludf.DUMMYFUNCTION("""COMPUTED_VALUE"""),2.7)</f>
        <v>2.7</v>
      </c>
      <c r="R49" s="37">
        <f>IFERROR(__xludf.DUMMYFUNCTION("""COMPUTED_VALUE"""),0.7847360943178616)</f>
        <v>0.7847360943</v>
      </c>
      <c r="S49" s="37">
        <f>IFERROR(__xludf.DUMMYFUNCTION("""COMPUTED_VALUE"""),-1.6133511223939103)</f>
        <v>-1.613351122</v>
      </c>
      <c r="T49" s="37">
        <f>IFERROR(__xludf.DUMMYFUNCTION("""COMPUTED_VALUE"""),1.806558636000946)</f>
        <v>1.806558636</v>
      </c>
      <c r="U49" s="37">
        <f>IFERROR(__xludf.DUMMYFUNCTION("""COMPUTED_VALUE"""),-0.0011490467331491702)</f>
        <v>-0.001149046733</v>
      </c>
      <c r="V49" s="37">
        <f>IFERROR(__xludf.DUMMYFUNCTION("""COMPUTED_VALUE"""),1.209937837528042)</f>
        <v>1.209937838</v>
      </c>
      <c r="W49" s="37">
        <f>IFERROR(__xludf.DUMMYFUNCTION("""COMPUTED_VALUE"""),0.0)</f>
        <v>0</v>
      </c>
      <c r="X49" s="37">
        <f>IFERROR(__xludf.DUMMYFUNCTION("""COMPUTED_VALUE"""),0.0)</f>
        <v>0</v>
      </c>
      <c r="Y49" s="37">
        <f>IFERROR(__xludf.DUMMYFUNCTION("""COMPUTED_VALUE"""),-0.3309569672713378)</f>
        <v>-0.3309569673</v>
      </c>
      <c r="Z49" s="37">
        <f>IFERROR(__xludf.DUMMYFUNCTION("""COMPUTED_VALUE"""),0.0)</f>
        <v>0</v>
      </c>
      <c r="AA49" t="str">
        <f>IFERROR(__xludf.DUMMYFUNCTION("SUBSTITUTE(REGEXREPLACE(REGEXREPLACE(REGEXREPLACE(REGEXREPLACE(REGEXREPLACE(REGEXREPLACE(E49,"","",),IF(Projections!$U$3="""",""PG"",),),IF(Projections!$V$3="""",""SG"",),),IF(Projections!$W$3="""",""SF"",),),IF(Projections!$X$3="""",""PF"",),),IF(Project"&amp;"ions!$Y$3="""",""C"",),),""/"","""")"),"PFC")</f>
        <v>PFC</v>
      </c>
    </row>
    <row r="50">
      <c r="A50" s="29" t="str">
        <f>IF(Projections!$H$3,Draft!F12,"")</f>
        <v>Zach LaVine</v>
      </c>
      <c r="B50">
        <f>IFERROR(__xludf.DUMMYFUNCTION("""COMPUTED_VALUE"""),55.0)</f>
        <v>55</v>
      </c>
      <c r="C50" t="str">
        <f>IFERROR(__xludf.DUMMYFUNCTION("""COMPUTED_VALUE"""),"Marcus Smart")</f>
        <v>Marcus Smart</v>
      </c>
      <c r="D50">
        <f>IFERROR(__xludf.DUMMYFUNCTION("""COMPUTED_VALUE"""),74.0)</f>
        <v>74</v>
      </c>
      <c r="E50" t="str">
        <f>IFERROR(__xludf.DUMMYFUNCTION("""COMPUTED_VALUE"""),"PG/SF")</f>
        <v>PG/SF</v>
      </c>
      <c r="F50" s="37">
        <f>IFERROR(__xludf.DUMMYFUNCTION("""COMPUTED_VALUE"""),-0.05632904544490222)</f>
        <v>-0.05632904544</v>
      </c>
      <c r="G50" s="37">
        <f>IFERROR(__xludf.DUMMYFUNCTION("""COMPUTED_VALUE"""),1.8016595512340055)</f>
        <v>1.801659551</v>
      </c>
      <c r="H50" s="37">
        <f>IFERROR(__xludf.DUMMYFUNCTION("""COMPUTED_VALUE"""),1.8579885966789076)</f>
        <v>1.857988597</v>
      </c>
      <c r="I50" s="37">
        <f>IFERROR(__xludf.DUMMYFUNCTION("""COMPUTED_VALUE"""),11.7)</f>
        <v>11.7</v>
      </c>
      <c r="J50" s="37">
        <f>IFERROR(__xludf.DUMMYFUNCTION("""COMPUTED_VALUE"""),1.6)</f>
        <v>1.6</v>
      </c>
      <c r="K50" s="37">
        <f>IFERROR(__xludf.DUMMYFUNCTION("""COMPUTED_VALUE"""),3.8)</f>
        <v>3.8</v>
      </c>
      <c r="L50" s="37">
        <f>IFERROR(__xludf.DUMMYFUNCTION("""COMPUTED_VALUE"""),5.8)</f>
        <v>5.8</v>
      </c>
      <c r="M50" s="37">
        <f>IFERROR(__xludf.DUMMYFUNCTION("""COMPUTED_VALUE"""),1.7)</f>
        <v>1.7</v>
      </c>
      <c r="N50" s="37">
        <f>IFERROR(__xludf.DUMMYFUNCTION("""COMPUTED_VALUE"""),0.3)</f>
        <v>0.3</v>
      </c>
      <c r="O50" s="37">
        <f>IFERROR(__xludf.DUMMYFUNCTION("""COMPUTED_VALUE"""),42.00000000000001)</f>
        <v>42</v>
      </c>
      <c r="P50" s="37">
        <f>IFERROR(__xludf.DUMMYFUNCTION("""COMPUTED_VALUE"""),81.81818181818181)</f>
        <v>81.81818182</v>
      </c>
      <c r="Q50" s="37">
        <f>IFERROR(__xludf.DUMMYFUNCTION("""COMPUTED_VALUE"""),2.2)</f>
        <v>2.2</v>
      </c>
      <c r="R50" s="37">
        <f>IFERROR(__xludf.DUMMYFUNCTION("""COMPUTED_VALUE"""),-1.3987996834948506)</f>
        <v>-1.398799683</v>
      </c>
      <c r="S50" s="37">
        <f>IFERROR(__xludf.DUMMYFUNCTION("""COMPUTED_VALUE"""),-0.013422222316089305)</f>
        <v>-0.01342222232</v>
      </c>
      <c r="T50" s="37">
        <f>IFERROR(__xludf.DUMMYFUNCTION("""COMPUTED_VALUE"""),-0.9284845643626322)</f>
        <v>-0.9284845644</v>
      </c>
      <c r="U50" s="37">
        <f>IFERROR(__xludf.DUMMYFUNCTION("""COMPUTED_VALUE"""),1.1973066959415228)</f>
        <v>1.197306696</v>
      </c>
      <c r="V50" s="37">
        <f>IFERROR(__xludf.DUMMYFUNCTION("""COMPUTED_VALUE"""),2.8451372732802236)</f>
        <v>2.845137273</v>
      </c>
      <c r="W50" s="37">
        <f>IFERROR(__xludf.DUMMYFUNCTION("""COMPUTED_VALUE"""),0.0)</f>
        <v>0</v>
      </c>
      <c r="X50" s="37">
        <f>IFERROR(__xludf.DUMMYFUNCTION("""COMPUTED_VALUE"""),0.0)</f>
        <v>0</v>
      </c>
      <c r="Y50" s="37">
        <f>IFERROR(__xludf.DUMMYFUNCTION("""COMPUTED_VALUE"""),0.09992205218583113)</f>
        <v>0.09992205219</v>
      </c>
      <c r="Z50" s="37">
        <f>IFERROR(__xludf.DUMMYFUNCTION("""COMPUTED_VALUE"""),0.0)</f>
        <v>0</v>
      </c>
      <c r="AA50" t="str">
        <f>IFERROR(__xludf.DUMMYFUNCTION("SUBSTITUTE(REGEXREPLACE(REGEXREPLACE(REGEXREPLACE(REGEXREPLACE(REGEXREPLACE(REGEXREPLACE(E50,"","",),IF(Projections!$U$3="""",""PG"",),),IF(Projections!$V$3="""",""SG"",),),IF(Projections!$W$3="""",""SF"",),),IF(Projections!$X$3="""",""PF"",),),IF(Project"&amp;"ions!$Y$3="""",""C"",),),""/"","""")"),"PGSF")</f>
        <v>PGSF</v>
      </c>
    </row>
    <row r="51">
      <c r="A51" s="29" t="str">
        <f>IF(Projections!$H$3,Draft!F13,"")</f>
        <v>Scottie Barnes</v>
      </c>
      <c r="B51">
        <f>IFERROR(__xludf.DUMMYFUNCTION("""COMPUTED_VALUE"""),77.0)</f>
        <v>77</v>
      </c>
      <c r="C51" t="str">
        <f>IFERROR(__xludf.DUMMYFUNCTION("""COMPUTED_VALUE"""),"Kevin Porter Jr.")</f>
        <v>Kevin Porter Jr.</v>
      </c>
      <c r="D51">
        <f>IFERROR(__xludf.DUMMYFUNCTION("""COMPUTED_VALUE"""),65.0)</f>
        <v>65</v>
      </c>
      <c r="E51" t="str">
        <f>IFERROR(__xludf.DUMMYFUNCTION("""COMPUTED_VALUE"""),"PG/SF")</f>
        <v>PG/SF</v>
      </c>
      <c r="F51" s="37">
        <f>IFERROR(__xludf.DUMMYFUNCTION("""COMPUTED_VALUE"""),-0.8833700766720085)</f>
        <v>-0.8833700767</v>
      </c>
      <c r="G51" s="37">
        <f>IFERROR(__xludf.DUMMYFUNCTION("""COMPUTED_VALUE"""),1.697178988216204)</f>
        <v>1.697178988</v>
      </c>
      <c r="H51" s="37">
        <f>IFERROR(__xludf.DUMMYFUNCTION("""COMPUTED_VALUE"""),2.5805490648882126)</f>
        <v>2.580549065</v>
      </c>
      <c r="I51" s="37">
        <f>IFERROR(__xludf.DUMMYFUNCTION("""COMPUTED_VALUE"""),16.9)</f>
        <v>16.9</v>
      </c>
      <c r="J51" s="37">
        <f>IFERROR(__xludf.DUMMYFUNCTION("""COMPUTED_VALUE"""),2.6)</f>
        <v>2.6</v>
      </c>
      <c r="K51" s="37">
        <f>IFERROR(__xludf.DUMMYFUNCTION("""COMPUTED_VALUE"""),4.5)</f>
        <v>4.5</v>
      </c>
      <c r="L51" s="37">
        <f>IFERROR(__xludf.DUMMYFUNCTION("""COMPUTED_VALUE"""),6.3)</f>
        <v>6.3</v>
      </c>
      <c r="M51" s="37">
        <f>IFERROR(__xludf.DUMMYFUNCTION("""COMPUTED_VALUE"""),1.1)</f>
        <v>1.1</v>
      </c>
      <c r="N51" s="37">
        <f>IFERROR(__xludf.DUMMYFUNCTION("""COMPUTED_VALUE"""),0.4)</f>
        <v>0.4</v>
      </c>
      <c r="O51" s="37">
        <f>IFERROR(__xludf.DUMMYFUNCTION("""COMPUTED_VALUE"""),42.25352112676057)</f>
        <v>42.25352113</v>
      </c>
      <c r="P51" s="37">
        <f>IFERROR(__xludf.DUMMYFUNCTION("""COMPUTED_VALUE"""),69.69696969696969)</f>
        <v>69.6969697</v>
      </c>
      <c r="Q51" s="37">
        <f>IFERROR(__xludf.DUMMYFUNCTION("""COMPUTED_VALUE"""),3.2)</f>
        <v>3.2</v>
      </c>
      <c r="R51" s="37">
        <f>IFERROR(__xludf.DUMMYFUNCTION("""COMPUTED_VALUE"""),-0.014118458540447874)</f>
        <v>-0.01411845854</v>
      </c>
      <c r="S51" s="37">
        <f>IFERROR(__xludf.DUMMYFUNCTION("""COMPUTED_VALUE"""),0.9865333402325488)</f>
        <v>0.9865333402</v>
      </c>
      <c r="T51" s="37">
        <f>IFERROR(__xludf.DUMMYFUNCTION("""COMPUTED_VALUE"""),-0.6427337822350941)</f>
        <v>-0.6427337822</v>
      </c>
      <c r="U51" s="37">
        <f>IFERROR(__xludf.DUMMYFUNCTION("""COMPUTED_VALUE"""),1.4826533013402543)</f>
        <v>1.482653301</v>
      </c>
      <c r="V51" s="37">
        <f>IFERROR(__xludf.DUMMYFUNCTION("""COMPUTED_VALUE"""),0.39233811965195126)</f>
        <v>0.3923381197</v>
      </c>
      <c r="W51" s="37">
        <f>IFERROR(__xludf.DUMMYFUNCTION("""COMPUTED_VALUE"""),0.0)</f>
        <v>0</v>
      </c>
      <c r="X51" s="37">
        <f>IFERROR(__xludf.DUMMYFUNCTION("""COMPUTED_VALUE"""),0.0)</f>
        <v>0</v>
      </c>
      <c r="Y51" s="37">
        <f>IFERROR(__xludf.DUMMYFUNCTION("""COMPUTED_VALUE"""),-0.5074935322330081)</f>
        <v>-0.5074935322</v>
      </c>
      <c r="Z51" s="37">
        <f>IFERROR(__xludf.DUMMYFUNCTION("""COMPUTED_VALUE"""),0.0)</f>
        <v>0</v>
      </c>
      <c r="AA51" t="str">
        <f>IFERROR(__xludf.DUMMYFUNCTION("SUBSTITUTE(REGEXREPLACE(REGEXREPLACE(REGEXREPLACE(REGEXREPLACE(REGEXREPLACE(REGEXREPLACE(E51,"","",),IF(Projections!$U$3="""",""PG"",),),IF(Projections!$V$3="""",""SG"",),),IF(Projections!$W$3="""",""SF"",),),IF(Projections!$X$3="""",""PF"",),),IF(Project"&amp;"ions!$Y$3="""",""C"",),),""/"","""")"),"PGSF")</f>
        <v>PGSF</v>
      </c>
    </row>
    <row r="52">
      <c r="A52" s="29" t="str">
        <f>IF(Projections!$H$3,Draft!F14,"")</f>
        <v>Evan Mobley</v>
      </c>
      <c r="B52">
        <f>IFERROR(__xludf.DUMMYFUNCTION("""COMPUTED_VALUE"""),74.0)</f>
        <v>74</v>
      </c>
      <c r="C52" t="str">
        <f>IFERROR(__xludf.DUMMYFUNCTION("""COMPUTED_VALUE"""),"Gary Trent Jr.")</f>
        <v>Gary Trent Jr.</v>
      </c>
      <c r="D52">
        <f>IFERROR(__xludf.DUMMYFUNCTION("""COMPUTED_VALUE"""),61.0)</f>
        <v>61</v>
      </c>
      <c r="E52" t="str">
        <f>IFERROR(__xludf.DUMMYFUNCTION("""COMPUTED_VALUE"""),"SG")</f>
        <v>SG</v>
      </c>
      <c r="F52" s="37">
        <f>IFERROR(__xludf.DUMMYFUNCTION("""COMPUTED_VALUE"""),-0.7592229897054885)</f>
        <v>-0.7592229897</v>
      </c>
      <c r="G52" s="37">
        <f>IFERROR(__xludf.DUMMYFUNCTION("""COMPUTED_VALUE"""),1.6742699048333853)</f>
        <v>1.674269905</v>
      </c>
      <c r="H52" s="37">
        <f>IFERROR(__xludf.DUMMYFUNCTION("""COMPUTED_VALUE"""),2.433492894538874)</f>
        <v>2.433492895</v>
      </c>
      <c r="I52" s="37">
        <f>IFERROR(__xludf.DUMMYFUNCTION("""COMPUTED_VALUE"""),18.4)</f>
        <v>18.4</v>
      </c>
      <c r="J52" s="37">
        <f>IFERROR(__xludf.DUMMYFUNCTION("""COMPUTED_VALUE"""),3.0)</f>
        <v>3</v>
      </c>
      <c r="K52" s="37">
        <f>IFERROR(__xludf.DUMMYFUNCTION("""COMPUTED_VALUE"""),2.9)</f>
        <v>2.9</v>
      </c>
      <c r="L52" s="37">
        <f>IFERROR(__xludf.DUMMYFUNCTION("""COMPUTED_VALUE"""),2.0)</f>
        <v>2</v>
      </c>
      <c r="M52" s="37">
        <f>IFERROR(__xludf.DUMMYFUNCTION("""COMPUTED_VALUE"""),1.5)</f>
        <v>1.5</v>
      </c>
      <c r="N52" s="37">
        <f>IFERROR(__xludf.DUMMYFUNCTION("""COMPUTED_VALUE"""),0.3)</f>
        <v>0.3</v>
      </c>
      <c r="O52" s="37">
        <f>IFERROR(__xludf.DUMMYFUNCTION("""COMPUTED_VALUE"""),41.13924050632911)</f>
        <v>41.13924051</v>
      </c>
      <c r="P52" s="37">
        <f>IFERROR(__xludf.DUMMYFUNCTION("""COMPUTED_VALUE"""),82.14285714285714)</f>
        <v>82.14285714</v>
      </c>
      <c r="Q52" s="37">
        <f>IFERROR(__xludf.DUMMYFUNCTION("""COMPUTED_VALUE"""),1.0)</f>
        <v>1</v>
      </c>
      <c r="R52" s="37">
        <f>IFERROR(__xludf.DUMMYFUNCTION("""COMPUTED_VALUE"""),0.38530881788870686)</f>
        <v>0.3853088179</v>
      </c>
      <c r="S52" s="37">
        <f>IFERROR(__xludf.DUMMYFUNCTION("""COMPUTED_VALUE"""),1.386515565252004)</f>
        <v>1.386515565</v>
      </c>
      <c r="T52" s="37">
        <f>IFERROR(__xludf.DUMMYFUNCTION("""COMPUTED_VALUE"""),-1.2958784270980381)</f>
        <v>-1.295878427</v>
      </c>
      <c r="U52" s="37">
        <f>IFERROR(__xludf.DUMMYFUNCTION("""COMPUTED_VALUE"""),-0.9713275050888364)</f>
        <v>-0.9713275051</v>
      </c>
      <c r="V52" s="37">
        <f>IFERROR(__xludf.DUMMYFUNCTION("""COMPUTED_VALUE"""),2.027537555404133)</f>
        <v>2.027537555</v>
      </c>
      <c r="W52" s="37">
        <f>IFERROR(__xludf.DUMMYFUNCTION("""COMPUTED_VALUE"""),0.0)</f>
        <v>0</v>
      </c>
      <c r="X52" s="37">
        <f>IFERROR(__xludf.DUMMYFUNCTION("""COMPUTED_VALUE"""),0.0)</f>
        <v>0</v>
      </c>
      <c r="Y52" s="37">
        <f>IFERROR(__xludf.DUMMYFUNCTION("""COMPUTED_VALUE"""),0.142113898475416)</f>
        <v>0.1421138985</v>
      </c>
      <c r="Z52" s="37">
        <f>IFERROR(__xludf.DUMMYFUNCTION("""COMPUTED_VALUE"""),0.0)</f>
        <v>0</v>
      </c>
      <c r="AA52" t="str">
        <f>IFERROR(__xludf.DUMMYFUNCTION("SUBSTITUTE(REGEXREPLACE(REGEXREPLACE(REGEXREPLACE(REGEXREPLACE(REGEXREPLACE(REGEXREPLACE(E52,"","",),IF(Projections!$U$3="""",""PG"",),),IF(Projections!$V$3="""",""SG"",),),IF(Projections!$W$3="""",""SF"",),),IF(Projections!$X$3="""",""PF"",),),IF(Project"&amp;"ions!$Y$3="""",""C"",),),""/"","""")"),"SG")</f>
        <v>SG</v>
      </c>
    </row>
    <row r="53">
      <c r="A53" s="29" t="str">
        <f>IF(Projections!$H$3,Draft!G3,"")</f>
        <v>Jamal Murray</v>
      </c>
      <c r="B53">
        <f>IFERROR(__xludf.DUMMYFUNCTION("""COMPUTED_VALUE"""),57.0)</f>
        <v>57</v>
      </c>
      <c r="C53" t="str">
        <f>IFERROR(__xludf.DUMMYFUNCTION("""COMPUTED_VALUE"""),"OG Anunoby")</f>
        <v>OG Anunoby</v>
      </c>
      <c r="D53">
        <f>IFERROR(__xludf.DUMMYFUNCTION("""COMPUTED_VALUE"""),69.0)</f>
        <v>69</v>
      </c>
      <c r="E53" t="str">
        <f>IFERROR(__xludf.DUMMYFUNCTION("""COMPUTED_VALUE"""),"SF")</f>
        <v>SF</v>
      </c>
      <c r="F53" s="37">
        <f>IFERROR(__xludf.DUMMYFUNCTION("""COMPUTED_VALUE"""),-0.14017317171605892)</f>
        <v>-0.1401731717</v>
      </c>
      <c r="G53" s="37">
        <f>IFERROR(__xludf.DUMMYFUNCTION("""COMPUTED_VALUE"""),1.6299690962995848)</f>
        <v>1.629969096</v>
      </c>
      <c r="H53" s="37">
        <f>IFERROR(__xludf.DUMMYFUNCTION("""COMPUTED_VALUE"""),1.7701422680156438)</f>
        <v>1.770142268</v>
      </c>
      <c r="I53" s="37">
        <f>IFERROR(__xludf.DUMMYFUNCTION("""COMPUTED_VALUE"""),17.5)</f>
        <v>17.5</v>
      </c>
      <c r="J53" s="37">
        <f>IFERROR(__xludf.DUMMYFUNCTION("""COMPUTED_VALUE"""),2.5)</f>
        <v>2.5</v>
      </c>
      <c r="K53" s="37">
        <f>IFERROR(__xludf.DUMMYFUNCTION("""COMPUTED_VALUE"""),5.6)</f>
        <v>5.6</v>
      </c>
      <c r="L53" s="37">
        <f>IFERROR(__xludf.DUMMYFUNCTION("""COMPUTED_VALUE"""),2.7)</f>
        <v>2.7</v>
      </c>
      <c r="M53" s="37">
        <f>IFERROR(__xludf.DUMMYFUNCTION("""COMPUTED_VALUE"""),1.4)</f>
        <v>1.4</v>
      </c>
      <c r="N53" s="37">
        <f>IFERROR(__xludf.DUMMYFUNCTION("""COMPUTED_VALUE"""),0.5)</f>
        <v>0.5</v>
      </c>
      <c r="O53" s="37">
        <f>IFERROR(__xludf.DUMMYFUNCTION("""COMPUTED_VALUE"""),43.91891891891891)</f>
        <v>43.91891892</v>
      </c>
      <c r="P53" s="37">
        <f>IFERROR(__xludf.DUMMYFUNCTION("""COMPUTED_VALUE"""),73.07692307692307)</f>
        <v>73.07692308</v>
      </c>
      <c r="Q53" s="37">
        <f>IFERROR(__xludf.DUMMYFUNCTION("""COMPUTED_VALUE"""),1.7)</f>
        <v>1.7</v>
      </c>
      <c r="R53" s="37">
        <f>IFERROR(__xludf.DUMMYFUNCTION("""COMPUTED_VALUE"""),0.14565245203121438)</f>
        <v>0.145652452</v>
      </c>
      <c r="S53" s="37">
        <f>IFERROR(__xludf.DUMMYFUNCTION("""COMPUTED_VALUE"""),0.8865377839776849)</f>
        <v>0.886537784</v>
      </c>
      <c r="T53" s="37">
        <f>IFERROR(__xludf.DUMMYFUNCTION("""COMPUTED_VALUE"""),-0.19369683889182027)</f>
        <v>-0.1936968389</v>
      </c>
      <c r="U53" s="37">
        <f>IFERROR(__xludf.DUMMYFUNCTION("""COMPUTED_VALUE"""),-0.5718422575306121)</f>
        <v>-0.5718422575</v>
      </c>
      <c r="V53" s="37">
        <f>IFERROR(__xludf.DUMMYFUNCTION("""COMPUTED_VALUE"""),1.6187376964660871)</f>
        <v>1.618737696</v>
      </c>
      <c r="W53" s="37">
        <f>IFERROR(__xludf.DUMMYFUNCTION("""COMPUTED_VALUE"""),0.0)</f>
        <v>0</v>
      </c>
      <c r="X53" s="37">
        <f>IFERROR(__xludf.DUMMYFUNCTION("""COMPUTED_VALUE"""),0.0)</f>
        <v>0</v>
      </c>
      <c r="Y53" s="37">
        <f>IFERROR(__xludf.DUMMYFUNCTION("""COMPUTED_VALUE"""),-0.2554197397529692)</f>
        <v>-0.2554197398</v>
      </c>
      <c r="Z53" s="37">
        <f>IFERROR(__xludf.DUMMYFUNCTION("""COMPUTED_VALUE"""),0.0)</f>
        <v>0</v>
      </c>
      <c r="AA53" t="str">
        <f>IFERROR(__xludf.DUMMYFUNCTION("SUBSTITUTE(REGEXREPLACE(REGEXREPLACE(REGEXREPLACE(REGEXREPLACE(REGEXREPLACE(REGEXREPLACE(E53,"","",),IF(Projections!$U$3="""",""PG"",),),IF(Projections!$V$3="""",""SG"",),),IF(Projections!$W$3="""",""SF"",),),IF(Projections!$X$3="""",""PF"",),),IF(Project"&amp;"ions!$Y$3="""",""C"",),),""/"","""")"),"SF")</f>
        <v>SF</v>
      </c>
    </row>
    <row r="54">
      <c r="A54" s="29" t="str">
        <f>IF(Projections!$H$3,Draft!G4,"")</f>
        <v>Jakob Poeltl</v>
      </c>
      <c r="B54">
        <f>IFERROR(__xludf.DUMMYFUNCTION("""COMPUTED_VALUE"""),65.0)</f>
        <v>65</v>
      </c>
      <c r="C54" t="str">
        <f>IFERROR(__xludf.DUMMYFUNCTION("""COMPUTED_VALUE"""),"Tyler Herro")</f>
        <v>Tyler Herro</v>
      </c>
      <c r="D54">
        <f>IFERROR(__xludf.DUMMYFUNCTION("""COMPUTED_VALUE"""),62.0)</f>
        <v>62</v>
      </c>
      <c r="E54" t="str">
        <f>IFERROR(__xludf.DUMMYFUNCTION("""COMPUTED_VALUE"""),"PG/SF")</f>
        <v>PG/SF</v>
      </c>
      <c r="F54" s="37">
        <f>IFERROR(__xludf.DUMMYFUNCTION("""COMPUTED_VALUE"""),-0.4387521399030394)</f>
        <v>-0.4387521399</v>
      </c>
      <c r="G54" s="37">
        <f>IFERROR(__xludf.DUMMYFUNCTION("""COMPUTED_VALUE"""),1.4680395597131017)</f>
        <v>1.46803956</v>
      </c>
      <c r="H54" s="37">
        <f>IFERROR(__xludf.DUMMYFUNCTION("""COMPUTED_VALUE"""),1.9067916996161411)</f>
        <v>1.9067917</v>
      </c>
      <c r="I54" s="37">
        <f>IFERROR(__xludf.DUMMYFUNCTION("""COMPUTED_VALUE"""),21.4)</f>
        <v>21.4</v>
      </c>
      <c r="J54" s="37">
        <f>IFERROR(__xludf.DUMMYFUNCTION("""COMPUTED_VALUE"""),2.7)</f>
        <v>2.7</v>
      </c>
      <c r="K54" s="37">
        <f>IFERROR(__xludf.DUMMYFUNCTION("""COMPUTED_VALUE"""),5.2)</f>
        <v>5.2</v>
      </c>
      <c r="L54" s="37">
        <f>IFERROR(__xludf.DUMMYFUNCTION("""COMPUTED_VALUE"""),4.2)</f>
        <v>4.2</v>
      </c>
      <c r="M54" s="37">
        <f>IFERROR(__xludf.DUMMYFUNCTION("""COMPUTED_VALUE"""),0.7)</f>
        <v>0.7</v>
      </c>
      <c r="N54" s="37">
        <f>IFERROR(__xludf.DUMMYFUNCTION("""COMPUTED_VALUE"""),0.1)</f>
        <v>0.1</v>
      </c>
      <c r="O54" s="37">
        <f>IFERROR(__xludf.DUMMYFUNCTION("""COMPUTED_VALUE"""),44.06779661016949)</f>
        <v>44.06779661</v>
      </c>
      <c r="P54" s="37">
        <f>IFERROR(__xludf.DUMMYFUNCTION("""COMPUTED_VALUE"""),88.23529411764706)</f>
        <v>88.23529412</v>
      </c>
      <c r="Q54" s="37">
        <f>IFERROR(__xludf.DUMMYFUNCTION("""COMPUTED_VALUE"""),2.7)</f>
        <v>2.7</v>
      </c>
      <c r="R54" s="37">
        <f>IFERROR(__xludf.DUMMYFUNCTION("""COMPUTED_VALUE"""),1.1841633707470163)</f>
        <v>1.184163371</v>
      </c>
      <c r="S54" s="37">
        <f>IFERROR(__xludf.DUMMYFUNCTION("""COMPUTED_VALUE"""),1.0865288964874127)</f>
        <v>1.086528896</v>
      </c>
      <c r="T54" s="37">
        <f>IFERROR(__xludf.DUMMYFUNCTION("""COMPUTED_VALUE"""),-0.35698300010755607)</f>
        <v>-0.3569830001</v>
      </c>
      <c r="U54" s="37">
        <f>IFERROR(__xludf.DUMMYFUNCTION("""COMPUTED_VALUE"""),0.2841975586655823)</f>
        <v>0.2841975587</v>
      </c>
      <c r="V54" s="37">
        <f>IFERROR(__xludf.DUMMYFUNCTION("""COMPUTED_VALUE"""),-1.2428613161002313)</f>
        <v>-1.242861316</v>
      </c>
      <c r="W54" s="37">
        <f>IFERROR(__xludf.DUMMYFUNCTION("""COMPUTED_VALUE"""),0.0)</f>
        <v>0</v>
      </c>
      <c r="X54" s="37">
        <f>IFERROR(__xludf.DUMMYFUNCTION("""COMPUTED_VALUE"""),0.0)</f>
        <v>0</v>
      </c>
      <c r="Y54" s="37">
        <f>IFERROR(__xludf.DUMMYFUNCTION("""COMPUTED_VALUE"""),0.5129940500208782)</f>
        <v>0.51299405</v>
      </c>
      <c r="Z54" s="37">
        <f>IFERROR(__xludf.DUMMYFUNCTION("""COMPUTED_VALUE"""),0.0)</f>
        <v>0</v>
      </c>
      <c r="AA54" t="str">
        <f>IFERROR(__xludf.DUMMYFUNCTION("SUBSTITUTE(REGEXREPLACE(REGEXREPLACE(REGEXREPLACE(REGEXREPLACE(REGEXREPLACE(REGEXREPLACE(E54,"","",),IF(Projections!$U$3="""",""PG"",),),IF(Projections!$V$3="""",""SG"",),),IF(Projections!$W$3="""",""SF"",),),IF(Projections!$X$3="""",""PF"",),),IF(Project"&amp;"ions!$Y$3="""",""C"",),),""/"","""")"),"PGSF")</f>
        <v>PGSF</v>
      </c>
    </row>
    <row r="55">
      <c r="A55" s="29" t="str">
        <f>IF(Projections!$H$3,Draft!G5,"")</f>
        <v>Jalen Green</v>
      </c>
      <c r="B55">
        <f>IFERROR(__xludf.DUMMYFUNCTION("""COMPUTED_VALUE"""),56.0)</f>
        <v>56</v>
      </c>
      <c r="C55" t="str">
        <f>IFERROR(__xludf.DUMMYFUNCTION("""COMPUTED_VALUE"""),"Julius Randle")</f>
        <v>Julius Randle</v>
      </c>
      <c r="D55">
        <f>IFERROR(__xludf.DUMMYFUNCTION("""COMPUTED_VALUE"""),80.0)</f>
        <v>80</v>
      </c>
      <c r="E55" t="str">
        <f>IFERROR(__xludf.DUMMYFUNCTION("""COMPUTED_VALUE"""),"PF")</f>
        <v>PF</v>
      </c>
      <c r="F55" s="37">
        <f>IFERROR(__xludf.DUMMYFUNCTION("""COMPUTED_VALUE"""),-0.09145813732385727)</f>
        <v>-0.09145813732</v>
      </c>
      <c r="G55" s="37">
        <f>IFERROR(__xludf.DUMMYFUNCTION("""COMPUTED_VALUE"""),1.3572844934651096)</f>
        <v>1.357284493</v>
      </c>
      <c r="H55" s="37">
        <f>IFERROR(__xludf.DUMMYFUNCTION("""COMPUTED_VALUE"""),1.4487426307889668)</f>
        <v>1.448742631</v>
      </c>
      <c r="I55" s="37">
        <f>IFERROR(__xludf.DUMMYFUNCTION("""COMPUTED_VALUE"""),20.2)</f>
        <v>20.2</v>
      </c>
      <c r="J55" s="37">
        <f>IFERROR(__xludf.DUMMYFUNCTION("""COMPUTED_VALUE"""),1.7)</f>
        <v>1.7</v>
      </c>
      <c r="K55" s="37">
        <f>IFERROR(__xludf.DUMMYFUNCTION("""COMPUTED_VALUE"""),9.5)</f>
        <v>9.5</v>
      </c>
      <c r="L55" s="37">
        <f>IFERROR(__xludf.DUMMYFUNCTION("""COMPUTED_VALUE"""),4.4)</f>
        <v>4.4</v>
      </c>
      <c r="M55" s="37">
        <f>IFERROR(__xludf.DUMMYFUNCTION("""COMPUTED_VALUE"""),0.7)</f>
        <v>0.7</v>
      </c>
      <c r="N55" s="37">
        <f>IFERROR(__xludf.DUMMYFUNCTION("""COMPUTED_VALUE"""),0.5)</f>
        <v>0.5</v>
      </c>
      <c r="O55" s="37">
        <f>IFERROR(__xludf.DUMMYFUNCTION("""COMPUTED_VALUE"""),44.72049689440993)</f>
        <v>44.72049689</v>
      </c>
      <c r="P55" s="37">
        <f>IFERROR(__xludf.DUMMYFUNCTION("""COMPUTED_VALUE"""),77.35849056603773)</f>
        <v>77.35849057</v>
      </c>
      <c r="Q55" s="37">
        <f>IFERROR(__xludf.DUMMYFUNCTION("""COMPUTED_VALUE"""),3.3)</f>
        <v>3.3</v>
      </c>
      <c r="R55" s="37">
        <f>IFERROR(__xludf.DUMMYFUNCTION("""COMPUTED_VALUE"""),0.8646215496036925)</f>
        <v>0.8646215496</v>
      </c>
      <c r="S55" s="37">
        <f>IFERROR(__xludf.DUMMYFUNCTION("""COMPUTED_VALUE"""),0.08657333393877437)</f>
        <v>0.08657333394</v>
      </c>
      <c r="T55" s="37">
        <f>IFERROR(__xludf.DUMMYFUNCTION("""COMPUTED_VALUE"""),1.398343232961606)</f>
        <v>1.398343233</v>
      </c>
      <c r="U55" s="37">
        <f>IFERROR(__xludf.DUMMYFUNCTION("""COMPUTED_VALUE"""),0.39833620082507504)</f>
        <v>0.3983362008</v>
      </c>
      <c r="V55" s="37">
        <f>IFERROR(__xludf.DUMMYFUNCTION("""COMPUTED_VALUE"""),-1.2428613161002313)</f>
        <v>-1.242861316</v>
      </c>
      <c r="W55" s="37">
        <f>IFERROR(__xludf.DUMMYFUNCTION("""COMPUTED_VALUE"""),0.0)</f>
        <v>0</v>
      </c>
      <c r="X55" s="37">
        <f>IFERROR(__xludf.DUMMYFUNCTION("""COMPUTED_VALUE"""),0.0)</f>
        <v>0</v>
      </c>
      <c r="Y55" s="37">
        <f>IFERROR(__xludf.DUMMYFUNCTION("""COMPUTED_VALUE"""),-0.14772850776380733)</f>
        <v>-0.1477285078</v>
      </c>
      <c r="Z55" s="37">
        <f>IFERROR(__xludf.DUMMYFUNCTION("""COMPUTED_VALUE"""),0.0)</f>
        <v>0</v>
      </c>
      <c r="AA55" t="str">
        <f>IFERROR(__xludf.DUMMYFUNCTION("SUBSTITUTE(REGEXREPLACE(REGEXREPLACE(REGEXREPLACE(REGEXREPLACE(REGEXREPLACE(REGEXREPLACE(E55,"","",),IF(Projections!$U$3="""",""PG"",),),IF(Projections!$V$3="""",""SG"",),),IF(Projections!$W$3="""",""SF"",),),IF(Projections!$X$3="""",""PF"",),),IF(Project"&amp;"ions!$Y$3="""",""C"",),),""/"","""")"),"PF")</f>
        <v>PF</v>
      </c>
    </row>
    <row r="56">
      <c r="A56" s="29" t="str">
        <f>IF(Projections!$H$3,Draft!G6,"")</f>
        <v>Jonas Valanciunas</v>
      </c>
      <c r="B56">
        <f>IFERROR(__xludf.DUMMYFUNCTION("""COMPUTED_VALUE"""),70.0)</f>
        <v>70</v>
      </c>
      <c r="C56" t="str">
        <f>IFERROR(__xludf.DUMMYFUNCTION("""COMPUTED_VALUE"""),"Josh Giddey")</f>
        <v>Josh Giddey</v>
      </c>
      <c r="D56">
        <f>IFERROR(__xludf.DUMMYFUNCTION("""COMPUTED_VALUE"""),73.0)</f>
        <v>73</v>
      </c>
      <c r="E56" t="str">
        <f>IFERROR(__xludf.DUMMYFUNCTION("""COMPUTED_VALUE"""),"PG/SG")</f>
        <v>PG/SG</v>
      </c>
      <c r="F56" s="37">
        <f>IFERROR(__xludf.DUMMYFUNCTION("""COMPUTED_VALUE"""),-0.6759078742535714)</f>
        <v>-0.6759078743</v>
      </c>
      <c r="G56" s="37">
        <f>IFERROR(__xludf.DUMMYFUNCTION("""COMPUTED_VALUE"""),1.293412740833846)</f>
        <v>1.293412741</v>
      </c>
      <c r="H56" s="37">
        <f>IFERROR(__xludf.DUMMYFUNCTION("""COMPUTED_VALUE"""),1.9693206150874174)</f>
        <v>1.969320615</v>
      </c>
      <c r="I56" s="37">
        <f>IFERROR(__xludf.DUMMYFUNCTION("""COMPUTED_VALUE"""),14.5)</f>
        <v>14.5</v>
      </c>
      <c r="J56" s="37">
        <f>IFERROR(__xludf.DUMMYFUNCTION("""COMPUTED_VALUE"""),1.2)</f>
        <v>1.2</v>
      </c>
      <c r="K56" s="37">
        <f>IFERROR(__xludf.DUMMYFUNCTION("""COMPUTED_VALUE"""),8.2)</f>
        <v>8.2</v>
      </c>
      <c r="L56" s="37">
        <f>IFERROR(__xludf.DUMMYFUNCTION("""COMPUTED_VALUE"""),6.7)</f>
        <v>6.7</v>
      </c>
      <c r="M56" s="37">
        <f>IFERROR(__xludf.DUMMYFUNCTION("""COMPUTED_VALUE"""),1.0)</f>
        <v>1</v>
      </c>
      <c r="N56" s="37">
        <f>IFERROR(__xludf.DUMMYFUNCTION("""COMPUTED_VALUE"""),0.4)</f>
        <v>0.4</v>
      </c>
      <c r="O56" s="37">
        <f>IFERROR(__xludf.DUMMYFUNCTION("""COMPUTED_VALUE"""),42.5531914893617)</f>
        <v>42.55319149</v>
      </c>
      <c r="P56" s="37">
        <f>IFERROR(__xludf.DUMMYFUNCTION("""COMPUTED_VALUE"""),72.22222222222221)</f>
        <v>72.22222222</v>
      </c>
      <c r="Q56" s="37">
        <f>IFERROR(__xludf.DUMMYFUNCTION("""COMPUTED_VALUE"""),3.4)</f>
        <v>3.4</v>
      </c>
      <c r="R56" s="37">
        <f>IFERROR(__xludf.DUMMYFUNCTION("""COMPUTED_VALUE"""),-0.653202100827095)</f>
        <v>-0.6532021008</v>
      </c>
      <c r="S56" s="37">
        <f>IFERROR(__xludf.DUMMYFUNCTION("""COMPUTED_VALUE"""),-0.41340444733554466)</f>
        <v>-0.4134044473</v>
      </c>
      <c r="T56" s="37">
        <f>IFERROR(__xludf.DUMMYFUNCTION("""COMPUTED_VALUE"""),0.8676632090104637)</f>
        <v>0.867663209</v>
      </c>
      <c r="U56" s="37">
        <f>IFERROR(__xludf.DUMMYFUNCTION("""COMPUTED_VALUE"""),1.7109305856592396)</f>
        <v>1.710930586</v>
      </c>
      <c r="V56" s="37">
        <f>IFERROR(__xludf.DUMMYFUNCTION("""COMPUTED_VALUE"""),-0.01646173928609459)</f>
        <v>-0.01646173929</v>
      </c>
      <c r="W56" s="37">
        <f>IFERROR(__xludf.DUMMYFUNCTION("""COMPUTED_VALUE"""),0.0)</f>
        <v>0</v>
      </c>
      <c r="X56" s="37">
        <f>IFERROR(__xludf.DUMMYFUNCTION("""COMPUTED_VALUE"""),0.0)</f>
        <v>0</v>
      </c>
      <c r="Y56" s="37">
        <f>IFERROR(__xludf.DUMMYFUNCTION("""COMPUTED_VALUE"""),-0.20211276638712303)</f>
        <v>-0.2021127664</v>
      </c>
      <c r="Z56" s="37">
        <f>IFERROR(__xludf.DUMMYFUNCTION("""COMPUTED_VALUE"""),0.0)</f>
        <v>0</v>
      </c>
      <c r="AA56" t="str">
        <f>IFERROR(__xludf.DUMMYFUNCTION("SUBSTITUTE(REGEXREPLACE(REGEXREPLACE(REGEXREPLACE(REGEXREPLACE(REGEXREPLACE(REGEXREPLACE(E56,"","",),IF(Projections!$U$3="""",""PG"",),),IF(Projections!$V$3="""",""SG"",),),IF(Projections!$W$3="""",""SF"",),),IF(Projections!$X$3="""",""PF"",),),IF(Project"&amp;"ions!$Y$3="""",""C"",),),""/"","""")"),"PGSG")</f>
        <v>PGSG</v>
      </c>
    </row>
    <row r="57">
      <c r="A57" s="29" t="str">
        <f>IF(Projections!$H$3,Draft!G7,"")</f>
        <v>Christian Wood</v>
      </c>
      <c r="B57">
        <f>IFERROR(__xludf.DUMMYFUNCTION("""COMPUTED_VALUE"""),39.0)</f>
        <v>39</v>
      </c>
      <c r="C57" t="str">
        <f>IFERROR(__xludf.DUMMYFUNCTION("""COMPUTED_VALUE"""),"Nikola Vucevic")</f>
        <v>Nikola Vucevic</v>
      </c>
      <c r="D57">
        <f>IFERROR(__xludf.DUMMYFUNCTION("""COMPUTED_VALUE"""),70.0)</f>
        <v>70</v>
      </c>
      <c r="E57" t="str">
        <f>IFERROR(__xludf.DUMMYFUNCTION("""COMPUTED_VALUE"""),"C")</f>
        <v>C</v>
      </c>
      <c r="F57" s="37">
        <f>IFERROR(__xludf.DUMMYFUNCTION("""COMPUTED_VALUE"""),1.606714342849532)</f>
        <v>1.606714343</v>
      </c>
      <c r="G57" s="37">
        <f>IFERROR(__xludf.DUMMYFUNCTION("""COMPUTED_VALUE"""),1.2675158454812863)</f>
        <v>1.267515845</v>
      </c>
      <c r="H57" s="37">
        <f>IFERROR(__xludf.DUMMYFUNCTION("""COMPUTED_VALUE"""),-0.3391984973682458)</f>
        <v>-0.3391984974</v>
      </c>
      <c r="I57" s="37">
        <f>IFERROR(__xludf.DUMMYFUNCTION("""COMPUTED_VALUE"""),17.2)</f>
        <v>17.2</v>
      </c>
      <c r="J57" s="37">
        <f>IFERROR(__xludf.DUMMYFUNCTION("""COMPUTED_VALUE"""),1.4)</f>
        <v>1.4</v>
      </c>
      <c r="K57" s="37">
        <f>IFERROR(__xludf.DUMMYFUNCTION("""COMPUTED_VALUE"""),10.6)</f>
        <v>10.6</v>
      </c>
      <c r="L57" s="37">
        <f>IFERROR(__xludf.DUMMYFUNCTION("""COMPUTED_VALUE"""),3.1)</f>
        <v>3.1</v>
      </c>
      <c r="M57" s="37">
        <f>IFERROR(__xludf.DUMMYFUNCTION("""COMPUTED_VALUE"""),1.0)</f>
        <v>1</v>
      </c>
      <c r="N57" s="37">
        <f>IFERROR(__xludf.DUMMYFUNCTION("""COMPUTED_VALUE"""),1.0)</f>
        <v>1</v>
      </c>
      <c r="O57" s="37">
        <f>IFERROR(__xludf.DUMMYFUNCTION("""COMPUTED_VALUE"""),47.4025974025974)</f>
        <v>47.4025974</v>
      </c>
      <c r="P57" s="37">
        <f>IFERROR(__xludf.DUMMYFUNCTION("""COMPUTED_VALUE"""),76.47058823529413)</f>
        <v>76.47058824</v>
      </c>
      <c r="Q57" s="37">
        <f>IFERROR(__xludf.DUMMYFUNCTION("""COMPUTED_VALUE"""),1.9)</f>
        <v>1.9</v>
      </c>
      <c r="R57" s="37">
        <f>IFERROR(__xludf.DUMMYFUNCTION("""COMPUTED_VALUE"""),0.06576699674538325)</f>
        <v>0.06576699675</v>
      </c>
      <c r="S57" s="37">
        <f>IFERROR(__xludf.DUMMYFUNCTION("""COMPUTED_VALUE"""),-0.2134133348258171)</f>
        <v>-0.2134133348</v>
      </c>
      <c r="T57" s="37">
        <f>IFERROR(__xludf.DUMMYFUNCTION("""COMPUTED_VALUE"""),1.8473801763048798)</f>
        <v>1.847380176</v>
      </c>
      <c r="U57" s="37">
        <f>IFERROR(__xludf.DUMMYFUNCTION("""COMPUTED_VALUE"""),-0.343564973211627)</f>
        <v>-0.3435649732</v>
      </c>
      <c r="V57" s="37">
        <f>IFERROR(__xludf.DUMMYFUNCTION("""COMPUTED_VALUE"""),-0.01646173928609459)</f>
        <v>-0.01646173929</v>
      </c>
      <c r="W57" s="37">
        <f>IFERROR(__xludf.DUMMYFUNCTION("""COMPUTED_VALUE"""),0.0)</f>
        <v>0</v>
      </c>
      <c r="X57" s="37">
        <f>IFERROR(__xludf.DUMMYFUNCTION("""COMPUTED_VALUE"""),0.0)</f>
        <v>0</v>
      </c>
      <c r="Y57" s="37">
        <f>IFERROR(__xludf.DUMMYFUNCTION("""COMPUTED_VALUE"""),-0.07219128024543806)</f>
        <v>-0.07219128025</v>
      </c>
      <c r="Z57" s="37">
        <f>IFERROR(__xludf.DUMMYFUNCTION("""COMPUTED_VALUE"""),0.0)</f>
        <v>0</v>
      </c>
      <c r="AA57" t="str">
        <f>IFERROR(__xludf.DUMMYFUNCTION("SUBSTITUTE(REGEXREPLACE(REGEXREPLACE(REGEXREPLACE(REGEXREPLACE(REGEXREPLACE(REGEXREPLACE(E57,"","",),IF(Projections!$U$3="""",""PG"",),),IF(Projections!$V$3="""",""SG"",),),IF(Projections!$W$3="""",""SF"",),),IF(Projections!$X$3="""",""PF"",),),IF(Project"&amp;"ions!$Y$3="""",""C"",),),""/"","""")"),"C")</f>
        <v>C</v>
      </c>
    </row>
    <row r="58">
      <c r="A58" s="29" t="str">
        <f>IF(Projections!$H$3,Draft!G8,"")</f>
        <v>Desmond Bane</v>
      </c>
      <c r="B58">
        <f>IFERROR(__xludf.DUMMYFUNCTION("""COMPUTED_VALUE"""),52.0)</f>
        <v>52</v>
      </c>
      <c r="C58" t="str">
        <f>IFERROR(__xludf.DUMMYFUNCTION("""COMPUTED_VALUE"""),"Jordan Poole")</f>
        <v>Jordan Poole</v>
      </c>
      <c r="D58">
        <f>IFERROR(__xludf.DUMMYFUNCTION("""COMPUTED_VALUE"""),77.0)</f>
        <v>77</v>
      </c>
      <c r="E58" t="str">
        <f>IFERROR(__xludf.DUMMYFUNCTION("""COMPUTED_VALUE"""),"PG/SF")</f>
        <v>PG/SF</v>
      </c>
      <c r="F58" s="37">
        <f>IFERROR(__xludf.DUMMYFUNCTION("""COMPUTED_VALUE"""),0.12490036551519612)</f>
        <v>0.1249003655</v>
      </c>
      <c r="G58" s="37">
        <f>IFERROR(__xludf.DUMMYFUNCTION("""COMPUTED_VALUE"""),0.9465293533233272)</f>
        <v>0.9465293533</v>
      </c>
      <c r="H58" s="37">
        <f>IFERROR(__xludf.DUMMYFUNCTION("""COMPUTED_VALUE"""),0.8216289878081311)</f>
        <v>0.8216289878</v>
      </c>
      <c r="I58" s="37">
        <f>IFERROR(__xludf.DUMMYFUNCTION("""COMPUTED_VALUE"""),19.1)</f>
        <v>19.1</v>
      </c>
      <c r="J58" s="37">
        <f>IFERROR(__xludf.DUMMYFUNCTION("""COMPUTED_VALUE"""),2.9)</f>
        <v>2.9</v>
      </c>
      <c r="K58" s="37">
        <f>IFERROR(__xludf.DUMMYFUNCTION("""COMPUTED_VALUE"""),3.5)</f>
        <v>3.5</v>
      </c>
      <c r="L58" s="37">
        <f>IFERROR(__xludf.DUMMYFUNCTION("""COMPUTED_VALUE"""),4.1)</f>
        <v>4.1</v>
      </c>
      <c r="M58" s="37">
        <f>IFERROR(__xludf.DUMMYFUNCTION("""COMPUTED_VALUE"""),0.8)</f>
        <v>0.8</v>
      </c>
      <c r="N58" s="37">
        <f>IFERROR(__xludf.DUMMYFUNCTION("""COMPUTED_VALUE"""),0.3)</f>
        <v>0.3</v>
      </c>
      <c r="O58" s="37">
        <f>IFERROR(__xludf.DUMMYFUNCTION("""COMPUTED_VALUE"""),44.827586206896555)</f>
        <v>44.82758621</v>
      </c>
      <c r="P58" s="37">
        <f>IFERROR(__xludf.DUMMYFUNCTION("""COMPUTED_VALUE"""),91.66666666666666)</f>
        <v>91.66666667</v>
      </c>
      <c r="Q58" s="37">
        <f>IFERROR(__xludf.DUMMYFUNCTION("""COMPUTED_VALUE"""),2.6)</f>
        <v>2.6</v>
      </c>
      <c r="R58" s="37">
        <f>IFERROR(__xludf.DUMMYFUNCTION("""COMPUTED_VALUE"""),0.5717082135556464)</f>
        <v>0.5717082136</v>
      </c>
      <c r="S58" s="37">
        <f>IFERROR(__xludf.DUMMYFUNCTION("""COMPUTED_VALUE"""),1.28652000899714)</f>
        <v>1.286520009</v>
      </c>
      <c r="T58" s="37">
        <f>IFERROR(__xludf.DUMMYFUNCTION("""COMPUTED_VALUE"""),-1.0509491852744342)</f>
        <v>-1.050949185</v>
      </c>
      <c r="U58" s="37">
        <f>IFERROR(__xludf.DUMMYFUNCTION("""COMPUTED_VALUE"""),0.22712823758583572)</f>
        <v>0.2271282376</v>
      </c>
      <c r="V58" s="37">
        <f>IFERROR(__xludf.DUMMYFUNCTION("""COMPUTED_VALUE"""),-0.8340614571621854)</f>
        <v>-0.8340614572</v>
      </c>
      <c r="W58" s="37">
        <f>IFERROR(__xludf.DUMMYFUNCTION("""COMPUTED_VALUE"""),0.0)</f>
        <v>0</v>
      </c>
      <c r="X58" s="37">
        <f>IFERROR(__xludf.DUMMYFUNCTION("""COMPUTED_VALUE"""),0.0)</f>
        <v>0</v>
      </c>
      <c r="Y58" s="37">
        <f>IFERROR(__xludf.DUMMYFUNCTION("""COMPUTED_VALUE"""),0.7461835356213247)</f>
        <v>0.7461835356</v>
      </c>
      <c r="Z58" s="37">
        <f>IFERROR(__xludf.DUMMYFUNCTION("""COMPUTED_VALUE"""),0.0)</f>
        <v>0</v>
      </c>
      <c r="AA58" t="str">
        <f>IFERROR(__xludf.DUMMYFUNCTION("SUBSTITUTE(REGEXREPLACE(REGEXREPLACE(REGEXREPLACE(REGEXREPLACE(REGEXREPLACE(REGEXREPLACE(E58,"","",),IF(Projections!$U$3="""",""PG"",),),IF(Projections!$V$3="""",""SG"",),),IF(Projections!$W$3="""",""SF"",),),IF(Projections!$X$3="""",""PF"",),),IF(Project"&amp;"ions!$Y$3="""",""C"",),),""/"","""")"),"PGSF")</f>
        <v>PGSF</v>
      </c>
    </row>
    <row r="59">
      <c r="A59" s="29" t="str">
        <f>IF(Projections!$H$3,Draft!G9,"")</f>
        <v>Draymond Green</v>
      </c>
      <c r="B59">
        <f>IFERROR(__xludf.DUMMYFUNCTION("""COMPUTED_VALUE"""),62.0)</f>
        <v>62</v>
      </c>
      <c r="C59" t="str">
        <f>IFERROR(__xludf.DUMMYFUNCTION("""COMPUTED_VALUE"""),"Jamal Murray")</f>
        <v>Jamal Murray</v>
      </c>
      <c r="D59">
        <f>IFERROR(__xludf.DUMMYFUNCTION("""COMPUTED_VALUE"""),72.0)</f>
        <v>72</v>
      </c>
      <c r="E59" t="str">
        <f>IFERROR(__xludf.DUMMYFUNCTION("""COMPUTED_VALUE"""),"PG")</f>
        <v>PG</v>
      </c>
      <c r="F59" s="37">
        <f>IFERROR(__xludf.DUMMYFUNCTION("""COMPUTED_VALUE"""),-0.4212581737183074)</f>
        <v>-0.4212581737</v>
      </c>
      <c r="G59" s="37">
        <f>IFERROR(__xludf.DUMMYFUNCTION("""COMPUTED_VALUE"""),0.7092887860285941)</f>
        <v>0.709288786</v>
      </c>
      <c r="H59" s="37">
        <f>IFERROR(__xludf.DUMMYFUNCTION("""COMPUTED_VALUE"""),1.1305469597469016)</f>
        <v>1.13054696</v>
      </c>
      <c r="I59" s="37">
        <f>IFERROR(__xludf.DUMMYFUNCTION("""COMPUTED_VALUE"""),18.3)</f>
        <v>18.3</v>
      </c>
      <c r="J59" s="37">
        <f>IFERROR(__xludf.DUMMYFUNCTION("""COMPUTED_VALUE"""),2.4)</f>
        <v>2.4</v>
      </c>
      <c r="K59" s="37">
        <f>IFERROR(__xludf.DUMMYFUNCTION("""COMPUTED_VALUE"""),3.6)</f>
        <v>3.6</v>
      </c>
      <c r="L59" s="37">
        <f>IFERROR(__xludf.DUMMYFUNCTION("""COMPUTED_VALUE"""),4.2)</f>
        <v>4.2</v>
      </c>
      <c r="M59" s="37">
        <f>IFERROR(__xludf.DUMMYFUNCTION("""COMPUTED_VALUE"""),1.0)</f>
        <v>1</v>
      </c>
      <c r="N59" s="37">
        <f>IFERROR(__xludf.DUMMYFUNCTION("""COMPUTED_VALUE"""),0.3)</f>
        <v>0.3</v>
      </c>
      <c r="O59" s="37">
        <f>IFERROR(__xludf.DUMMYFUNCTION("""COMPUTED_VALUE"""),46.25850340136054)</f>
        <v>46.2585034</v>
      </c>
      <c r="P59" s="37">
        <f>IFERROR(__xludf.DUMMYFUNCTION("""COMPUTED_VALUE"""),85.71428571428572)</f>
        <v>85.71428571</v>
      </c>
      <c r="Q59" s="37">
        <f>IFERROR(__xludf.DUMMYFUNCTION("""COMPUTED_VALUE"""),1.9)</f>
        <v>1.9</v>
      </c>
      <c r="R59" s="37">
        <f>IFERROR(__xludf.DUMMYFUNCTION("""COMPUTED_VALUE"""),0.35868033279343037)</f>
        <v>0.3586803328</v>
      </c>
      <c r="S59" s="37">
        <f>IFERROR(__xludf.DUMMYFUNCTION("""COMPUTED_VALUE"""),0.786542227722821)</f>
        <v>0.7865422277</v>
      </c>
      <c r="T59" s="37">
        <f>IFERROR(__xludf.DUMMYFUNCTION("""COMPUTED_VALUE"""),-1.0101276449705001)</f>
        <v>-1.010127645</v>
      </c>
      <c r="U59" s="37">
        <f>IFERROR(__xludf.DUMMYFUNCTION("""COMPUTED_VALUE"""),0.2841975586655823)</f>
        <v>0.2841975587</v>
      </c>
      <c r="V59" s="37">
        <f>IFERROR(__xludf.DUMMYFUNCTION("""COMPUTED_VALUE"""),-0.01646173928609459)</f>
        <v>-0.01646173929</v>
      </c>
      <c r="W59" s="37">
        <f>IFERROR(__xludf.DUMMYFUNCTION("""COMPUTED_VALUE"""),0.0)</f>
        <v>0</v>
      </c>
      <c r="X59" s="37">
        <f>IFERROR(__xludf.DUMMYFUNCTION("""COMPUTED_VALUE"""),0.0)</f>
        <v>0</v>
      </c>
      <c r="Y59" s="37">
        <f>IFERROR(__xludf.DUMMYFUNCTION("""COMPUTED_VALUE"""),0.3064580511033551)</f>
        <v>0.3064580511</v>
      </c>
      <c r="Z59" s="37">
        <f>IFERROR(__xludf.DUMMYFUNCTION("""COMPUTED_VALUE"""),0.0)</f>
        <v>0</v>
      </c>
      <c r="AA59" t="str">
        <f>IFERROR(__xludf.DUMMYFUNCTION("SUBSTITUTE(REGEXREPLACE(REGEXREPLACE(REGEXREPLACE(REGEXREPLACE(REGEXREPLACE(REGEXREPLACE(E59,"","",),IF(Projections!$U$3="""",""PG"",),),IF(Projections!$V$3="""",""SG"",),),IF(Projections!$W$3="""",""SF"",),),IF(Projections!$X$3="""",""PF"",),),IF(Project"&amp;"ions!$Y$3="""",""C"",),),""/"","""")"),"PG")</f>
        <v>PG</v>
      </c>
    </row>
    <row r="60">
      <c r="A60" s="29" t="str">
        <f>IF(Projections!$H$3,Draft!G10,"")</f>
        <v>Jaylen Brown</v>
      </c>
      <c r="B60">
        <f>IFERROR(__xludf.DUMMYFUNCTION("""COMPUTED_VALUE"""),81.0)</f>
        <v>81</v>
      </c>
      <c r="C60" t="str">
        <f>IFERROR(__xludf.DUMMYFUNCTION("""COMPUTED_VALUE"""),"Saddiq Bey")</f>
        <v>Saddiq Bey</v>
      </c>
      <c r="D60">
        <f>IFERROR(__xludf.DUMMYFUNCTION("""COMPUTED_VALUE"""),77.0)</f>
        <v>77</v>
      </c>
      <c r="E60" t="str">
        <f>IFERROR(__xludf.DUMMYFUNCTION("""COMPUTED_VALUE"""),"SF/PF")</f>
        <v>SF/PF</v>
      </c>
      <c r="F60" s="37">
        <f>IFERROR(__xludf.DUMMYFUNCTION("""COMPUTED_VALUE"""),-1.1850152195848833)</f>
        <v>-1.18501522</v>
      </c>
      <c r="G60" s="37">
        <f>IFERROR(__xludf.DUMMYFUNCTION("""COMPUTED_VALUE"""),0.6353149729617061)</f>
        <v>0.635314973</v>
      </c>
      <c r="H60" s="37">
        <f>IFERROR(__xludf.DUMMYFUNCTION("""COMPUTED_VALUE"""),1.8203301925465896)</f>
        <v>1.820330193</v>
      </c>
      <c r="I60" s="37">
        <f>IFERROR(__xludf.DUMMYFUNCTION("""COMPUTED_VALUE"""),17.5)</f>
        <v>17.5</v>
      </c>
      <c r="J60" s="37">
        <f>IFERROR(__xludf.DUMMYFUNCTION("""COMPUTED_VALUE"""),2.9)</f>
        <v>2.9</v>
      </c>
      <c r="K60" s="37">
        <f>IFERROR(__xludf.DUMMYFUNCTION("""COMPUTED_VALUE"""),5.6)</f>
        <v>5.6</v>
      </c>
      <c r="L60" s="37">
        <f>IFERROR(__xludf.DUMMYFUNCTION("""COMPUTED_VALUE"""),2.9)</f>
        <v>2.9</v>
      </c>
      <c r="M60" s="37">
        <f>IFERROR(__xludf.DUMMYFUNCTION("""COMPUTED_VALUE"""),0.9)</f>
        <v>0.9</v>
      </c>
      <c r="N60" s="37">
        <f>IFERROR(__xludf.DUMMYFUNCTION("""COMPUTED_VALUE"""),0.2)</f>
        <v>0.2</v>
      </c>
      <c r="O60" s="37">
        <f>IFERROR(__xludf.DUMMYFUNCTION("""COMPUTED_VALUE"""),41.666666666666664)</f>
        <v>41.66666667</v>
      </c>
      <c r="P60" s="37">
        <f>IFERROR(__xludf.DUMMYFUNCTION("""COMPUTED_VALUE"""),84.375)</f>
        <v>84.375</v>
      </c>
      <c r="Q60" s="37">
        <f>IFERROR(__xludf.DUMMYFUNCTION("""COMPUTED_VALUE"""),1.2)</f>
        <v>1.2</v>
      </c>
      <c r="R60" s="37">
        <f>IFERROR(__xludf.DUMMYFUNCTION("""COMPUTED_VALUE"""),0.14565245203121438)</f>
        <v>0.145652452</v>
      </c>
      <c r="S60" s="37">
        <f>IFERROR(__xludf.DUMMYFUNCTION("""COMPUTED_VALUE"""),1.28652000899714)</f>
        <v>1.286520009</v>
      </c>
      <c r="T60" s="37">
        <f>IFERROR(__xludf.DUMMYFUNCTION("""COMPUTED_VALUE"""),-0.19369683889182027)</f>
        <v>-0.1936968389</v>
      </c>
      <c r="U60" s="37">
        <f>IFERROR(__xludf.DUMMYFUNCTION("""COMPUTED_VALUE"""),-0.4577036153711197)</f>
        <v>-0.4577036154</v>
      </c>
      <c r="V60" s="37">
        <f>IFERROR(__xludf.DUMMYFUNCTION("""COMPUTED_VALUE"""),-0.42526159822414)</f>
        <v>-0.4252615982</v>
      </c>
      <c r="W60" s="37">
        <f>IFERROR(__xludf.DUMMYFUNCTION("""COMPUTED_VALUE"""),0.0)</f>
        <v>0</v>
      </c>
      <c r="X60" s="37">
        <f>IFERROR(__xludf.DUMMYFUNCTION("""COMPUTED_VALUE"""),0.0)</f>
        <v>0</v>
      </c>
      <c r="Y60" s="37">
        <f>IFERROR(__xludf.DUMMYFUNCTION("""COMPUTED_VALUE"""),0.2798045644204318)</f>
        <v>0.2798045644</v>
      </c>
      <c r="Z60" s="37">
        <f>IFERROR(__xludf.DUMMYFUNCTION("""COMPUTED_VALUE"""),0.0)</f>
        <v>0</v>
      </c>
      <c r="AA60" t="str">
        <f>IFERROR(__xludf.DUMMYFUNCTION("SUBSTITUTE(REGEXREPLACE(REGEXREPLACE(REGEXREPLACE(REGEXREPLACE(REGEXREPLACE(REGEXREPLACE(E60,"","",),IF(Projections!$U$3="""",""PG"",),),IF(Projections!$V$3="""",""SG"",),),IF(Projections!$W$3="""",""SF"",),),IF(Projections!$X$3="""",""PF"",),),IF(Project"&amp;"ions!$Y$3="""",""C"",),),""/"","""")"),"SFPF")</f>
        <v>SFPF</v>
      </c>
    </row>
    <row r="61">
      <c r="A61" s="29" t="str">
        <f>IF(Projections!$H$3,Draft!G11,"")</f>
        <v>Terry Rozier</v>
      </c>
      <c r="B61">
        <f>IFERROR(__xludf.DUMMYFUNCTION("""COMPUTED_VALUE"""),63.0)</f>
        <v>63</v>
      </c>
      <c r="C61" t="str">
        <f>IFERROR(__xludf.DUMMYFUNCTION("""COMPUTED_VALUE"""),"Ben Simmons")</f>
        <v>Ben Simmons</v>
      </c>
      <c r="D61">
        <f>IFERROR(__xludf.DUMMYFUNCTION("""COMPUTED_VALUE"""),62.0)</f>
        <v>62</v>
      </c>
      <c r="E61" t="str">
        <f>IFERROR(__xludf.DUMMYFUNCTION("""COMPUTED_VALUE"""),"PG")</f>
        <v>PG</v>
      </c>
      <c r="F61" s="37">
        <f>IFERROR(__xludf.DUMMYFUNCTION("""COMPUTED_VALUE"""),-0.4294659189344052)</f>
        <v>-0.4294659189</v>
      </c>
      <c r="G61" s="37">
        <f>IFERROR(__xludf.DUMMYFUNCTION("""COMPUTED_VALUE"""),0.6279830918563026)</f>
        <v>0.6279830919</v>
      </c>
      <c r="H61" s="37">
        <f>IFERROR(__xludf.DUMMYFUNCTION("""COMPUTED_VALUE"""),1.057449010790708)</f>
        <v>1.057449011</v>
      </c>
      <c r="I61" s="37">
        <f>IFERROR(__xludf.DUMMYFUNCTION("""COMPUTED_VALUE"""),13.4)</f>
        <v>13.4</v>
      </c>
      <c r="J61" s="37">
        <f>IFERROR(__xludf.DUMMYFUNCTION("""COMPUTED_VALUE"""),0.1)</f>
        <v>0.1</v>
      </c>
      <c r="K61" s="37">
        <f>IFERROR(__xludf.DUMMYFUNCTION("""COMPUTED_VALUE"""),7.3)</f>
        <v>7.3</v>
      </c>
      <c r="L61" s="37">
        <f>IFERROR(__xludf.DUMMYFUNCTION("""COMPUTED_VALUE"""),6.0)</f>
        <v>6</v>
      </c>
      <c r="M61" s="37">
        <f>IFERROR(__xludf.DUMMYFUNCTION("""COMPUTED_VALUE"""),1.5)</f>
        <v>1.5</v>
      </c>
      <c r="N61" s="37">
        <f>IFERROR(__xludf.DUMMYFUNCTION("""COMPUTED_VALUE"""),0.6)</f>
        <v>0.6</v>
      </c>
      <c r="O61" s="37">
        <f>IFERROR(__xludf.DUMMYFUNCTION("""COMPUTED_VALUE"""),51.0)</f>
        <v>51</v>
      </c>
      <c r="P61" s="37">
        <f>IFERROR(__xludf.DUMMYFUNCTION("""COMPUTED_VALUE"""),68.88888888888889)</f>
        <v>68.88888889</v>
      </c>
      <c r="Q61" s="37">
        <f>IFERROR(__xludf.DUMMYFUNCTION("""COMPUTED_VALUE"""),3.1)</f>
        <v>3.1</v>
      </c>
      <c r="R61" s="37">
        <f>IFERROR(__xludf.DUMMYFUNCTION("""COMPUTED_VALUE"""),-0.9461154368751417)</f>
        <v>-0.9461154369</v>
      </c>
      <c r="S61" s="37">
        <f>IFERROR(__xludf.DUMMYFUNCTION("""COMPUTED_VALUE"""),-1.5133555661390465)</f>
        <v>-1.513355566</v>
      </c>
      <c r="T61" s="37">
        <f>IFERROR(__xludf.DUMMYFUNCTION("""COMPUTED_VALUE"""),0.5002693462750578)</f>
        <v>0.5002693463</v>
      </c>
      <c r="U61" s="37">
        <f>IFERROR(__xludf.DUMMYFUNCTION("""COMPUTED_VALUE"""),1.3114453381010156)</f>
        <v>1.311445338</v>
      </c>
      <c r="V61" s="37">
        <f>IFERROR(__xludf.DUMMYFUNCTION("""COMPUTED_VALUE"""),2.027537555404133)</f>
        <v>2.027537555</v>
      </c>
      <c r="W61" s="37">
        <f>IFERROR(__xludf.DUMMYFUNCTION("""COMPUTED_VALUE"""),0.0)</f>
        <v>0</v>
      </c>
      <c r="X61" s="37">
        <f>IFERROR(__xludf.DUMMYFUNCTION("""COMPUTED_VALUE"""),0.0)</f>
        <v>0</v>
      </c>
      <c r="Y61" s="37">
        <f>IFERROR(__xludf.DUMMYFUNCTION("""COMPUTED_VALUE"""),-0.7517981449097156)</f>
        <v>-0.7517981449</v>
      </c>
      <c r="Z61" s="37">
        <f>IFERROR(__xludf.DUMMYFUNCTION("""COMPUTED_VALUE"""),0.0)</f>
        <v>0</v>
      </c>
      <c r="AA61" t="str">
        <f>IFERROR(__xludf.DUMMYFUNCTION("SUBSTITUTE(REGEXREPLACE(REGEXREPLACE(REGEXREPLACE(REGEXREPLACE(REGEXREPLACE(REGEXREPLACE(E61,"","",),IF(Projections!$U$3="""",""PG"",),),IF(Projections!$V$3="""",""SG"",),),IF(Projections!$W$3="""",""SF"",),),IF(Projections!$X$3="""",""PF"",),),IF(Project"&amp;"ions!$Y$3="""",""C"",),),""/"","""")"),"PG")</f>
        <v>PG</v>
      </c>
    </row>
    <row r="62">
      <c r="A62" s="29" t="str">
        <f>IF(Projections!$H$3,Draft!G12,"")</f>
        <v>Julius Randle</v>
      </c>
      <c r="B62">
        <f>IFERROR(__xludf.DUMMYFUNCTION("""COMPUTED_VALUE"""),79.0)</f>
        <v>79</v>
      </c>
      <c r="C62" t="str">
        <f>IFERROR(__xludf.DUMMYFUNCTION("""COMPUTED_VALUE"""),"Keldon Johnson")</f>
        <v>Keldon Johnson</v>
      </c>
      <c r="D62">
        <f>IFERROR(__xludf.DUMMYFUNCTION("""COMPUTED_VALUE"""),67.0)</f>
        <v>67</v>
      </c>
      <c r="E62" t="str">
        <f>IFERROR(__xludf.DUMMYFUNCTION("""COMPUTED_VALUE"""),"SF/PF")</f>
        <v>SF/PF</v>
      </c>
      <c r="F62" s="37">
        <f>IFERROR(__xludf.DUMMYFUNCTION("""COMPUTED_VALUE"""),-0.98748911996168)</f>
        <v>-0.98748912</v>
      </c>
      <c r="G62" s="37">
        <f>IFERROR(__xludf.DUMMYFUNCTION("""COMPUTED_VALUE"""),0.539505794772301)</f>
        <v>0.5395057948</v>
      </c>
      <c r="H62" s="37">
        <f>IFERROR(__xludf.DUMMYFUNCTION("""COMPUTED_VALUE"""),1.526994914733981)</f>
        <v>1.526994915</v>
      </c>
      <c r="I62" s="37">
        <f>IFERROR(__xludf.DUMMYFUNCTION("""COMPUTED_VALUE"""),20.1)</f>
        <v>20.1</v>
      </c>
      <c r="J62" s="37">
        <f>IFERROR(__xludf.DUMMYFUNCTION("""COMPUTED_VALUE"""),2.4)</f>
        <v>2.4</v>
      </c>
      <c r="K62" s="37">
        <f>IFERROR(__xludf.DUMMYFUNCTION("""COMPUTED_VALUE"""),6.5)</f>
        <v>6.5</v>
      </c>
      <c r="L62" s="37">
        <f>IFERROR(__xludf.DUMMYFUNCTION("""COMPUTED_VALUE"""),2.3)</f>
        <v>2.3</v>
      </c>
      <c r="M62" s="37">
        <f>IFERROR(__xludf.DUMMYFUNCTION("""COMPUTED_VALUE"""),0.9)</f>
        <v>0.9</v>
      </c>
      <c r="N62" s="37">
        <f>IFERROR(__xludf.DUMMYFUNCTION("""COMPUTED_VALUE"""),0.2)</f>
        <v>0.2</v>
      </c>
      <c r="O62" s="37">
        <f>IFERROR(__xludf.DUMMYFUNCTION("""COMPUTED_VALUE"""),46.45161290322581)</f>
        <v>46.4516129</v>
      </c>
      <c r="P62" s="37">
        <f>IFERROR(__xludf.DUMMYFUNCTION("""COMPUTED_VALUE"""),78.57142857142856)</f>
        <v>78.57142857</v>
      </c>
      <c r="Q62" s="37">
        <f>IFERROR(__xludf.DUMMYFUNCTION("""COMPUTED_VALUE"""),1.6)</f>
        <v>1.6</v>
      </c>
      <c r="R62" s="37">
        <f>IFERROR(__xludf.DUMMYFUNCTION("""COMPUTED_VALUE"""),0.8379930645084163)</f>
        <v>0.8379930645</v>
      </c>
      <c r="S62" s="37">
        <f>IFERROR(__xludf.DUMMYFUNCTION("""COMPUTED_VALUE"""),0.786542227722821)</f>
        <v>0.7865422277</v>
      </c>
      <c r="T62" s="37">
        <f>IFERROR(__xludf.DUMMYFUNCTION("""COMPUTED_VALUE"""),0.1736970238435859)</f>
        <v>0.1736970238</v>
      </c>
      <c r="U62" s="37">
        <f>IFERROR(__xludf.DUMMYFUNCTION("""COMPUTED_VALUE"""),-0.8001195418495975)</f>
        <v>-0.8001195418</v>
      </c>
      <c r="V62" s="37">
        <f>IFERROR(__xludf.DUMMYFUNCTION("""COMPUTED_VALUE"""),-0.42526159822414)</f>
        <v>-0.4252615982</v>
      </c>
      <c r="W62" s="37">
        <f>IFERROR(__xludf.DUMMYFUNCTION("""COMPUTED_VALUE"""),0.0)</f>
        <v>0</v>
      </c>
      <c r="X62" s="37">
        <f>IFERROR(__xludf.DUMMYFUNCTION("""COMPUTED_VALUE"""),0.0)</f>
        <v>0</v>
      </c>
      <c r="Y62" s="37">
        <f>IFERROR(__xludf.DUMMYFUNCTION("""COMPUTED_VALUE"""),-0.0333453812287847)</f>
        <v>-0.03334538123</v>
      </c>
      <c r="Z62" s="37">
        <f>IFERROR(__xludf.DUMMYFUNCTION("""COMPUTED_VALUE"""),0.0)</f>
        <v>0</v>
      </c>
      <c r="AA62" t="str">
        <f>IFERROR(__xludf.DUMMYFUNCTION("SUBSTITUTE(REGEXREPLACE(REGEXREPLACE(REGEXREPLACE(REGEXREPLACE(REGEXREPLACE(REGEXREPLACE(E62,"","",),IF(Projections!$U$3="""",""PG"",),),IF(Projections!$V$3="""",""SG"",),),IF(Projections!$W$3="""",""SF"",),),IF(Projections!$X$3="""",""PF"",),),IF(Project"&amp;"ions!$Y$3="""",""C"",),),""/"","""")"),"SFPF")</f>
        <v>SFPF</v>
      </c>
    </row>
    <row r="63">
      <c r="A63" s="29" t="str">
        <f>IF(Projections!$H$3,Draft!G13,"")</f>
        <v>Ben Simmons</v>
      </c>
      <c r="B63">
        <f>IFERROR(__xludf.DUMMYFUNCTION("""COMPUTED_VALUE"""),68.0)</f>
        <v>68</v>
      </c>
      <c r="C63" t="str">
        <f>IFERROR(__xludf.DUMMYFUNCTION("""COMPUTED_VALUE"""),"Brandon Ingram")</f>
        <v>Brandon Ingram</v>
      </c>
      <c r="D63">
        <f>IFERROR(__xludf.DUMMYFUNCTION("""COMPUTED_VALUE"""),67.0)</f>
        <v>67</v>
      </c>
      <c r="E63" t="str">
        <f>IFERROR(__xludf.DUMMYFUNCTION("""COMPUTED_VALUE"""),"SF/PF")</f>
        <v>SF/PF</v>
      </c>
      <c r="F63" s="37">
        <f>IFERROR(__xludf.DUMMYFUNCTION("""COMPUTED_VALUE"""),-0.5807566876495155)</f>
        <v>-0.5807566876</v>
      </c>
      <c r="G63" s="37">
        <f>IFERROR(__xludf.DUMMYFUNCTION("""COMPUTED_VALUE"""),0.5276593638548377)</f>
        <v>0.5276593639</v>
      </c>
      <c r="H63" s="37">
        <f>IFERROR(__xludf.DUMMYFUNCTION("""COMPUTED_VALUE"""),1.1084160515043533)</f>
        <v>1.108416052</v>
      </c>
      <c r="I63" s="37">
        <f>IFERROR(__xludf.DUMMYFUNCTION("""COMPUTED_VALUE"""),23.1)</f>
        <v>23.1</v>
      </c>
      <c r="J63" s="37">
        <f>IFERROR(__xludf.DUMMYFUNCTION("""COMPUTED_VALUE"""),1.4)</f>
        <v>1.4</v>
      </c>
      <c r="K63" s="37">
        <f>IFERROR(__xludf.DUMMYFUNCTION("""COMPUTED_VALUE"""),5.9)</f>
        <v>5.9</v>
      </c>
      <c r="L63" s="37">
        <f>IFERROR(__xludf.DUMMYFUNCTION("""COMPUTED_VALUE"""),4.7)</f>
        <v>4.7</v>
      </c>
      <c r="M63" s="37">
        <f>IFERROR(__xludf.DUMMYFUNCTION("""COMPUTED_VALUE"""),0.6)</f>
        <v>0.6</v>
      </c>
      <c r="N63" s="37">
        <f>IFERROR(__xludf.DUMMYFUNCTION("""COMPUTED_VALUE"""),0.5)</f>
        <v>0.5</v>
      </c>
      <c r="O63" s="37">
        <f>IFERROR(__xludf.DUMMYFUNCTION("""COMPUTED_VALUE"""),45.90163934426229)</f>
        <v>45.90163934</v>
      </c>
      <c r="P63" s="37">
        <f>IFERROR(__xludf.DUMMYFUNCTION("""COMPUTED_VALUE"""),81.66666666666667)</f>
        <v>81.66666667</v>
      </c>
      <c r="Q63" s="37">
        <f>IFERROR(__xludf.DUMMYFUNCTION("""COMPUTED_VALUE"""),2.8)</f>
        <v>2.8</v>
      </c>
      <c r="R63" s="37">
        <f>IFERROR(__xludf.DUMMYFUNCTION("""COMPUTED_VALUE"""),1.6368476173667257)</f>
        <v>1.636847617</v>
      </c>
      <c r="S63" s="37">
        <f>IFERROR(__xludf.DUMMYFUNCTION("""COMPUTED_VALUE"""),-0.2134133348258171)</f>
        <v>-0.2134133348</v>
      </c>
      <c r="T63" s="37">
        <f>IFERROR(__xludf.DUMMYFUNCTION("""COMPUTED_VALUE"""),-0.07123221798001796)</f>
        <v>-0.07123221798</v>
      </c>
      <c r="U63" s="37">
        <f>IFERROR(__xludf.DUMMYFUNCTION("""COMPUTED_VALUE"""),0.5695441640643137)</f>
        <v>0.5695441641</v>
      </c>
      <c r="V63" s="37">
        <f>IFERROR(__xludf.DUMMYFUNCTION("""COMPUTED_VALUE"""),-1.6516611750382768)</f>
        <v>-1.651661175</v>
      </c>
      <c r="W63" s="37">
        <f>IFERROR(__xludf.DUMMYFUNCTION("""COMPUTED_VALUE"""),0.0)</f>
        <v>0</v>
      </c>
      <c r="X63" s="37">
        <f>IFERROR(__xludf.DUMMYFUNCTION("""COMPUTED_VALUE"""),0.0)</f>
        <v>0</v>
      </c>
      <c r="Y63" s="37">
        <f>IFERROR(__xludf.DUMMYFUNCTION("""COMPUTED_VALUE"""),0.25757431026791017)</f>
        <v>0.2575743103</v>
      </c>
      <c r="Z63" s="37">
        <f>IFERROR(__xludf.DUMMYFUNCTION("""COMPUTED_VALUE"""),0.0)</f>
        <v>0</v>
      </c>
      <c r="AA63" t="str">
        <f>IFERROR(__xludf.DUMMYFUNCTION("SUBSTITUTE(REGEXREPLACE(REGEXREPLACE(REGEXREPLACE(REGEXREPLACE(REGEXREPLACE(REGEXREPLACE(E63,"","",),IF(Projections!$U$3="""",""PG"",),),IF(Projections!$V$3="""",""SG"",),),IF(Projections!$W$3="""",""SF"",),),IF(Projections!$X$3="""",""PF"",),),IF(Project"&amp;"ions!$Y$3="""",""C"",),),""/"","""")"),"SFPF")</f>
        <v>SFPF</v>
      </c>
    </row>
    <row r="64">
      <c r="A64" s="29" t="str">
        <f>IF(Projections!$H$3,Draft!G14,"")</f>
        <v>Alperen Sengun</v>
      </c>
      <c r="B64">
        <f>IFERROR(__xludf.DUMMYFUNCTION("""COMPUTED_VALUE"""),60.0)</f>
        <v>60</v>
      </c>
      <c r="C64" t="str">
        <f>IFERROR(__xludf.DUMMYFUNCTION("""COMPUTED_VALUE"""),"Gordon Hayward")</f>
        <v>Gordon Hayward</v>
      </c>
      <c r="D64">
        <f>IFERROR(__xludf.DUMMYFUNCTION("""COMPUTED_VALUE"""),61.0)</f>
        <v>61</v>
      </c>
      <c r="E64" t="str">
        <f>IFERROR(__xludf.DUMMYFUNCTION("""COMPUTED_VALUE"""),"SF")</f>
        <v>SF</v>
      </c>
      <c r="F64" s="37">
        <f>IFERROR(__xludf.DUMMYFUNCTION("""COMPUTED_VALUE"""),-0.3023880558092862)</f>
        <v>-0.3023880558</v>
      </c>
      <c r="G64" s="37">
        <f>IFERROR(__xludf.DUMMYFUNCTION("""COMPUTED_VALUE"""),0.46972595644368836)</f>
        <v>0.4697259564</v>
      </c>
      <c r="H64" s="37">
        <f>IFERROR(__xludf.DUMMYFUNCTION("""COMPUTED_VALUE"""),0.7721140122529746)</f>
        <v>0.7721140123</v>
      </c>
      <c r="I64" s="37">
        <f>IFERROR(__xludf.DUMMYFUNCTION("""COMPUTED_VALUE"""),18.0)</f>
        <v>18</v>
      </c>
      <c r="J64" s="37">
        <f>IFERROR(__xludf.DUMMYFUNCTION("""COMPUTED_VALUE"""),2.0)</f>
        <v>2</v>
      </c>
      <c r="K64" s="37">
        <f>IFERROR(__xludf.DUMMYFUNCTION("""COMPUTED_VALUE"""),4.7)</f>
        <v>4.7</v>
      </c>
      <c r="L64" s="37">
        <f>IFERROR(__xludf.DUMMYFUNCTION("""COMPUTED_VALUE"""),3.7)</f>
        <v>3.7</v>
      </c>
      <c r="M64" s="37">
        <f>IFERROR(__xludf.DUMMYFUNCTION("""COMPUTED_VALUE"""),1.0)</f>
        <v>1</v>
      </c>
      <c r="N64" s="37">
        <f>IFERROR(__xludf.DUMMYFUNCTION("""COMPUTED_VALUE"""),0.4)</f>
        <v>0.4</v>
      </c>
      <c r="O64" s="37">
        <f>IFERROR(__xludf.DUMMYFUNCTION("""COMPUTED_VALUE"""),46.09929078014184)</f>
        <v>46.09929078</v>
      </c>
      <c r="P64" s="37">
        <f>IFERROR(__xludf.DUMMYFUNCTION("""COMPUTED_VALUE"""),85.71428571428571)</f>
        <v>85.71428571</v>
      </c>
      <c r="Q64" s="37">
        <f>IFERROR(__xludf.DUMMYFUNCTION("""COMPUTED_VALUE"""),1.7)</f>
        <v>1.7</v>
      </c>
      <c r="R64" s="37">
        <f>IFERROR(__xludf.DUMMYFUNCTION("""COMPUTED_VALUE"""),0.27879487750759924)</f>
        <v>0.2787948775</v>
      </c>
      <c r="S64" s="37">
        <f>IFERROR(__xludf.DUMMYFUNCTION("""COMPUTED_VALUE"""),0.3865600027033658)</f>
        <v>0.3865600027</v>
      </c>
      <c r="T64" s="37">
        <f>IFERROR(__xludf.DUMMYFUNCTION("""COMPUTED_VALUE"""),-0.5610907016272261)</f>
        <v>-0.5610907016</v>
      </c>
      <c r="U64" s="37">
        <f>IFERROR(__xludf.DUMMYFUNCTION("""COMPUTED_VALUE"""),-0.0011490467331491702)</f>
        <v>-0.001149046733</v>
      </c>
      <c r="V64" s="37">
        <f>IFERROR(__xludf.DUMMYFUNCTION("""COMPUTED_VALUE"""),-0.01646173928609459)</f>
        <v>-0.01646173929</v>
      </c>
      <c r="W64" s="37">
        <f>IFERROR(__xludf.DUMMYFUNCTION("""COMPUTED_VALUE"""),0.0)</f>
        <v>0</v>
      </c>
      <c r="X64" s="37">
        <f>IFERROR(__xludf.DUMMYFUNCTION("""COMPUTED_VALUE"""),0.0)</f>
        <v>0</v>
      </c>
      <c r="Y64" s="37">
        <f>IFERROR(__xludf.DUMMYFUNCTION("""COMPUTED_VALUE"""),0.3830725638791932)</f>
        <v>0.3830725639</v>
      </c>
      <c r="Z64" s="37">
        <f>IFERROR(__xludf.DUMMYFUNCTION("""COMPUTED_VALUE"""),0.0)</f>
        <v>0</v>
      </c>
      <c r="AA64" t="str">
        <f>IFERROR(__xludf.DUMMYFUNCTION("SUBSTITUTE(REGEXREPLACE(REGEXREPLACE(REGEXREPLACE(REGEXREPLACE(REGEXREPLACE(REGEXREPLACE(E64,"","",),IF(Projections!$U$3="""",""PG"",),),IF(Projections!$V$3="""",""SG"",),),IF(Projections!$W$3="""",""SF"",),),IF(Projections!$X$3="""",""PF"",),),IF(Project"&amp;"ions!$Y$3="""",""C"",),),""/"","""")"),"SF")</f>
        <v>SF</v>
      </c>
    </row>
    <row r="65">
      <c r="A65" s="29" t="str">
        <f>IF(Projections!$H$3,Draft!H3,"")</f>
        <v>Marcus Smart</v>
      </c>
      <c r="B65">
        <f>IFERROR(__xludf.DUMMYFUNCTION("""COMPUTED_VALUE"""),89.0)</f>
        <v>89</v>
      </c>
      <c r="C65" t="str">
        <f>IFERROR(__xludf.DUMMYFUNCTION("""COMPUTED_VALUE"""),"Jalen Brunson")</f>
        <v>Jalen Brunson</v>
      </c>
      <c r="D65">
        <f>IFERROR(__xludf.DUMMYFUNCTION("""COMPUTED_VALUE"""),80.0)</f>
        <v>80</v>
      </c>
      <c r="E65" t="str">
        <f>IFERROR(__xludf.DUMMYFUNCTION("""COMPUTED_VALUE"""),"PG/SG")</f>
        <v>PG/SG</v>
      </c>
      <c r="F65" s="37">
        <f>IFERROR(__xludf.DUMMYFUNCTION("""COMPUTED_VALUE"""),-1.501927304000539)</f>
        <v>-1.501927304</v>
      </c>
      <c r="G65" s="37">
        <f>IFERROR(__xludf.DUMMYFUNCTION("""COMPUTED_VALUE"""),0.2312339777988419)</f>
        <v>0.2312339778</v>
      </c>
      <c r="H65" s="37">
        <f>IFERROR(__xludf.DUMMYFUNCTION("""COMPUTED_VALUE"""),1.733161281799381)</f>
        <v>1.733161282</v>
      </c>
      <c r="I65" s="37">
        <f>IFERROR(__xludf.DUMMYFUNCTION("""COMPUTED_VALUE"""),17.6)</f>
        <v>17.6</v>
      </c>
      <c r="J65" s="37">
        <f>IFERROR(__xludf.DUMMYFUNCTION("""COMPUTED_VALUE"""),1.3)</f>
        <v>1.3</v>
      </c>
      <c r="K65" s="37">
        <f>IFERROR(__xludf.DUMMYFUNCTION("""COMPUTED_VALUE"""),3.6)</f>
        <v>3.6</v>
      </c>
      <c r="L65" s="37">
        <f>IFERROR(__xludf.DUMMYFUNCTION("""COMPUTED_VALUE"""),6.5)</f>
        <v>6.5</v>
      </c>
      <c r="M65" s="37">
        <f>IFERROR(__xludf.DUMMYFUNCTION("""COMPUTED_VALUE"""),0.9)</f>
        <v>0.9</v>
      </c>
      <c r="N65" s="37">
        <f>IFERROR(__xludf.DUMMYFUNCTION("""COMPUTED_VALUE"""),0.0)</f>
        <v>0</v>
      </c>
      <c r="O65" s="37">
        <f>IFERROR(__xludf.DUMMYFUNCTION("""COMPUTED_VALUE"""),47.58620689655172)</f>
        <v>47.5862069</v>
      </c>
      <c r="P65" s="37">
        <f>IFERROR(__xludf.DUMMYFUNCTION("""COMPUTED_VALUE"""),83.33333333333334)</f>
        <v>83.33333333</v>
      </c>
      <c r="Q65" s="37">
        <f>IFERROR(__xludf.DUMMYFUNCTION("""COMPUTED_VALUE"""),1.7)</f>
        <v>1.7</v>
      </c>
      <c r="R65" s="37">
        <f>IFERROR(__xludf.DUMMYFUNCTION("""COMPUTED_VALUE"""),0.17228093712649173)</f>
        <v>0.1722809371</v>
      </c>
      <c r="S65" s="37">
        <f>IFERROR(__xludf.DUMMYFUNCTION("""COMPUTED_VALUE"""),-0.31340889108068076)</f>
        <v>-0.3134088911</v>
      </c>
      <c r="T65" s="37">
        <f>IFERROR(__xludf.DUMMYFUNCTION("""COMPUTED_VALUE"""),-1.0101276449705001)</f>
        <v>-1.010127645</v>
      </c>
      <c r="U65" s="37">
        <f>IFERROR(__xludf.DUMMYFUNCTION("""COMPUTED_VALUE"""),1.5967919434997468)</f>
        <v>1.596791943</v>
      </c>
      <c r="V65" s="37">
        <f>IFERROR(__xludf.DUMMYFUNCTION("""COMPUTED_VALUE"""),-0.42526159822414)</f>
        <v>-0.4252615982</v>
      </c>
      <c r="W65" s="37">
        <f>IFERROR(__xludf.DUMMYFUNCTION("""COMPUTED_VALUE"""),0.0)</f>
        <v>0</v>
      </c>
      <c r="X65" s="37">
        <f>IFERROR(__xludf.DUMMYFUNCTION("""COMPUTED_VALUE"""),0.0)</f>
        <v>0</v>
      </c>
      <c r="Y65" s="37">
        <f>IFERROR(__xludf.DUMMYFUNCTION("""COMPUTED_VALUE"""),0.21095923144792414)</f>
        <v>0.2109592314</v>
      </c>
      <c r="Z65" s="37">
        <f>IFERROR(__xludf.DUMMYFUNCTION("""COMPUTED_VALUE"""),0.0)</f>
        <v>0</v>
      </c>
      <c r="AA65" t="str">
        <f>IFERROR(__xludf.DUMMYFUNCTION("SUBSTITUTE(REGEXREPLACE(REGEXREPLACE(REGEXREPLACE(REGEXREPLACE(REGEXREPLACE(REGEXREPLACE(E65,"","",),IF(Projections!$U$3="""",""PG"",),),IF(Projections!$V$3="""",""SG"",),),IF(Projections!$W$3="""",""SF"",),),IF(Projections!$X$3="""",""PF"",),),IF(Project"&amp;"ions!$Y$3="""",""C"",),),""/"","""")"),"PGSG")</f>
        <v>PGSG</v>
      </c>
    </row>
    <row r="66">
      <c r="A66" s="29" t="str">
        <f>IF(Projections!$H$3,Draft!H4,"")</f>
        <v>OG Anunoby</v>
      </c>
      <c r="B66">
        <f>IFERROR(__xludf.DUMMYFUNCTION("""COMPUTED_VALUE"""),34.0)</f>
        <v>34</v>
      </c>
      <c r="C66" t="str">
        <f>IFERROR(__xludf.DUMMYFUNCTION("""COMPUTED_VALUE"""),"Kristaps Porzingis")</f>
        <v>Kristaps Porzingis</v>
      </c>
      <c r="D66">
        <f>IFERROR(__xludf.DUMMYFUNCTION("""COMPUTED_VALUE"""),71.0)</f>
        <v>71</v>
      </c>
      <c r="E66" t="str">
        <f>IFERROR(__xludf.DUMMYFUNCTION("""COMPUTED_VALUE"""),"PF/C")</f>
        <v>PF/C</v>
      </c>
      <c r="F66" s="37">
        <f>IFERROR(__xludf.DUMMYFUNCTION("""COMPUTED_VALUE"""),2.118236257892003)</f>
        <v>2.118236258</v>
      </c>
      <c r="G66" s="37">
        <f>IFERROR(__xludf.DUMMYFUNCTION("""COMPUTED_VALUE"""),0.13798890820589904)</f>
        <v>0.1379889082</v>
      </c>
      <c r="H66" s="37">
        <f>IFERROR(__xludf.DUMMYFUNCTION("""COMPUTED_VALUE"""),-1.980247349686104)</f>
        <v>-1.98024735</v>
      </c>
      <c r="I66" s="37">
        <f>IFERROR(__xludf.DUMMYFUNCTION("""COMPUTED_VALUE"""),20.6)</f>
        <v>20.6</v>
      </c>
      <c r="J66" s="37">
        <f>IFERROR(__xludf.DUMMYFUNCTION("""COMPUTED_VALUE"""),1.6)</f>
        <v>1.6</v>
      </c>
      <c r="K66" s="37">
        <f>IFERROR(__xludf.DUMMYFUNCTION("""COMPUTED_VALUE"""),8.1)</f>
        <v>8.1</v>
      </c>
      <c r="L66" s="37">
        <f>IFERROR(__xludf.DUMMYFUNCTION("""COMPUTED_VALUE"""),1.8)</f>
        <v>1.8</v>
      </c>
      <c r="M66" s="37">
        <f>IFERROR(__xludf.DUMMYFUNCTION("""COMPUTED_VALUE"""),0.7)</f>
        <v>0.7</v>
      </c>
      <c r="N66" s="37">
        <f>IFERROR(__xludf.DUMMYFUNCTION("""COMPUTED_VALUE"""),1.5)</f>
        <v>1.5</v>
      </c>
      <c r="O66" s="37">
        <f>IFERROR(__xludf.DUMMYFUNCTION("""COMPUTED_VALUE"""),46.05263157894737)</f>
        <v>46.05263158</v>
      </c>
      <c r="P66" s="37">
        <f>IFERROR(__xludf.DUMMYFUNCTION("""COMPUTED_VALUE"""),86.20689655172414)</f>
        <v>86.20689655</v>
      </c>
      <c r="Q66" s="37">
        <f>IFERROR(__xludf.DUMMYFUNCTION("""COMPUTED_VALUE"""),1.7)</f>
        <v>1.7</v>
      </c>
      <c r="R66" s="37">
        <f>IFERROR(__xludf.DUMMYFUNCTION("""COMPUTED_VALUE"""),0.971135489984801)</f>
        <v>0.97113549</v>
      </c>
      <c r="S66" s="37">
        <f>IFERROR(__xludf.DUMMYFUNCTION("""COMPUTED_VALUE"""),-0.013422222316089305)</f>
        <v>-0.01342222232</v>
      </c>
      <c r="T66" s="37">
        <f>IFERROR(__xludf.DUMMYFUNCTION("""COMPUTED_VALUE"""),0.8268416687065298)</f>
        <v>0.8268416687</v>
      </c>
      <c r="U66" s="37">
        <f>IFERROR(__xludf.DUMMYFUNCTION("""COMPUTED_VALUE"""),-1.085466147248329)</f>
        <v>-1.085466147</v>
      </c>
      <c r="V66" s="37">
        <f>IFERROR(__xludf.DUMMYFUNCTION("""COMPUTED_VALUE"""),-1.2428613161002313)</f>
        <v>-1.242861316</v>
      </c>
      <c r="W66" s="37">
        <f>IFERROR(__xludf.DUMMYFUNCTION("""COMPUTED_VALUE"""),0.0)</f>
        <v>0</v>
      </c>
      <c r="X66" s="37">
        <f>IFERROR(__xludf.DUMMYFUNCTION("""COMPUTED_VALUE"""),0.0)</f>
        <v>0</v>
      </c>
      <c r="Y66" s="37">
        <f>IFERROR(__xludf.DUMMYFUNCTION("""COMPUTED_VALUE"""),0.681761435179218)</f>
        <v>0.6817614352</v>
      </c>
      <c r="Z66" s="37">
        <f>IFERROR(__xludf.DUMMYFUNCTION("""COMPUTED_VALUE"""),0.0)</f>
        <v>0</v>
      </c>
      <c r="AA66" t="str">
        <f>IFERROR(__xludf.DUMMYFUNCTION("SUBSTITUTE(REGEXREPLACE(REGEXREPLACE(REGEXREPLACE(REGEXREPLACE(REGEXREPLACE(REGEXREPLACE(E66,"","",),IF(Projections!$U$3="""",""PG"",),),IF(Projections!$V$3="""",""SG"",),),IF(Projections!$W$3="""",""SF"",),),IF(Projections!$X$3="""",""PF"",),),IF(Project"&amp;"ions!$Y$3="""",""C"",),),""/"","""")"),"PFC")</f>
        <v>PFC</v>
      </c>
    </row>
    <row r="67">
      <c r="A67" s="29" t="str">
        <f>IF(Projections!$H$3,Draft!H5,"")</f>
        <v>Gary Trent Jr.</v>
      </c>
      <c r="B67">
        <f>IFERROR(__xludf.DUMMYFUNCTION("""COMPUTED_VALUE"""),59.0)</f>
        <v>59</v>
      </c>
      <c r="C67" t="str">
        <f>IFERROR(__xludf.DUMMYFUNCTION("""COMPUTED_VALUE"""),"Scottie Barnes")</f>
        <v>Scottie Barnes</v>
      </c>
      <c r="D67">
        <f>IFERROR(__xludf.DUMMYFUNCTION("""COMPUTED_VALUE"""),60.0)</f>
        <v>60</v>
      </c>
      <c r="E67" t="str">
        <f>IFERROR(__xludf.DUMMYFUNCTION("""COMPUTED_VALUE"""),"SF/PF")</f>
        <v>SF/PF</v>
      </c>
      <c r="F67" s="37">
        <f>IFERROR(__xludf.DUMMYFUNCTION("""COMPUTED_VALUE"""),-0.20334946546679272)</f>
        <v>-0.2033494655</v>
      </c>
      <c r="G67" s="37">
        <f>IFERROR(__xludf.DUMMYFUNCTION("""COMPUTED_VALUE"""),0.061459529412961345)</f>
        <v>0.06145952941</v>
      </c>
      <c r="H67" s="37">
        <f>IFERROR(__xludf.DUMMYFUNCTION("""COMPUTED_VALUE"""),0.26480899487975407)</f>
        <v>0.2648089949</v>
      </c>
      <c r="I67" s="37">
        <f>IFERROR(__xludf.DUMMYFUNCTION("""COMPUTED_VALUE"""),16.8)</f>
        <v>16.8</v>
      </c>
      <c r="J67" s="37">
        <f>IFERROR(__xludf.DUMMYFUNCTION("""COMPUTED_VALUE"""),1.0)</f>
        <v>1</v>
      </c>
      <c r="K67" s="37">
        <f>IFERROR(__xludf.DUMMYFUNCTION("""COMPUTED_VALUE"""),7.7)</f>
        <v>7.7</v>
      </c>
      <c r="L67" s="37">
        <f>IFERROR(__xludf.DUMMYFUNCTION("""COMPUTED_VALUE"""),3.6)</f>
        <v>3.6</v>
      </c>
      <c r="M67" s="37">
        <f>IFERROR(__xludf.DUMMYFUNCTION("""COMPUTED_VALUE"""),1.1)</f>
        <v>1.1</v>
      </c>
      <c r="N67" s="37">
        <f>IFERROR(__xludf.DUMMYFUNCTION("""COMPUTED_VALUE"""),0.7)</f>
        <v>0.7</v>
      </c>
      <c r="O67" s="37">
        <f>IFERROR(__xludf.DUMMYFUNCTION("""COMPUTED_VALUE"""),49.27536231884058)</f>
        <v>49.27536232</v>
      </c>
      <c r="P67" s="37">
        <f>IFERROR(__xludf.DUMMYFUNCTION("""COMPUTED_VALUE"""),73.33333333333334)</f>
        <v>73.33333333</v>
      </c>
      <c r="Q67" s="37">
        <f>IFERROR(__xludf.DUMMYFUNCTION("""COMPUTED_VALUE"""),1.8)</f>
        <v>1.8</v>
      </c>
      <c r="R67" s="37">
        <f>IFERROR(__xludf.DUMMYFUNCTION("""COMPUTED_VALUE"""),-0.040746943635724286)</f>
        <v>-0.04074694364</v>
      </c>
      <c r="S67" s="37">
        <f>IFERROR(__xludf.DUMMYFUNCTION("""COMPUTED_VALUE"""),-0.6133955598452723)</f>
        <v>-0.6133955598</v>
      </c>
      <c r="T67" s="37">
        <f>IFERROR(__xludf.DUMMYFUNCTION("""COMPUTED_VALUE"""),0.663555507490794)</f>
        <v>0.6635555075</v>
      </c>
      <c r="U67" s="37">
        <f>IFERROR(__xludf.DUMMYFUNCTION("""COMPUTED_VALUE"""),-0.058218367812895515)</f>
        <v>-0.05821836781</v>
      </c>
      <c r="V67" s="37">
        <f>IFERROR(__xludf.DUMMYFUNCTION("""COMPUTED_VALUE"""),0.39233811965195126)</f>
        <v>0.3923381197</v>
      </c>
      <c r="W67" s="37">
        <f>IFERROR(__xludf.DUMMYFUNCTION("""COMPUTED_VALUE"""),0.0)</f>
        <v>0</v>
      </c>
      <c r="X67" s="37">
        <f>IFERROR(__xludf.DUMMYFUNCTION("""COMPUTED_VALUE"""),0.0)</f>
        <v>0</v>
      </c>
      <c r="Y67" s="37">
        <f>IFERROR(__xludf.DUMMYFUNCTION("""COMPUTED_VALUE"""),-0.2820732264358918)</f>
        <v>-0.2820732264</v>
      </c>
      <c r="Z67" s="37">
        <f>IFERROR(__xludf.DUMMYFUNCTION("""COMPUTED_VALUE"""),0.0)</f>
        <v>0</v>
      </c>
      <c r="AA67" t="str">
        <f>IFERROR(__xludf.DUMMYFUNCTION("SUBSTITUTE(REGEXREPLACE(REGEXREPLACE(REGEXREPLACE(REGEXREPLACE(REGEXREPLACE(REGEXREPLACE(E67,"","",),IF(Projections!$U$3="""",""PG"",),),IF(Projections!$V$3="""",""SG"",),),IF(Projections!$W$3="""",""SF"",),),IF(Projections!$X$3="""",""PF"",),),IF(Project"&amp;"ions!$Y$3="""",""C"",),),""/"","""")"),"SFPF")</f>
        <v>SFPF</v>
      </c>
    </row>
    <row r="68">
      <c r="A68" s="29" t="str">
        <f>IF(Projections!$H$3,Draft!H6,"")</f>
        <v>Jalen Brunson</v>
      </c>
      <c r="B68">
        <f>IFERROR(__xludf.DUMMYFUNCTION("""COMPUTED_VALUE"""),115.0)</f>
        <v>115</v>
      </c>
      <c r="C68" t="str">
        <f>IFERROR(__xludf.DUMMYFUNCTION("""COMPUTED_VALUE"""),"Collin Sexton")</f>
        <v>Collin Sexton</v>
      </c>
      <c r="D68">
        <f>IFERROR(__xludf.DUMMYFUNCTION("""COMPUTED_VALUE"""),69.0)</f>
        <v>69</v>
      </c>
      <c r="E68" t="str">
        <f>IFERROR(__xludf.DUMMYFUNCTION("""COMPUTED_VALUE"""),"PG/SF")</f>
        <v>PG/SF</v>
      </c>
      <c r="F68" s="37">
        <f>IFERROR(__xludf.DUMMYFUNCTION("""COMPUTED_VALUE"""),-2.221839469052877)</f>
        <v>-2.221839469</v>
      </c>
      <c r="G68" s="37">
        <f>IFERROR(__xludf.DUMMYFUNCTION("""COMPUTED_VALUE"""),0.05177868922670939)</f>
        <v>0.05177868923</v>
      </c>
      <c r="H68" s="37">
        <f>IFERROR(__xludf.DUMMYFUNCTION("""COMPUTED_VALUE"""),2.2736181582795867)</f>
        <v>2.273618158</v>
      </c>
      <c r="I68" s="37">
        <f>IFERROR(__xludf.DUMMYFUNCTION("""COMPUTED_VALUE"""),21.5)</f>
        <v>21.5</v>
      </c>
      <c r="J68" s="37">
        <f>IFERROR(__xludf.DUMMYFUNCTION("""COMPUTED_VALUE"""),1.3)</f>
        <v>1.3</v>
      </c>
      <c r="K68" s="37">
        <f>IFERROR(__xludf.DUMMYFUNCTION("""COMPUTED_VALUE"""),3.4)</f>
        <v>3.4</v>
      </c>
      <c r="L68" s="37">
        <f>IFERROR(__xludf.DUMMYFUNCTION("""COMPUTED_VALUE"""),4.1)</f>
        <v>4.1</v>
      </c>
      <c r="M68" s="37">
        <f>IFERROR(__xludf.DUMMYFUNCTION("""COMPUTED_VALUE"""),1.0)</f>
        <v>1</v>
      </c>
      <c r="N68" s="37">
        <f>IFERROR(__xludf.DUMMYFUNCTION("""COMPUTED_VALUE"""),0.1)</f>
        <v>0.1</v>
      </c>
      <c r="O68" s="37">
        <f>IFERROR(__xludf.DUMMYFUNCTION("""COMPUTED_VALUE"""),45.85635359116022)</f>
        <v>45.85635359</v>
      </c>
      <c r="P68" s="37">
        <f>IFERROR(__xludf.DUMMYFUNCTION("""COMPUTED_VALUE"""),79.54545454545455)</f>
        <v>79.54545455</v>
      </c>
      <c r="Q68" s="37">
        <f>IFERROR(__xludf.DUMMYFUNCTION("""COMPUTED_VALUE"""),2.8)</f>
        <v>2.8</v>
      </c>
      <c r="R68" s="37">
        <f>IFERROR(__xludf.DUMMYFUNCTION("""COMPUTED_VALUE"""),1.2107918558422934)</f>
        <v>1.210791856</v>
      </c>
      <c r="S68" s="37">
        <f>IFERROR(__xludf.DUMMYFUNCTION("""COMPUTED_VALUE"""),-0.31340889108068076)</f>
        <v>-0.3134088911</v>
      </c>
      <c r="T68" s="37">
        <f>IFERROR(__xludf.DUMMYFUNCTION("""COMPUTED_VALUE"""),-1.0917707255783682)</f>
        <v>-1.091770726</v>
      </c>
      <c r="U68" s="37">
        <f>IFERROR(__xludf.DUMMYFUNCTION("""COMPUTED_VALUE"""),0.22712823758583572)</f>
        <v>0.2271282376</v>
      </c>
      <c r="V68" s="37">
        <f>IFERROR(__xludf.DUMMYFUNCTION("""COMPUTED_VALUE"""),-0.01646173928609459)</f>
        <v>-0.01646173929</v>
      </c>
      <c r="W68" s="37">
        <f>IFERROR(__xludf.DUMMYFUNCTION("""COMPUTED_VALUE"""),0.0)</f>
        <v>0</v>
      </c>
      <c r="X68" s="37">
        <f>IFERROR(__xludf.DUMMYFUNCTION("""COMPUTED_VALUE"""),0.0)</f>
        <v>0</v>
      </c>
      <c r="Y68" s="37">
        <f>IFERROR(__xludf.DUMMYFUNCTION("""COMPUTED_VALUE"""),0.035499951743723716)</f>
        <v>0.03549995174</v>
      </c>
      <c r="Z68" s="37">
        <f>IFERROR(__xludf.DUMMYFUNCTION("""COMPUTED_VALUE"""),0.0)</f>
        <v>0</v>
      </c>
      <c r="AA68" t="str">
        <f>IFERROR(__xludf.DUMMYFUNCTION("SUBSTITUTE(REGEXREPLACE(REGEXREPLACE(REGEXREPLACE(REGEXREPLACE(REGEXREPLACE(REGEXREPLACE(E68,"","",),IF(Projections!$U$3="""",""PG"",),),IF(Projections!$V$3="""",""SG"",),),IF(Projections!$W$3="""",""SF"",),),IF(Projections!$X$3="""",""PF"",),),IF(Project"&amp;"ions!$Y$3="""",""C"",),),""/"","""")"),"PGSF")</f>
        <v>PGSF</v>
      </c>
    </row>
    <row r="69">
      <c r="A69" s="29" t="str">
        <f>IF(Projections!$H$3,Draft!H7,"")</f>
        <v>Wendell Carter Jr.</v>
      </c>
      <c r="B69">
        <f>IFERROR(__xludf.DUMMYFUNCTION("""COMPUTED_VALUE"""),107.0)</f>
        <v>107</v>
      </c>
      <c r="C69" t="str">
        <f>IFERROR(__xludf.DUMMYFUNCTION("""COMPUTED_VALUE"""),"Jalen Green")</f>
        <v>Jalen Green</v>
      </c>
      <c r="D69">
        <f>IFERROR(__xludf.DUMMYFUNCTION("""COMPUTED_VALUE"""),76.0)</f>
        <v>76</v>
      </c>
      <c r="E69" t="str">
        <f>IFERROR(__xludf.DUMMYFUNCTION("""COMPUTED_VALUE"""),"SG")</f>
        <v>SG</v>
      </c>
      <c r="F69" s="37">
        <f>IFERROR(__xludf.DUMMYFUNCTION("""COMPUTED_VALUE"""),-2.004358421837295)</f>
        <v>-2.004358422</v>
      </c>
      <c r="G69" s="37">
        <f>IFERROR(__xludf.DUMMYFUNCTION("""COMPUTED_VALUE"""),-0.01607458782819559)</f>
        <v>-0.01607458783</v>
      </c>
      <c r="H69" s="37">
        <f>IFERROR(__xludf.DUMMYFUNCTION("""COMPUTED_VALUE"""),1.9882838340090996)</f>
        <v>1.988283834</v>
      </c>
      <c r="I69" s="37">
        <f>IFERROR(__xludf.DUMMYFUNCTION("""COMPUTED_VALUE"""),20.9)</f>
        <v>20.9</v>
      </c>
      <c r="J69" s="37">
        <f>IFERROR(__xludf.DUMMYFUNCTION("""COMPUTED_VALUE"""),2.7)</f>
        <v>2.7</v>
      </c>
      <c r="K69" s="37">
        <f>IFERROR(__xludf.DUMMYFUNCTION("""COMPUTED_VALUE"""),3.7)</f>
        <v>3.7</v>
      </c>
      <c r="L69" s="37">
        <f>IFERROR(__xludf.DUMMYFUNCTION("""COMPUTED_VALUE"""),3.1)</f>
        <v>3.1</v>
      </c>
      <c r="M69" s="37">
        <f>IFERROR(__xludf.DUMMYFUNCTION("""COMPUTED_VALUE"""),0.8)</f>
        <v>0.8</v>
      </c>
      <c r="N69" s="37">
        <f>IFERROR(__xludf.DUMMYFUNCTION("""COMPUTED_VALUE"""),0.3)</f>
        <v>0.3</v>
      </c>
      <c r="O69" s="37">
        <f>IFERROR(__xludf.DUMMYFUNCTION("""COMPUTED_VALUE"""),43.67816091954023)</f>
        <v>43.67816092</v>
      </c>
      <c r="P69" s="37">
        <f>IFERROR(__xludf.DUMMYFUNCTION("""COMPUTED_VALUE"""),78.94736842105263)</f>
        <v>78.94736842</v>
      </c>
      <c r="Q69" s="37">
        <f>IFERROR(__xludf.DUMMYFUNCTION("""COMPUTED_VALUE"""),2.2)</f>
        <v>2.2</v>
      </c>
      <c r="R69" s="37">
        <f>IFERROR(__xludf.DUMMYFUNCTION("""COMPUTED_VALUE"""),1.0510209452706312)</f>
        <v>1.051020945</v>
      </c>
      <c r="S69" s="37">
        <f>IFERROR(__xludf.DUMMYFUNCTION("""COMPUTED_VALUE"""),1.0865288964874127)</f>
        <v>1.086528896</v>
      </c>
      <c r="T69" s="37">
        <f>IFERROR(__xludf.DUMMYFUNCTION("""COMPUTED_VALUE"""),-0.9693061046665661)</f>
        <v>-0.9693061047</v>
      </c>
      <c r="U69" s="37">
        <f>IFERROR(__xludf.DUMMYFUNCTION("""COMPUTED_VALUE"""),-0.343564973211627)</f>
        <v>-0.3435649732</v>
      </c>
      <c r="V69" s="37">
        <f>IFERROR(__xludf.DUMMYFUNCTION("""COMPUTED_VALUE"""),-0.8340614571621854)</f>
        <v>-0.8340614572</v>
      </c>
      <c r="W69" s="37">
        <f>IFERROR(__xludf.DUMMYFUNCTION("""COMPUTED_VALUE"""),0.0)</f>
        <v>0</v>
      </c>
      <c r="X69" s="37">
        <f>IFERROR(__xludf.DUMMYFUNCTION("""COMPUTED_VALUE"""),0.0)</f>
        <v>0</v>
      </c>
      <c r="Y69" s="37">
        <f>IFERROR(__xludf.DUMMYFUNCTION("""COMPUTED_VALUE"""),-0.006691894545860713)</f>
        <v>-0.006691894546</v>
      </c>
      <c r="Z69" s="37">
        <f>IFERROR(__xludf.DUMMYFUNCTION("""COMPUTED_VALUE"""),0.0)</f>
        <v>0</v>
      </c>
      <c r="AA69" t="str">
        <f>IFERROR(__xludf.DUMMYFUNCTION("SUBSTITUTE(REGEXREPLACE(REGEXREPLACE(REGEXREPLACE(REGEXREPLACE(REGEXREPLACE(REGEXREPLACE(E69,"","",),IF(Projections!$U$3="""",""PG"",),),IF(Projections!$V$3="""",""SG"",),),IF(Projections!$W$3="""",""SF"",),),IF(Projections!$X$3="""",""PF"",),),IF(Project"&amp;"ions!$Y$3="""",""C"",),),""/"","""")"),"SG")</f>
        <v>SG</v>
      </c>
    </row>
    <row r="70">
      <c r="A70" s="29" t="str">
        <f>IF(Projections!$H$3,Draft!H8,"")</f>
        <v>Jordan Poole</v>
      </c>
      <c r="B70">
        <f>IFERROR(__xludf.DUMMYFUNCTION("""COMPUTED_VALUE"""),76.0)</f>
        <v>76</v>
      </c>
      <c r="C70" t="str">
        <f>IFERROR(__xludf.DUMMYFUNCTION("""COMPUTED_VALUE"""),"Lonzo Ball")</f>
        <v>Lonzo Ball</v>
      </c>
      <c r="D70">
        <f>IFERROR(__xludf.DUMMYFUNCTION("""COMPUTED_VALUE"""),66.0)</f>
        <v>66</v>
      </c>
      <c r="E70" t="str">
        <f>IFERROR(__xludf.DUMMYFUNCTION("""COMPUTED_VALUE"""),"PG")</f>
        <v>PG</v>
      </c>
      <c r="F70" s="37">
        <f>IFERROR(__xludf.DUMMYFUNCTION("""COMPUTED_VALUE"""),-0.8495294929194547)</f>
        <v>-0.8495294929</v>
      </c>
      <c r="G70" s="37">
        <f>IFERROR(__xludf.DUMMYFUNCTION("""COMPUTED_VALUE"""),-0.038425265583858725)</f>
        <v>-0.03842526558</v>
      </c>
      <c r="H70" s="37">
        <f>IFERROR(__xludf.DUMMYFUNCTION("""COMPUTED_VALUE"""),0.811104227335596)</f>
        <v>0.8111042273</v>
      </c>
      <c r="I70" s="37">
        <f>IFERROR(__xludf.DUMMYFUNCTION("""COMPUTED_VALUE"""),10.3)</f>
        <v>10.3</v>
      </c>
      <c r="J70" s="37">
        <f>IFERROR(__xludf.DUMMYFUNCTION("""COMPUTED_VALUE"""),2.3)</f>
        <v>2.3</v>
      </c>
      <c r="K70" s="37">
        <f>IFERROR(__xludf.DUMMYFUNCTION("""COMPUTED_VALUE"""),4.4)</f>
        <v>4.4</v>
      </c>
      <c r="L70" s="37">
        <f>IFERROR(__xludf.DUMMYFUNCTION("""COMPUTED_VALUE"""),4.6)</f>
        <v>4.6</v>
      </c>
      <c r="M70" s="37">
        <f>IFERROR(__xludf.DUMMYFUNCTION("""COMPUTED_VALUE"""),1.3)</f>
        <v>1.3</v>
      </c>
      <c r="N70" s="37">
        <f>IFERROR(__xludf.DUMMYFUNCTION("""COMPUTED_VALUE"""),0.6)</f>
        <v>0.6</v>
      </c>
      <c r="O70" s="37">
        <f>IFERROR(__xludf.DUMMYFUNCTION("""COMPUTED_VALUE"""),40.86021505376344)</f>
        <v>40.86021505</v>
      </c>
      <c r="P70" s="37">
        <f>IFERROR(__xludf.DUMMYFUNCTION("""COMPUTED_VALUE"""),80.0)</f>
        <v>80</v>
      </c>
      <c r="Q70" s="37">
        <f>IFERROR(__xludf.DUMMYFUNCTION("""COMPUTED_VALUE"""),2.1)</f>
        <v>2.1</v>
      </c>
      <c r="R70" s="37">
        <f>IFERROR(__xludf.DUMMYFUNCTION("""COMPUTED_VALUE"""),-1.771598474828728)</f>
        <v>-1.771598475</v>
      </c>
      <c r="S70" s="37">
        <f>IFERROR(__xludf.DUMMYFUNCTION("""COMPUTED_VALUE"""),0.6865466714679571)</f>
        <v>0.6865466715</v>
      </c>
      <c r="T70" s="37">
        <f>IFERROR(__xludf.DUMMYFUNCTION("""COMPUTED_VALUE"""),-0.683555322539028)</f>
        <v>-0.6835553225</v>
      </c>
      <c r="U70" s="37">
        <f>IFERROR(__xludf.DUMMYFUNCTION("""COMPUTED_VALUE"""),0.5124748429845672)</f>
        <v>0.512474843</v>
      </c>
      <c r="V70" s="37">
        <f>IFERROR(__xludf.DUMMYFUNCTION("""COMPUTED_VALUE"""),1.209937837528042)</f>
        <v>1.209937838</v>
      </c>
      <c r="W70" s="37">
        <f>IFERROR(__xludf.DUMMYFUNCTION("""COMPUTED_VALUE"""),0.0)</f>
        <v>0</v>
      </c>
      <c r="X70" s="37">
        <f>IFERROR(__xludf.DUMMYFUNCTION("""COMPUTED_VALUE"""),0.0)</f>
        <v>0</v>
      </c>
      <c r="Y70" s="37">
        <f>IFERROR(__xludf.DUMMYFUNCTION("""COMPUTED_VALUE"""),0.007769179803330916)</f>
        <v>0.007769179803</v>
      </c>
      <c r="Z70" s="37">
        <f>IFERROR(__xludf.DUMMYFUNCTION("""COMPUTED_VALUE"""),0.0)</f>
        <v>0</v>
      </c>
      <c r="AA70" t="str">
        <f>IFERROR(__xludf.DUMMYFUNCTION("SUBSTITUTE(REGEXREPLACE(REGEXREPLACE(REGEXREPLACE(REGEXREPLACE(REGEXREPLACE(REGEXREPLACE(E70,"","",),IF(Projections!$U$3="""",""PG"",),),IF(Projections!$V$3="""",""SG"",),),IF(Projections!$W$3="""",""SF"",),),IF(Projections!$X$3="""",""PF"",),),IF(Project"&amp;"ions!$Y$3="""",""C"",),),""/"","""")"),"PG")</f>
        <v>PG</v>
      </c>
    </row>
    <row r="71">
      <c r="A71" s="29" t="str">
        <f>IF(Projections!$H$3,Draft!H9,"")</f>
        <v>D'Angelo Russell</v>
      </c>
      <c r="B71">
        <f>IFERROR(__xludf.DUMMYFUNCTION("""COMPUTED_VALUE"""),91.0)</f>
        <v>91</v>
      </c>
      <c r="C71" t="str">
        <f>IFERROR(__xludf.DUMMYFUNCTION("""COMPUTED_VALUE"""),"Buddy Hield")</f>
        <v>Buddy Hield</v>
      </c>
      <c r="D71">
        <f>IFERROR(__xludf.DUMMYFUNCTION("""COMPUTED_VALUE"""),70.0)</f>
        <v>70</v>
      </c>
      <c r="E71" t="str">
        <f>IFERROR(__xludf.DUMMYFUNCTION("""COMPUTED_VALUE"""),"SG/SF")</f>
        <v>SG/SF</v>
      </c>
      <c r="F71" s="37">
        <f>IFERROR(__xludf.DUMMYFUNCTION("""COMPUTED_VALUE"""),-1.569686360662506)</f>
        <v>-1.569686361</v>
      </c>
      <c r="G71" s="37">
        <f>IFERROR(__xludf.DUMMYFUNCTION("""COMPUTED_VALUE"""),-0.16286215582054558)</f>
        <v>-0.1628621558</v>
      </c>
      <c r="H71" s="37">
        <f>IFERROR(__xludf.DUMMYFUNCTION("""COMPUTED_VALUE"""),1.4068242048419604)</f>
        <v>1.406824205</v>
      </c>
      <c r="I71" s="37">
        <f>IFERROR(__xludf.DUMMYFUNCTION("""COMPUTED_VALUE"""),15.8)</f>
        <v>15.8</v>
      </c>
      <c r="J71" s="37">
        <f>IFERROR(__xludf.DUMMYFUNCTION("""COMPUTED_VALUE"""),3.2)</f>
        <v>3.2</v>
      </c>
      <c r="K71" s="37">
        <f>IFERROR(__xludf.DUMMYFUNCTION("""COMPUTED_VALUE"""),4.3)</f>
        <v>4.3</v>
      </c>
      <c r="L71" s="37">
        <f>IFERROR(__xludf.DUMMYFUNCTION("""COMPUTED_VALUE"""),2.8)</f>
        <v>2.8</v>
      </c>
      <c r="M71" s="37">
        <f>IFERROR(__xludf.DUMMYFUNCTION("""COMPUTED_VALUE"""),0.9)</f>
        <v>0.9</v>
      </c>
      <c r="N71" s="37">
        <f>IFERROR(__xludf.DUMMYFUNCTION("""COMPUTED_VALUE"""),0.3)</f>
        <v>0.3</v>
      </c>
      <c r="O71" s="37">
        <f>IFERROR(__xludf.DUMMYFUNCTION("""COMPUTED_VALUE"""),41.7910447761194)</f>
        <v>41.79104478</v>
      </c>
      <c r="P71" s="37">
        <f>IFERROR(__xludf.DUMMYFUNCTION("""COMPUTED_VALUE"""),87.49999999999999)</f>
        <v>87.5</v>
      </c>
      <c r="Q71" s="37">
        <f>IFERROR(__xludf.DUMMYFUNCTION("""COMPUTED_VALUE"""),1.9)</f>
        <v>1.9</v>
      </c>
      <c r="R71" s="37">
        <f>IFERROR(__xludf.DUMMYFUNCTION("""COMPUTED_VALUE"""),-0.30703179458849406)</f>
        <v>-0.3070317946</v>
      </c>
      <c r="S71" s="37">
        <f>IFERROR(__xludf.DUMMYFUNCTION("""COMPUTED_VALUE"""),1.5865066777617318)</f>
        <v>1.586506678</v>
      </c>
      <c r="T71" s="37">
        <f>IFERROR(__xludf.DUMMYFUNCTION("""COMPUTED_VALUE"""),-0.7243768628429622)</f>
        <v>-0.7243768628</v>
      </c>
      <c r="U71" s="37">
        <f>IFERROR(__xludf.DUMMYFUNCTION("""COMPUTED_VALUE"""),-0.514772936450866)</f>
        <v>-0.5147729365</v>
      </c>
      <c r="V71" s="37">
        <f>IFERROR(__xludf.DUMMYFUNCTION("""COMPUTED_VALUE"""),-0.42526159822414)</f>
        <v>-0.4252615982</v>
      </c>
      <c r="W71" s="37">
        <f>IFERROR(__xludf.DUMMYFUNCTION("""COMPUTED_VALUE"""),0.0)</f>
        <v>0</v>
      </c>
      <c r="X71" s="37">
        <f>IFERROR(__xludf.DUMMYFUNCTION("""COMPUTED_VALUE"""),0.0)</f>
        <v>0</v>
      </c>
      <c r="Y71" s="37">
        <f>IFERROR(__xludf.DUMMYFUNCTION("""COMPUTED_VALUE"""),0.22207435852418494)</f>
        <v>0.2220743585</v>
      </c>
      <c r="Z71" s="37">
        <f>IFERROR(__xludf.DUMMYFUNCTION("""COMPUTED_VALUE"""),0.0)</f>
        <v>0</v>
      </c>
      <c r="AA71" t="str">
        <f>IFERROR(__xludf.DUMMYFUNCTION("SUBSTITUTE(REGEXREPLACE(REGEXREPLACE(REGEXREPLACE(REGEXREPLACE(REGEXREPLACE(REGEXREPLACE(E71,"","",),IF(Projections!$U$3="""",""PG"",),),IF(Projections!$V$3="""",""SG"",),),IF(Projections!$W$3="""",""SF"",),),IF(Projections!$X$3="""",""PF"",),),IF(Project"&amp;"ions!$Y$3="""",""C"",),),""/"","""")"),"SGSF")</f>
        <v>SGSF</v>
      </c>
    </row>
    <row r="72">
      <c r="A72" s="29" t="str">
        <f>IF(Projections!$H$3,Draft!H10,"")</f>
        <v>CJ McCollum</v>
      </c>
      <c r="B72">
        <f>IFERROR(__xludf.DUMMYFUNCTION("""COMPUTED_VALUE"""),72.0)</f>
        <v>72</v>
      </c>
      <c r="C72" t="str">
        <f>IFERROR(__xludf.DUMMYFUNCTION("""COMPUTED_VALUE"""),"Tyrese Maxey")</f>
        <v>Tyrese Maxey</v>
      </c>
      <c r="D72">
        <f>IFERROR(__xludf.DUMMYFUNCTION("""COMPUTED_VALUE"""),76.0)</f>
        <v>76</v>
      </c>
      <c r="E72" t="str">
        <f>IFERROR(__xludf.DUMMYFUNCTION("""COMPUTED_VALUE"""),"PG/SF")</f>
        <v>PG/SF</v>
      </c>
      <c r="F72" s="37">
        <f>IFERROR(__xludf.DUMMYFUNCTION("""COMPUTED_VALUE"""),-0.7469692500792157)</f>
        <v>-0.7469692501</v>
      </c>
      <c r="G72" s="37">
        <f>IFERROR(__xludf.DUMMYFUNCTION("""COMPUTED_VALUE"""),-0.18573308761552804)</f>
        <v>-0.1857330876</v>
      </c>
      <c r="H72" s="37">
        <f>IFERROR(__xludf.DUMMYFUNCTION("""COMPUTED_VALUE"""),0.5612361624636877)</f>
        <v>0.5612361625</v>
      </c>
      <c r="I72" s="37">
        <f>IFERROR(__xludf.DUMMYFUNCTION("""COMPUTED_VALUE"""),18.6)</f>
        <v>18.6</v>
      </c>
      <c r="J72" s="37">
        <f>IFERROR(__xludf.DUMMYFUNCTION("""COMPUTED_VALUE"""),1.8)</f>
        <v>1.8</v>
      </c>
      <c r="K72" s="37">
        <f>IFERROR(__xludf.DUMMYFUNCTION("""COMPUTED_VALUE"""),3.3)</f>
        <v>3.3</v>
      </c>
      <c r="L72" s="37">
        <f>IFERROR(__xludf.DUMMYFUNCTION("""COMPUTED_VALUE"""),4.4)</f>
        <v>4.4</v>
      </c>
      <c r="M72" s="37">
        <f>IFERROR(__xludf.DUMMYFUNCTION("""COMPUTED_VALUE"""),0.9)</f>
        <v>0.9</v>
      </c>
      <c r="N72" s="37">
        <f>IFERROR(__xludf.DUMMYFUNCTION("""COMPUTED_VALUE"""),0.4)</f>
        <v>0.4</v>
      </c>
      <c r="O72" s="37">
        <f>IFERROR(__xludf.DUMMYFUNCTION("""COMPUTED_VALUE"""),47.945205479452056)</f>
        <v>47.94520548</v>
      </c>
      <c r="P72" s="37">
        <f>IFERROR(__xludf.DUMMYFUNCTION("""COMPUTED_VALUE"""),85.29411764705883)</f>
        <v>85.29411765</v>
      </c>
      <c r="Q72" s="37">
        <f>IFERROR(__xludf.DUMMYFUNCTION("""COMPUTED_VALUE"""),1.2)</f>
        <v>1.2</v>
      </c>
      <c r="R72" s="37">
        <f>IFERROR(__xludf.DUMMYFUNCTION("""COMPUTED_VALUE"""),0.4385657880792615)</f>
        <v>0.4385657881</v>
      </c>
      <c r="S72" s="37">
        <f>IFERROR(__xludf.DUMMYFUNCTION("""COMPUTED_VALUE"""),0.18656889019363826)</f>
        <v>0.1865688902</v>
      </c>
      <c r="T72" s="37">
        <f>IFERROR(__xludf.DUMMYFUNCTION("""COMPUTED_VALUE"""),-1.1325922658823022)</f>
        <v>-1.132592266</v>
      </c>
      <c r="U72" s="37">
        <f>IFERROR(__xludf.DUMMYFUNCTION("""COMPUTED_VALUE"""),0.39833620082507504)</f>
        <v>0.3983362008</v>
      </c>
      <c r="V72" s="37">
        <f>IFERROR(__xludf.DUMMYFUNCTION("""COMPUTED_VALUE"""),-0.42526159822414)</f>
        <v>-0.4252615982</v>
      </c>
      <c r="W72" s="37">
        <f>IFERROR(__xludf.DUMMYFUNCTION("""COMPUTED_VALUE"""),0.0)</f>
        <v>0</v>
      </c>
      <c r="X72" s="37">
        <f>IFERROR(__xludf.DUMMYFUNCTION("""COMPUTED_VALUE"""),0.0)</f>
        <v>0</v>
      </c>
      <c r="Y72" s="37">
        <f>IFERROR(__xludf.DUMMYFUNCTION("""COMPUTED_VALUE"""),0.34864989739293945)</f>
        <v>0.3486498974</v>
      </c>
      <c r="Z72" s="37">
        <f>IFERROR(__xludf.DUMMYFUNCTION("""COMPUTED_VALUE"""),0.0)</f>
        <v>0</v>
      </c>
      <c r="AA72" t="str">
        <f>IFERROR(__xludf.DUMMYFUNCTION("SUBSTITUTE(REGEXREPLACE(REGEXREPLACE(REGEXREPLACE(REGEXREPLACE(REGEXREPLACE(REGEXREPLACE(E72,"","",),IF(Projections!$U$3="""",""PG"",),),IF(Projections!$V$3="""",""SG"",),),IF(Projections!$W$3="""",""SF"",),),IF(Projections!$X$3="""",""PF"",),),IF(Project"&amp;"ions!$Y$3="""",""C"",),),""/"","""")"),"PGSF")</f>
        <v>PGSF</v>
      </c>
    </row>
    <row r="73">
      <c r="A73" s="29" t="str">
        <f>IF(Projections!$H$3,Draft!H11,"")</f>
        <v>Brandon Ingram</v>
      </c>
      <c r="B73">
        <f>IFERROR(__xludf.DUMMYFUNCTION("""COMPUTED_VALUE"""),93.0)</f>
        <v>93</v>
      </c>
      <c r="C73" t="str">
        <f>IFERROR(__xludf.DUMMYFUNCTION("""COMPUTED_VALUE"""),"Mike Conley")</f>
        <v>Mike Conley</v>
      </c>
      <c r="D73">
        <f>IFERROR(__xludf.DUMMYFUNCTION("""COMPUTED_VALUE"""),50.0)</f>
        <v>50</v>
      </c>
      <c r="E73" t="str">
        <f>IFERROR(__xludf.DUMMYFUNCTION("""COMPUTED_VALUE"""),"PG")</f>
        <v>PG</v>
      </c>
      <c r="F73" s="37">
        <f>IFERROR(__xludf.DUMMYFUNCTION("""COMPUTED_VALUE"""),-1.6256430788500753)</f>
        <v>-1.625643079</v>
      </c>
      <c r="G73" s="37">
        <f>IFERROR(__xludf.DUMMYFUNCTION("""COMPUTED_VALUE"""),-0.28559518356173863)</f>
        <v>-0.2855951836</v>
      </c>
      <c r="H73" s="37">
        <f>IFERROR(__xludf.DUMMYFUNCTION("""COMPUTED_VALUE"""),1.3400478952883366)</f>
        <v>1.340047895</v>
      </c>
      <c r="I73" s="37">
        <f>IFERROR(__xludf.DUMMYFUNCTION("""COMPUTED_VALUE"""),13.3)</f>
        <v>13.3</v>
      </c>
      <c r="J73" s="37">
        <f>IFERROR(__xludf.DUMMYFUNCTION("""COMPUTED_VALUE"""),2.3)</f>
        <v>2.3</v>
      </c>
      <c r="K73" s="37">
        <f>IFERROR(__xludf.DUMMYFUNCTION("""COMPUTED_VALUE"""),3.0)</f>
        <v>3</v>
      </c>
      <c r="L73" s="37">
        <f>IFERROR(__xludf.DUMMYFUNCTION("""COMPUTED_VALUE"""),5.1)</f>
        <v>5.1</v>
      </c>
      <c r="M73" s="37">
        <f>IFERROR(__xludf.DUMMYFUNCTION("""COMPUTED_VALUE"""),1.1)</f>
        <v>1.1</v>
      </c>
      <c r="N73" s="37">
        <f>IFERROR(__xludf.DUMMYFUNCTION("""COMPUTED_VALUE"""),0.3)</f>
        <v>0.3</v>
      </c>
      <c r="O73" s="37">
        <f>IFERROR(__xludf.DUMMYFUNCTION("""COMPUTED_VALUE"""),43.39622641509433)</f>
        <v>43.39622642</v>
      </c>
      <c r="P73" s="37">
        <f>IFERROR(__xludf.DUMMYFUNCTION("""COMPUTED_VALUE"""),80.95238095238095)</f>
        <v>80.95238095</v>
      </c>
      <c r="Q73" s="37">
        <f>IFERROR(__xludf.DUMMYFUNCTION("""COMPUTED_VALUE"""),1.6)</f>
        <v>1.6</v>
      </c>
      <c r="R73" s="37">
        <f>IFERROR(__xludf.DUMMYFUNCTION("""COMPUTED_VALUE"""),-0.9727439219704185)</f>
        <v>-0.972743922</v>
      </c>
      <c r="S73" s="37">
        <f>IFERROR(__xludf.DUMMYFUNCTION("""COMPUTED_VALUE"""),0.6865466714679571)</f>
        <v>0.6865466715</v>
      </c>
      <c r="T73" s="37">
        <f>IFERROR(__xludf.DUMMYFUNCTION("""COMPUTED_VALUE"""),-1.255056886794104)</f>
        <v>-1.255056887</v>
      </c>
      <c r="U73" s="37">
        <f>IFERROR(__xludf.DUMMYFUNCTION("""COMPUTED_VALUE"""),0.7978214483832986)</f>
        <v>0.7978214484</v>
      </c>
      <c r="V73" s="37">
        <f>IFERROR(__xludf.DUMMYFUNCTION("""COMPUTED_VALUE"""),0.39233811965195126)</f>
        <v>0.3923381197</v>
      </c>
      <c r="W73" s="37">
        <f>IFERROR(__xludf.DUMMYFUNCTION("""COMPUTED_VALUE"""),0.0)</f>
        <v>0</v>
      </c>
      <c r="X73" s="37">
        <f>IFERROR(__xludf.DUMMYFUNCTION("""COMPUTED_VALUE"""),0.0)</f>
        <v>0</v>
      </c>
      <c r="Y73" s="37">
        <f>IFERROR(__xludf.DUMMYFUNCTION("""COMPUTED_VALUE"""),0.0654993856995771)</f>
        <v>0.0654993857</v>
      </c>
      <c r="Z73" s="37">
        <f>IFERROR(__xludf.DUMMYFUNCTION("""COMPUTED_VALUE"""),0.0)</f>
        <v>0</v>
      </c>
      <c r="AA73" t="str">
        <f>IFERROR(__xludf.DUMMYFUNCTION("SUBSTITUTE(REGEXREPLACE(REGEXREPLACE(REGEXREPLACE(REGEXREPLACE(REGEXREPLACE(REGEXREPLACE(E73,"","",),IF(Projections!$U$3="""",""PG"",),),IF(Projections!$V$3="""",""SG"",),),IF(Projections!$W$3="""",""SF"",),),IF(Projections!$X$3="""",""PF"",),),IF(Project"&amp;"ions!$Y$3="""",""C"",),),""/"","""")"),"PG")</f>
        <v>PG</v>
      </c>
    </row>
    <row r="74">
      <c r="A74" s="29" t="str">
        <f>IF(Projections!$H$3,Draft!H12,"")</f>
        <v>Devin Vassell</v>
      </c>
      <c r="B74">
        <f>IFERROR(__xludf.DUMMYFUNCTION("""COMPUTED_VALUE"""),67.0)</f>
        <v>67</v>
      </c>
      <c r="C74" t="str">
        <f>IFERROR(__xludf.DUMMYFUNCTION("""COMPUTED_VALUE"""),"Devin Vassell")</f>
        <v>Devin Vassell</v>
      </c>
      <c r="D74">
        <f>IFERROR(__xludf.DUMMYFUNCTION("""COMPUTED_VALUE"""),64.0)</f>
        <v>64</v>
      </c>
      <c r="E74" t="str">
        <f>IFERROR(__xludf.DUMMYFUNCTION("""COMPUTED_VALUE"""),"SG/SF")</f>
        <v>SG/SF</v>
      </c>
      <c r="F74" s="37">
        <f>IFERROR(__xludf.DUMMYFUNCTION("""COMPUTED_VALUE"""),-0.521626756239168)</f>
        <v>-0.5216267562</v>
      </c>
      <c r="G74" s="37">
        <f>IFERROR(__xludf.DUMMYFUNCTION("""COMPUTED_VALUE"""),-0.28774450268453927)</f>
        <v>-0.2877445027</v>
      </c>
      <c r="H74" s="37">
        <f>IFERROR(__xludf.DUMMYFUNCTION("""COMPUTED_VALUE"""),0.23388225355462872)</f>
        <v>0.2338822536</v>
      </c>
      <c r="I74" s="37">
        <f>IFERROR(__xludf.DUMMYFUNCTION("""COMPUTED_VALUE"""),15.8)</f>
        <v>15.8</v>
      </c>
      <c r="J74" s="37">
        <f>IFERROR(__xludf.DUMMYFUNCTION("""COMPUTED_VALUE"""),2.2)</f>
        <v>2.2</v>
      </c>
      <c r="K74" s="37">
        <f>IFERROR(__xludf.DUMMYFUNCTION("""COMPUTED_VALUE"""),5.0)</f>
        <v>5</v>
      </c>
      <c r="L74" s="37">
        <f>IFERROR(__xludf.DUMMYFUNCTION("""COMPUTED_VALUE"""),2.4)</f>
        <v>2.4</v>
      </c>
      <c r="M74" s="37">
        <f>IFERROR(__xludf.DUMMYFUNCTION("""COMPUTED_VALUE"""),1.1)</f>
        <v>1.1</v>
      </c>
      <c r="N74" s="37">
        <f>IFERROR(__xludf.DUMMYFUNCTION("""COMPUTED_VALUE"""),0.7)</f>
        <v>0.7</v>
      </c>
      <c r="O74" s="37">
        <f>IFERROR(__xludf.DUMMYFUNCTION("""COMPUTED_VALUE"""),44.85294117647059)</f>
        <v>44.85294118</v>
      </c>
      <c r="P74" s="37">
        <f>IFERROR(__xludf.DUMMYFUNCTION("""COMPUTED_VALUE"""),87.49999999999999)</f>
        <v>87.5</v>
      </c>
      <c r="Q74" s="37">
        <f>IFERROR(__xludf.DUMMYFUNCTION("""COMPUTED_VALUE"""),0.9)</f>
        <v>0.9</v>
      </c>
      <c r="R74" s="37">
        <f>IFERROR(__xludf.DUMMYFUNCTION("""COMPUTED_VALUE"""),-0.30703179458849406)</f>
        <v>-0.3070317946</v>
      </c>
      <c r="S74" s="37">
        <f>IFERROR(__xludf.DUMMYFUNCTION("""COMPUTED_VALUE"""),0.5865511152130937)</f>
        <v>0.5865511152</v>
      </c>
      <c r="T74" s="37">
        <f>IFERROR(__xludf.DUMMYFUNCTION("""COMPUTED_VALUE"""),-0.43862608071542414)</f>
        <v>-0.4386260807</v>
      </c>
      <c r="U74" s="37">
        <f>IFERROR(__xludf.DUMMYFUNCTION("""COMPUTED_VALUE"""),-0.743050220769851)</f>
        <v>-0.7430502208</v>
      </c>
      <c r="V74" s="37">
        <f>IFERROR(__xludf.DUMMYFUNCTION("""COMPUTED_VALUE"""),0.39233811965195126)</f>
        <v>0.3923381197</v>
      </c>
      <c r="W74" s="37">
        <f>IFERROR(__xludf.DUMMYFUNCTION("""COMPUTED_VALUE"""),0.0)</f>
        <v>0</v>
      </c>
      <c r="X74" s="37">
        <f>IFERROR(__xludf.DUMMYFUNCTION("""COMPUTED_VALUE"""),0.0)</f>
        <v>0</v>
      </c>
      <c r="Y74" s="37">
        <f>IFERROR(__xludf.DUMMYFUNCTION("""COMPUTED_VALUE"""),0.22207435852418494)</f>
        <v>0.2220743585</v>
      </c>
      <c r="Z74" s="37">
        <f>IFERROR(__xludf.DUMMYFUNCTION("""COMPUTED_VALUE"""),0.0)</f>
        <v>0</v>
      </c>
      <c r="AA74" t="str">
        <f>IFERROR(__xludf.DUMMYFUNCTION("SUBSTITUTE(REGEXREPLACE(REGEXREPLACE(REGEXREPLACE(REGEXREPLACE(REGEXREPLACE(REGEXREPLACE(E74,"","",),IF(Projections!$U$3="""",""PG"",),),IF(Projections!$V$3="""",""SG"",),),IF(Projections!$W$3="""",""SF"",),),IF(Projections!$X$3="""",""PF"",),),IF(Project"&amp;"ions!$Y$3="""",""C"",),),""/"","""")"),"SGSF")</f>
        <v>SGSF</v>
      </c>
    </row>
    <row r="75">
      <c r="A75" s="29" t="str">
        <f>IF(Projections!$H$3,Draft!H13,"")</f>
        <v>Kevin Porter Jr.</v>
      </c>
      <c r="B75">
        <f>IFERROR(__xludf.DUMMYFUNCTION("""COMPUTED_VALUE"""),90.0)</f>
        <v>90</v>
      </c>
      <c r="C75" t="str">
        <f>IFERROR(__xludf.DUMMYFUNCTION("""COMPUTED_VALUE"""),"Klay Thompson")</f>
        <v>Klay Thompson</v>
      </c>
      <c r="D75">
        <f>IFERROR(__xludf.DUMMYFUNCTION("""COMPUTED_VALUE"""),72.0)</f>
        <v>72</v>
      </c>
      <c r="E75" t="str">
        <f>IFERROR(__xludf.DUMMYFUNCTION("""COMPUTED_VALUE"""),"SG")</f>
        <v>SG</v>
      </c>
      <c r="F75" s="37">
        <f>IFERROR(__xludf.DUMMYFUNCTION("""COMPUTED_VALUE"""),-1.5682663569758781)</f>
        <v>-1.568266357</v>
      </c>
      <c r="G75" s="37">
        <f>IFERROR(__xludf.DUMMYFUNCTION("""COMPUTED_VALUE"""),-0.4364507696411321)</f>
        <v>-0.4364507696</v>
      </c>
      <c r="H75" s="37">
        <f>IFERROR(__xludf.DUMMYFUNCTION("""COMPUTED_VALUE"""),1.131815587334746)</f>
        <v>1.131815587</v>
      </c>
      <c r="I75" s="37">
        <f>IFERROR(__xludf.DUMMYFUNCTION("""COMPUTED_VALUE"""),20.4)</f>
        <v>20.4</v>
      </c>
      <c r="J75" s="37">
        <f>IFERROR(__xludf.DUMMYFUNCTION("""COMPUTED_VALUE"""),3.5)</f>
        <v>3.5</v>
      </c>
      <c r="K75" s="37">
        <f>IFERROR(__xludf.DUMMYFUNCTION("""COMPUTED_VALUE"""),3.9)</f>
        <v>3.9</v>
      </c>
      <c r="L75" s="37">
        <f>IFERROR(__xludf.DUMMYFUNCTION("""COMPUTED_VALUE"""),2.8)</f>
        <v>2.8</v>
      </c>
      <c r="M75" s="37">
        <f>IFERROR(__xludf.DUMMYFUNCTION("""COMPUTED_VALUE"""),0.5)</f>
        <v>0.5</v>
      </c>
      <c r="N75" s="37">
        <f>IFERROR(__xludf.DUMMYFUNCTION("""COMPUTED_VALUE"""),0.5)</f>
        <v>0.5</v>
      </c>
      <c r="O75" s="37">
        <f>IFERROR(__xludf.DUMMYFUNCTION("""COMPUTED_VALUE"""),43.333333333333336)</f>
        <v>43.33333333</v>
      </c>
      <c r="P75" s="37">
        <f>IFERROR(__xludf.DUMMYFUNCTION("""COMPUTED_VALUE"""),87.49999999999999)</f>
        <v>87.5</v>
      </c>
      <c r="Q75" s="37">
        <f>IFERROR(__xludf.DUMMYFUNCTION("""COMPUTED_VALUE"""),1.3)</f>
        <v>1.3</v>
      </c>
      <c r="R75" s="37">
        <f>IFERROR(__xludf.DUMMYFUNCTION("""COMPUTED_VALUE"""),0.9178785197942464)</f>
        <v>0.9178785198</v>
      </c>
      <c r="S75" s="37">
        <f>IFERROR(__xludf.DUMMYFUNCTION("""COMPUTED_VALUE"""),1.886493346526323)</f>
        <v>1.886493347</v>
      </c>
      <c r="T75" s="37">
        <f>IFERROR(__xludf.DUMMYFUNCTION("""COMPUTED_VALUE"""),-0.8876630240586981)</f>
        <v>-0.8876630241</v>
      </c>
      <c r="U75" s="37">
        <f>IFERROR(__xludf.DUMMYFUNCTION("""COMPUTED_VALUE"""),-0.514772936450866)</f>
        <v>-0.5147729365</v>
      </c>
      <c r="V75" s="37">
        <f>IFERROR(__xludf.DUMMYFUNCTION("""COMPUTED_VALUE"""),-2.0604610339763223)</f>
        <v>-2.060461034</v>
      </c>
      <c r="W75" s="37">
        <f>IFERROR(__xludf.DUMMYFUNCTION("""COMPUTED_VALUE"""),0.0)</f>
        <v>0</v>
      </c>
      <c r="X75" s="37">
        <f>IFERROR(__xludf.DUMMYFUNCTION("""COMPUTED_VALUE"""),0.0)</f>
        <v>0</v>
      </c>
      <c r="Y75" s="37">
        <f>IFERROR(__xludf.DUMMYFUNCTION("""COMPUTED_VALUE"""),0.22207435852418494)</f>
        <v>0.2220743585</v>
      </c>
      <c r="Z75" s="37">
        <f>IFERROR(__xludf.DUMMYFUNCTION("""COMPUTED_VALUE"""),0.0)</f>
        <v>0</v>
      </c>
      <c r="AA75" t="str">
        <f>IFERROR(__xludf.DUMMYFUNCTION("SUBSTITUTE(REGEXREPLACE(REGEXREPLACE(REGEXREPLACE(REGEXREPLACE(REGEXREPLACE(REGEXREPLACE(E75,"","",),IF(Projections!$U$3="""",""PG"",),),IF(Projections!$V$3="""",""SG"",),),IF(Projections!$W$3="""",""SF"",),),IF(Projections!$X$3="""",""PF"",),),IF(Project"&amp;"ions!$Y$3="""",""C"",),),""/"","""")"),"SG")</f>
        <v>SG</v>
      </c>
    </row>
    <row r="76">
      <c r="A76" s="29" t="str">
        <f>IF(Projections!$H$3,Draft!H14,"")</f>
        <v>Josh Giddey</v>
      </c>
      <c r="B76">
        <f>IFERROR(__xludf.DUMMYFUNCTION("""COMPUTED_VALUE"""),100.0)</f>
        <v>100</v>
      </c>
      <c r="C76" t="str">
        <f>IFERROR(__xludf.DUMMYFUNCTION("""COMPUTED_VALUE"""),"Bogdan Bogdanovic")</f>
        <v>Bogdan Bogdanovic</v>
      </c>
      <c r="D76">
        <f>IFERROR(__xludf.DUMMYFUNCTION("""COMPUTED_VALUE"""),64.0)</f>
        <v>64</v>
      </c>
      <c r="E76" t="str">
        <f>IFERROR(__xludf.DUMMYFUNCTION("""COMPUTED_VALUE"""),"SG/SF")</f>
        <v>SG/SF</v>
      </c>
      <c r="F76" s="37">
        <f>IFERROR(__xludf.DUMMYFUNCTION("""COMPUTED_VALUE"""),-1.8930544712636013)</f>
        <v>-1.893054471</v>
      </c>
      <c r="G76" s="37">
        <f>IFERROR(__xludf.DUMMYFUNCTION("""COMPUTED_VALUE"""),-0.43986477131310475)</f>
        <v>-0.4398647713</v>
      </c>
      <c r="H76" s="37">
        <f>IFERROR(__xludf.DUMMYFUNCTION("""COMPUTED_VALUE"""),1.4531896999504965)</f>
        <v>1.4531897</v>
      </c>
      <c r="I76" s="37">
        <f>IFERROR(__xludf.DUMMYFUNCTION("""COMPUTED_VALUE"""),14.7)</f>
        <v>14.7</v>
      </c>
      <c r="J76" s="37">
        <f>IFERROR(__xludf.DUMMYFUNCTION("""COMPUTED_VALUE"""),2.6)</f>
        <v>2.6</v>
      </c>
      <c r="K76" s="37">
        <f>IFERROR(__xludf.DUMMYFUNCTION("""COMPUTED_VALUE"""),3.9)</f>
        <v>3.9</v>
      </c>
      <c r="L76" s="37">
        <f>IFERROR(__xludf.DUMMYFUNCTION("""COMPUTED_VALUE"""),2.9)</f>
        <v>2.9</v>
      </c>
      <c r="M76" s="37">
        <f>IFERROR(__xludf.DUMMYFUNCTION("""COMPUTED_VALUE"""),1.1)</f>
        <v>1.1</v>
      </c>
      <c r="N76" s="37">
        <f>IFERROR(__xludf.DUMMYFUNCTION("""COMPUTED_VALUE"""),0.2)</f>
        <v>0.2</v>
      </c>
      <c r="O76" s="37">
        <f>IFERROR(__xludf.DUMMYFUNCTION("""COMPUTED_VALUE"""),43.442622950819676)</f>
        <v>43.44262295</v>
      </c>
      <c r="P76" s="37">
        <f>IFERROR(__xludf.DUMMYFUNCTION("""COMPUTED_VALUE"""),83.33333333333333)</f>
        <v>83.33333333</v>
      </c>
      <c r="Q76" s="37">
        <f>IFERROR(__xludf.DUMMYFUNCTION("""COMPUTED_VALUE"""),1.1)</f>
        <v>1.1</v>
      </c>
      <c r="R76" s="37">
        <f>IFERROR(__xludf.DUMMYFUNCTION("""COMPUTED_VALUE"""),-0.5999451306365412)</f>
        <v>-0.5999451306</v>
      </c>
      <c r="S76" s="37">
        <f>IFERROR(__xludf.DUMMYFUNCTION("""COMPUTED_VALUE"""),0.9865333402325488)</f>
        <v>0.9865333402</v>
      </c>
      <c r="T76" s="37">
        <f>IFERROR(__xludf.DUMMYFUNCTION("""COMPUTED_VALUE"""),-0.8876630240586981)</f>
        <v>-0.8876630241</v>
      </c>
      <c r="U76" s="37">
        <f>IFERROR(__xludf.DUMMYFUNCTION("""COMPUTED_VALUE"""),-0.4577036153711197)</f>
        <v>-0.4577036154</v>
      </c>
      <c r="V76" s="37">
        <f>IFERROR(__xludf.DUMMYFUNCTION("""COMPUTED_VALUE"""),0.39233811965195126)</f>
        <v>0.3923381197</v>
      </c>
      <c r="W76" s="37">
        <f>IFERROR(__xludf.DUMMYFUNCTION("""COMPUTED_VALUE"""),0.0)</f>
        <v>0</v>
      </c>
      <c r="X76" s="37">
        <f>IFERROR(__xludf.DUMMYFUNCTION("""COMPUTED_VALUE"""),0.0)</f>
        <v>0</v>
      </c>
      <c r="Y76" s="37">
        <f>IFERROR(__xludf.DUMMYFUNCTION("""COMPUTED_VALUE"""),0.1265755388687542)</f>
        <v>0.1265755389</v>
      </c>
      <c r="Z76" s="37">
        <f>IFERROR(__xludf.DUMMYFUNCTION("""COMPUTED_VALUE"""),0.0)</f>
        <v>0</v>
      </c>
      <c r="AA76" t="str">
        <f>IFERROR(__xludf.DUMMYFUNCTION("SUBSTITUTE(REGEXREPLACE(REGEXREPLACE(REGEXREPLACE(REGEXREPLACE(REGEXREPLACE(REGEXREPLACE(E76,"","",),IF(Projections!$U$3="""",""PG"",),),IF(Projections!$V$3="""",""SG"",),),IF(Projections!$W$3="""",""SF"",),),IF(Projections!$X$3="""",""PF"",),),IF(Project"&amp;"ions!$Y$3="""",""C"",),),""/"","""")"),"SGSF")</f>
        <v>SGSF</v>
      </c>
    </row>
    <row r="77">
      <c r="A77" s="29" t="str">
        <f>IF(Projections!$H$3,Draft!I3,"")</f>
        <v>Tyrese Maxey</v>
      </c>
      <c r="B77">
        <f>IFERROR(__xludf.DUMMYFUNCTION("""COMPUTED_VALUE"""),118.0)</f>
        <v>118</v>
      </c>
      <c r="C77" t="str">
        <f>IFERROR(__xludf.DUMMYFUNCTION("""COMPUTED_VALUE"""),"Spencer Dinwiddie")</f>
        <v>Spencer Dinwiddie</v>
      </c>
      <c r="D77">
        <f>IFERROR(__xludf.DUMMYFUNCTION("""COMPUTED_VALUE"""),72.0)</f>
        <v>72</v>
      </c>
      <c r="E77" t="str">
        <f>IFERROR(__xludf.DUMMYFUNCTION("""COMPUTED_VALUE"""),"PG/SF")</f>
        <v>PG/SF</v>
      </c>
      <c r="F77" s="37">
        <f>IFERROR(__xludf.DUMMYFUNCTION("""COMPUTED_VALUE"""),-2.3862028040358148)</f>
        <v>-2.386202804</v>
      </c>
      <c r="G77" s="37">
        <f>IFERROR(__xludf.DUMMYFUNCTION("""COMPUTED_VALUE"""),-0.487264721133007)</f>
        <v>-0.4872647211</v>
      </c>
      <c r="H77" s="37">
        <f>IFERROR(__xludf.DUMMYFUNCTION("""COMPUTED_VALUE"""),1.8989380829028077)</f>
        <v>1.898938083</v>
      </c>
      <c r="I77" s="37">
        <f>IFERROR(__xludf.DUMMYFUNCTION("""COMPUTED_VALUE"""),15.9)</f>
        <v>15.9</v>
      </c>
      <c r="J77" s="37">
        <f>IFERROR(__xludf.DUMMYFUNCTION("""COMPUTED_VALUE"""),1.9)</f>
        <v>1.9</v>
      </c>
      <c r="K77" s="37">
        <f>IFERROR(__xludf.DUMMYFUNCTION("""COMPUTED_VALUE"""),4.6)</f>
        <v>4.6</v>
      </c>
      <c r="L77" s="37">
        <f>IFERROR(__xludf.DUMMYFUNCTION("""COMPUTED_VALUE"""),5.7)</f>
        <v>5.7</v>
      </c>
      <c r="M77" s="37">
        <f>IFERROR(__xludf.DUMMYFUNCTION("""COMPUTED_VALUE"""),0.8)</f>
        <v>0.8</v>
      </c>
      <c r="N77" s="37">
        <f>IFERROR(__xludf.DUMMYFUNCTION("""COMPUTED_VALUE"""),0.2)</f>
        <v>0.2</v>
      </c>
      <c r="O77" s="37">
        <f>IFERROR(__xludf.DUMMYFUNCTION("""COMPUTED_VALUE"""),43.90243902439025)</f>
        <v>43.90243902</v>
      </c>
      <c r="P77" s="37">
        <f>IFERROR(__xludf.DUMMYFUNCTION("""COMPUTED_VALUE"""),76.19047619047619)</f>
        <v>76.19047619</v>
      </c>
      <c r="Q77" s="37">
        <f>IFERROR(__xludf.DUMMYFUNCTION("""COMPUTED_VALUE"""),1.8)</f>
        <v>1.8</v>
      </c>
      <c r="R77" s="37">
        <f>IFERROR(__xludf.DUMMYFUNCTION("""COMPUTED_VALUE"""),-0.2804033094932172)</f>
        <v>-0.2804033095</v>
      </c>
      <c r="S77" s="37">
        <f>IFERROR(__xludf.DUMMYFUNCTION("""COMPUTED_VALUE"""),0.28656444644850193)</f>
        <v>0.2865644464</v>
      </c>
      <c r="T77" s="37">
        <f>IFERROR(__xludf.DUMMYFUNCTION("""COMPUTED_VALUE"""),-0.6019122419311602)</f>
        <v>-0.6019122419</v>
      </c>
      <c r="U77" s="37">
        <f>IFERROR(__xludf.DUMMYFUNCTION("""COMPUTED_VALUE"""),1.1402373748617767)</f>
        <v>1.140237375</v>
      </c>
      <c r="V77" s="37">
        <f>IFERROR(__xludf.DUMMYFUNCTION("""COMPUTED_VALUE"""),-0.8340614571621854)</f>
        <v>-0.8340614572</v>
      </c>
      <c r="W77" s="37">
        <f>IFERROR(__xludf.DUMMYFUNCTION("""COMPUTED_VALUE"""),0.0)</f>
        <v>0</v>
      </c>
      <c r="X77" s="37">
        <f>IFERROR(__xludf.DUMMYFUNCTION("""COMPUTED_VALUE"""),0.0)</f>
        <v>0</v>
      </c>
      <c r="Y77" s="37">
        <f>IFERROR(__xludf.DUMMYFUNCTION("""COMPUTED_VALUE"""),-0.1976895338567228)</f>
        <v>-0.1976895339</v>
      </c>
      <c r="Z77" s="37">
        <f>IFERROR(__xludf.DUMMYFUNCTION("""COMPUTED_VALUE"""),0.0)</f>
        <v>0</v>
      </c>
      <c r="AA77" t="str">
        <f>IFERROR(__xludf.DUMMYFUNCTION("SUBSTITUTE(REGEXREPLACE(REGEXREPLACE(REGEXREPLACE(REGEXREPLACE(REGEXREPLACE(REGEXREPLACE(E77,"","",),IF(Projections!$U$3="""",""PG"",),),IF(Projections!$V$3="""",""SG"",),),IF(Projections!$W$3="""",""SF"",),),IF(Projections!$X$3="""",""PF"",),),IF(Project"&amp;"ions!$Y$3="""",""C"",),),""/"","""")"),"PGSF")</f>
        <v>PGSF</v>
      </c>
    </row>
    <row r="78">
      <c r="A78" s="29" t="str">
        <f>IF(Projections!$H$3,Draft!I4,"")</f>
        <v>Jabari Smith Jr</v>
      </c>
      <c r="B78">
        <f>IFERROR(__xludf.DUMMYFUNCTION("""COMPUTED_VALUE"""),78.0)</f>
        <v>78</v>
      </c>
      <c r="C78" t="str">
        <f>IFERROR(__xludf.DUMMYFUNCTION("""COMPUTED_VALUE"""),"Lauri Markkanen")</f>
        <v>Lauri Markkanen</v>
      </c>
      <c r="D78">
        <f>IFERROR(__xludf.DUMMYFUNCTION("""COMPUTED_VALUE"""),72.0)</f>
        <v>72</v>
      </c>
      <c r="E78" t="str">
        <f>IFERROR(__xludf.DUMMYFUNCTION("""COMPUTED_VALUE"""),"SF/PF")</f>
        <v>SF/PF</v>
      </c>
      <c r="F78" s="37">
        <f>IFERROR(__xludf.DUMMYFUNCTION("""COMPUTED_VALUE"""),-0.9280778528364021)</f>
        <v>-0.9280778528</v>
      </c>
      <c r="G78" s="37">
        <f>IFERROR(__xludf.DUMMYFUNCTION("""COMPUTED_VALUE"""),-0.5315321603210392)</f>
        <v>-0.5315321603</v>
      </c>
      <c r="H78" s="37">
        <f>IFERROR(__xludf.DUMMYFUNCTION("""COMPUTED_VALUE"""),0.39654569251536287)</f>
        <v>0.3965456925</v>
      </c>
      <c r="I78" s="37">
        <f>IFERROR(__xludf.DUMMYFUNCTION("""COMPUTED_VALUE"""),17.7)</f>
        <v>17.7</v>
      </c>
      <c r="J78" s="37">
        <f>IFERROR(__xludf.DUMMYFUNCTION("""COMPUTED_VALUE"""),2.5)</f>
        <v>2.5</v>
      </c>
      <c r="K78" s="37">
        <f>IFERROR(__xludf.DUMMYFUNCTION("""COMPUTED_VALUE"""),6.4)</f>
        <v>6.4</v>
      </c>
      <c r="L78" s="37">
        <f>IFERROR(__xludf.DUMMYFUNCTION("""COMPUTED_VALUE"""),1.5)</f>
        <v>1.5</v>
      </c>
      <c r="M78" s="37">
        <f>IFERROR(__xludf.DUMMYFUNCTION("""COMPUTED_VALUE"""),0.8)</f>
        <v>0.8</v>
      </c>
      <c r="N78" s="37">
        <f>IFERROR(__xludf.DUMMYFUNCTION("""COMPUTED_VALUE"""),0.5)</f>
        <v>0.5</v>
      </c>
      <c r="O78" s="37">
        <f>IFERROR(__xludf.DUMMYFUNCTION("""COMPUTED_VALUE"""),44.75524475524475)</f>
        <v>44.75524476</v>
      </c>
      <c r="P78" s="37">
        <f>IFERROR(__xludf.DUMMYFUNCTION("""COMPUTED_VALUE"""),86.20689655172414)</f>
        <v>86.20689655</v>
      </c>
      <c r="Q78" s="37">
        <f>IFERROR(__xludf.DUMMYFUNCTION("""COMPUTED_VALUE"""),1.2)</f>
        <v>1.2</v>
      </c>
      <c r="R78" s="37">
        <f>IFERROR(__xludf.DUMMYFUNCTION("""COMPUTED_VALUE"""),0.19890942222176813)</f>
        <v>0.1989094222</v>
      </c>
      <c r="S78" s="37">
        <f>IFERROR(__xludf.DUMMYFUNCTION("""COMPUTED_VALUE"""),0.8865377839776849)</f>
        <v>0.886537784</v>
      </c>
      <c r="T78" s="37">
        <f>IFERROR(__xludf.DUMMYFUNCTION("""COMPUTED_VALUE"""),0.13287548353965203)</f>
        <v>0.1328754835</v>
      </c>
      <c r="U78" s="37">
        <f>IFERROR(__xludf.DUMMYFUNCTION("""COMPUTED_VALUE"""),-1.2566741104875678)</f>
        <v>-1.25667411</v>
      </c>
      <c r="V78" s="37">
        <f>IFERROR(__xludf.DUMMYFUNCTION("""COMPUTED_VALUE"""),-0.8340614571621854)</f>
        <v>-0.8340614572</v>
      </c>
      <c r="W78" s="37">
        <f>IFERROR(__xludf.DUMMYFUNCTION("""COMPUTED_VALUE"""),0.0)</f>
        <v>0</v>
      </c>
      <c r="X78" s="37">
        <f>IFERROR(__xludf.DUMMYFUNCTION("""COMPUTED_VALUE"""),0.0)</f>
        <v>0</v>
      </c>
      <c r="Y78" s="37">
        <f>IFERROR(__xludf.DUMMYFUNCTION("""COMPUTED_VALUE"""),0.340880717589609)</f>
        <v>0.3408807176</v>
      </c>
      <c r="Z78" s="37">
        <f>IFERROR(__xludf.DUMMYFUNCTION("""COMPUTED_VALUE"""),0.0)</f>
        <v>0</v>
      </c>
      <c r="AA78" t="str">
        <f>IFERROR(__xludf.DUMMYFUNCTION("SUBSTITUTE(REGEXREPLACE(REGEXREPLACE(REGEXREPLACE(REGEXREPLACE(REGEXREPLACE(REGEXREPLACE(E78,"","",),IF(Projections!$U$3="""",""PG"",),),IF(Projections!$V$3="""",""SG"",),),IF(Projections!$W$3="""",""SF"",),),IF(Projections!$X$3="""",""PF"",),),IF(Project"&amp;"ions!$Y$3="""",""C"",),),""/"","""")"),"SFPF")</f>
        <v>SFPF</v>
      </c>
    </row>
    <row r="79">
      <c r="A79" s="29" t="str">
        <f>IF(Projections!$H$3,Draft!I5,"")</f>
        <v>Mikal Bridges</v>
      </c>
      <c r="B79">
        <f>IFERROR(__xludf.DUMMYFUNCTION("""COMPUTED_VALUE"""),64.0)</f>
        <v>64</v>
      </c>
      <c r="C79" t="str">
        <f>IFERROR(__xludf.DUMMYFUNCTION("""COMPUTED_VALUE"""),"Michael Porter Jr.")</f>
        <v>Michael Porter Jr.</v>
      </c>
      <c r="D79">
        <f>IFERROR(__xludf.DUMMYFUNCTION("""COMPUTED_VALUE"""),72.0)</f>
        <v>72</v>
      </c>
      <c r="E79" t="str">
        <f>IFERROR(__xludf.DUMMYFUNCTION("""COMPUTED_VALUE"""),"SF")</f>
        <v>SF</v>
      </c>
      <c r="F79" s="37">
        <f>IFERROR(__xludf.DUMMYFUNCTION("""COMPUTED_VALUE"""),-0.4376296325981665)</f>
        <v>-0.4376296326</v>
      </c>
      <c r="G79" s="37">
        <f>IFERROR(__xludf.DUMMYFUNCTION("""COMPUTED_VALUE"""),-0.5508592563525685)</f>
        <v>-0.5508592564</v>
      </c>
      <c r="H79" s="37">
        <f>IFERROR(__xludf.DUMMYFUNCTION("""COMPUTED_VALUE"""),-0.11322962375440199)</f>
        <v>-0.1132296238</v>
      </c>
      <c r="I79" s="37">
        <f>IFERROR(__xludf.DUMMYFUNCTION("""COMPUTED_VALUE"""),17.0)</f>
        <v>17</v>
      </c>
      <c r="J79" s="37">
        <f>IFERROR(__xludf.DUMMYFUNCTION("""COMPUTED_VALUE"""),1.9)</f>
        <v>1.9</v>
      </c>
      <c r="K79" s="37">
        <f>IFERROR(__xludf.DUMMYFUNCTION("""COMPUTED_VALUE"""),6.7)</f>
        <v>6.7</v>
      </c>
      <c r="L79" s="37">
        <f>IFERROR(__xludf.DUMMYFUNCTION("""COMPUTED_VALUE"""),1.8)</f>
        <v>1.8</v>
      </c>
      <c r="M79" s="37">
        <f>IFERROR(__xludf.DUMMYFUNCTION("""COMPUTED_VALUE"""),1.0)</f>
        <v>1</v>
      </c>
      <c r="N79" s="37">
        <f>IFERROR(__xludf.DUMMYFUNCTION("""COMPUTED_VALUE"""),0.7)</f>
        <v>0.7</v>
      </c>
      <c r="O79" s="37">
        <f>IFERROR(__xludf.DUMMYFUNCTION("""COMPUTED_VALUE"""),48.226950354609926)</f>
        <v>48.22695035</v>
      </c>
      <c r="P79" s="37">
        <f>IFERROR(__xludf.DUMMYFUNCTION("""COMPUTED_VALUE"""),78.94736842105263)</f>
        <v>78.94736842</v>
      </c>
      <c r="Q79" s="37">
        <f>IFERROR(__xludf.DUMMYFUNCTION("""COMPUTED_VALUE"""),1.4)</f>
        <v>1.4</v>
      </c>
      <c r="R79" s="37">
        <f>IFERROR(__xludf.DUMMYFUNCTION("""COMPUTED_VALUE"""),0.012510026554829481)</f>
        <v>0.01251002655</v>
      </c>
      <c r="S79" s="37">
        <f>IFERROR(__xludf.DUMMYFUNCTION("""COMPUTED_VALUE"""),0.28656444644850193)</f>
        <v>0.2865644464</v>
      </c>
      <c r="T79" s="37">
        <f>IFERROR(__xludf.DUMMYFUNCTION("""COMPUTED_VALUE"""),0.255340104451454)</f>
        <v>0.2553401045</v>
      </c>
      <c r="U79" s="37">
        <f>IFERROR(__xludf.DUMMYFUNCTION("""COMPUTED_VALUE"""),-1.085466147248329)</f>
        <v>-1.085466147</v>
      </c>
      <c r="V79" s="37">
        <f>IFERROR(__xludf.DUMMYFUNCTION("""COMPUTED_VALUE"""),-0.01646173928609459)</f>
        <v>-0.01646173929</v>
      </c>
      <c r="W79" s="37">
        <f>IFERROR(__xludf.DUMMYFUNCTION("""COMPUTED_VALUE"""),0.0)</f>
        <v>0</v>
      </c>
      <c r="X79" s="37">
        <f>IFERROR(__xludf.DUMMYFUNCTION("""COMPUTED_VALUE"""),0.0)</f>
        <v>0</v>
      </c>
      <c r="Y79" s="37">
        <f>IFERROR(__xludf.DUMMYFUNCTION("""COMPUTED_VALUE"""),-0.0033459472729303564)</f>
        <v>-0.003345947273</v>
      </c>
      <c r="Z79" s="37">
        <f>IFERROR(__xludf.DUMMYFUNCTION("""COMPUTED_VALUE"""),0.0)</f>
        <v>0</v>
      </c>
      <c r="AA79" t="str">
        <f>IFERROR(__xludf.DUMMYFUNCTION("SUBSTITUTE(REGEXREPLACE(REGEXREPLACE(REGEXREPLACE(REGEXREPLACE(REGEXREPLACE(REGEXREPLACE(E79,"","",),IF(Projections!$U$3="""",""PG"",),),IF(Projections!$V$3="""",""SG"",),),IF(Projections!$W$3="""",""SF"",),),IF(Projections!$X$3="""",""PF"",),),IF(Project"&amp;"ions!$Y$3="""",""C"",),),""/"","""")"),"SF")</f>
        <v>SF</v>
      </c>
    </row>
    <row r="80">
      <c r="A80" s="29" t="str">
        <f>IF(Projections!$H$3,Draft!I6,"")</f>
        <v>Michael Porter Jr.</v>
      </c>
      <c r="B80">
        <f>IFERROR(__xludf.DUMMYFUNCTION("""COMPUTED_VALUE"""),58.0)</f>
        <v>58</v>
      </c>
      <c r="C80" t="str">
        <f>IFERROR(__xludf.DUMMYFUNCTION("""COMPUTED_VALUE"""),"Draymond Green")</f>
        <v>Draymond Green</v>
      </c>
      <c r="D80">
        <f>IFERROR(__xludf.DUMMYFUNCTION("""COMPUTED_VALUE"""),74.0)</f>
        <v>74</v>
      </c>
      <c r="E80" t="str">
        <f>IFERROR(__xludf.DUMMYFUNCTION("""COMPUTED_VALUE"""),"PF")</f>
        <v>PF</v>
      </c>
      <c r="F80" s="37">
        <f>IFERROR(__xludf.DUMMYFUNCTION("""COMPUTED_VALUE"""),-0.1587343338872882)</f>
        <v>-0.1587343339</v>
      </c>
      <c r="G80" s="37">
        <f>IFERROR(__xludf.DUMMYFUNCTION("""COMPUTED_VALUE"""),-0.6876851179040688)</f>
        <v>-0.6876851179</v>
      </c>
      <c r="H80" s="37">
        <f>IFERROR(__xludf.DUMMYFUNCTION("""COMPUTED_VALUE"""),-0.5289507840167806)</f>
        <v>-0.528950784</v>
      </c>
      <c r="I80" s="37">
        <f>IFERROR(__xludf.DUMMYFUNCTION("""COMPUTED_VALUE"""),7.6)</f>
        <v>7.6</v>
      </c>
      <c r="J80" s="37">
        <f>IFERROR(__xludf.DUMMYFUNCTION("""COMPUTED_VALUE"""),0.4)</f>
        <v>0.4</v>
      </c>
      <c r="K80" s="37">
        <f>IFERROR(__xludf.DUMMYFUNCTION("""COMPUTED_VALUE"""),7.3)</f>
        <v>7.3</v>
      </c>
      <c r="L80" s="37">
        <f>IFERROR(__xludf.DUMMYFUNCTION("""COMPUTED_VALUE"""),6.8)</f>
        <v>6.8</v>
      </c>
      <c r="M80" s="37">
        <f>IFERROR(__xludf.DUMMYFUNCTION("""COMPUTED_VALUE"""),1.3)</f>
        <v>1.3</v>
      </c>
      <c r="N80" s="37">
        <f>IFERROR(__xludf.DUMMYFUNCTION("""COMPUTED_VALUE"""),1.0)</f>
        <v>1</v>
      </c>
      <c r="O80" s="37">
        <f>IFERROR(__xludf.DUMMYFUNCTION("""COMPUTED_VALUE"""),50.87719298245613)</f>
        <v>50.87719298</v>
      </c>
      <c r="P80" s="37">
        <f>IFERROR(__xludf.DUMMYFUNCTION("""COMPUTED_VALUE"""),65.0)</f>
        <v>65</v>
      </c>
      <c r="Q80" s="37">
        <f>IFERROR(__xludf.DUMMYFUNCTION("""COMPUTED_VALUE"""),3.0)</f>
        <v>3</v>
      </c>
      <c r="R80" s="37">
        <f>IFERROR(__xludf.DUMMYFUNCTION("""COMPUTED_VALUE"""),-2.490567572401207)</f>
        <v>-2.490567572</v>
      </c>
      <c r="S80" s="37">
        <f>IFERROR(__xludf.DUMMYFUNCTION("""COMPUTED_VALUE"""),-1.2133688973744552)</f>
        <v>-1.213368897</v>
      </c>
      <c r="T80" s="37">
        <f>IFERROR(__xludf.DUMMYFUNCTION("""COMPUTED_VALUE"""),0.5002693462750578)</f>
        <v>0.5002693463</v>
      </c>
      <c r="U80" s="37">
        <f>IFERROR(__xludf.DUMMYFUNCTION("""COMPUTED_VALUE"""),1.7679999067389858)</f>
        <v>1.767999907</v>
      </c>
      <c r="V80" s="37">
        <f>IFERROR(__xludf.DUMMYFUNCTION("""COMPUTED_VALUE"""),1.209937837528042)</f>
        <v>1.209937838</v>
      </c>
      <c r="W80" s="37">
        <f>IFERROR(__xludf.DUMMYFUNCTION("""COMPUTED_VALUE"""),0.0)</f>
        <v>0</v>
      </c>
      <c r="X80" s="37">
        <f>IFERROR(__xludf.DUMMYFUNCTION("""COMPUTED_VALUE"""),0.0)</f>
        <v>0</v>
      </c>
      <c r="Y80" s="37">
        <f>IFERROR(__xludf.DUMMYFUNCTION("""COMPUTED_VALUE"""),-0.46195573867049244)</f>
        <v>-0.4619557387</v>
      </c>
      <c r="Z80" s="37">
        <f>IFERROR(__xludf.DUMMYFUNCTION("""COMPUTED_VALUE"""),0.0)</f>
        <v>0</v>
      </c>
      <c r="AA80" t="str">
        <f>IFERROR(__xludf.DUMMYFUNCTION("SUBSTITUTE(REGEXREPLACE(REGEXREPLACE(REGEXREPLACE(REGEXREPLACE(REGEXREPLACE(REGEXREPLACE(E80,"","",),IF(Projections!$U$3="""",""PG"",),),IF(Projections!$V$3="""",""SG"",),),IF(Projections!$W$3="""",""SF"",),),IF(Projections!$X$3="""",""PF"",),),IF(Project"&amp;"ions!$Y$3="""",""C"",),),""/"","""")"),"PF")</f>
        <v>PF</v>
      </c>
    </row>
    <row r="81">
      <c r="A81" s="29" t="str">
        <f>IF(Projections!$H$3,Draft!I7,"")</f>
        <v>Keldon Johnson</v>
      </c>
      <c r="B81">
        <f>IFERROR(__xludf.DUMMYFUNCTION("""COMPUTED_VALUE"""),110.0)</f>
        <v>110</v>
      </c>
      <c r="C81" t="str">
        <f>IFERROR(__xludf.DUMMYFUNCTION("""COMPUTED_VALUE"""),"Jalen Suggs")</f>
        <v>Jalen Suggs</v>
      </c>
      <c r="D81">
        <f>IFERROR(__xludf.DUMMYFUNCTION("""COMPUTED_VALUE"""),80.0)</f>
        <v>80</v>
      </c>
      <c r="E81" t="str">
        <f>IFERROR(__xludf.DUMMYFUNCTION("""COMPUTED_VALUE"""),"PG/SG")</f>
        <v>PG/SG</v>
      </c>
      <c r="F81" s="37">
        <f>IFERROR(__xludf.DUMMYFUNCTION("""COMPUTED_VALUE"""),-2.057419469435378)</f>
        <v>-2.057419469</v>
      </c>
      <c r="G81" s="37">
        <f>IFERROR(__xludf.DUMMYFUNCTION("""COMPUTED_VALUE"""),-0.6903362373274019)</f>
        <v>-0.6903362373</v>
      </c>
      <c r="H81" s="37">
        <f>IFERROR(__xludf.DUMMYFUNCTION("""COMPUTED_VALUE"""),1.367083232107976)</f>
        <v>1.367083232</v>
      </c>
      <c r="I81" s="37">
        <f>IFERROR(__xludf.DUMMYFUNCTION("""COMPUTED_VALUE"""),13.1)</f>
        <v>13.1</v>
      </c>
      <c r="J81" s="37">
        <f>IFERROR(__xludf.DUMMYFUNCTION("""COMPUTED_VALUE"""),1.0)</f>
        <v>1</v>
      </c>
      <c r="K81" s="37">
        <f>IFERROR(__xludf.DUMMYFUNCTION("""COMPUTED_VALUE"""),3.9)</f>
        <v>3.9</v>
      </c>
      <c r="L81" s="37">
        <f>IFERROR(__xludf.DUMMYFUNCTION("""COMPUTED_VALUE"""),5.1)</f>
        <v>5.1</v>
      </c>
      <c r="M81" s="37">
        <f>IFERROR(__xludf.DUMMYFUNCTION("""COMPUTED_VALUE"""),1.3)</f>
        <v>1.3</v>
      </c>
      <c r="N81" s="37">
        <f>IFERROR(__xludf.DUMMYFUNCTION("""COMPUTED_VALUE"""),0.5)</f>
        <v>0.5</v>
      </c>
      <c r="O81" s="37">
        <f>IFERROR(__xludf.DUMMYFUNCTION("""COMPUTED_VALUE"""),42.99065420560748)</f>
        <v>42.99065421</v>
      </c>
      <c r="P81" s="37">
        <f>IFERROR(__xludf.DUMMYFUNCTION("""COMPUTED_VALUE"""),76.31578947368422)</f>
        <v>76.31578947</v>
      </c>
      <c r="Q81" s="37">
        <f>IFERROR(__xludf.DUMMYFUNCTION("""COMPUTED_VALUE"""),3.4)</f>
        <v>3.4</v>
      </c>
      <c r="R81" s="37">
        <f>IFERROR(__xludf.DUMMYFUNCTION("""COMPUTED_VALUE"""),-1.026000892160973)</f>
        <v>-1.026000892</v>
      </c>
      <c r="S81" s="37">
        <f>IFERROR(__xludf.DUMMYFUNCTION("""COMPUTED_VALUE"""),-0.6133955598452723)</f>
        <v>-0.6133955598</v>
      </c>
      <c r="T81" s="37">
        <f>IFERROR(__xludf.DUMMYFUNCTION("""COMPUTED_VALUE"""),-0.8876630240586981)</f>
        <v>-0.8876630241</v>
      </c>
      <c r="U81" s="37">
        <f>IFERROR(__xludf.DUMMYFUNCTION("""COMPUTED_VALUE"""),0.7978214483832986)</f>
        <v>0.7978214484</v>
      </c>
      <c r="V81" s="37">
        <f>IFERROR(__xludf.DUMMYFUNCTION("""COMPUTED_VALUE"""),1.209937837528042)</f>
        <v>1.209937838</v>
      </c>
      <c r="W81" s="37">
        <f>IFERROR(__xludf.DUMMYFUNCTION("""COMPUTED_VALUE"""),0.0)</f>
        <v>0</v>
      </c>
      <c r="X81" s="37">
        <f>IFERROR(__xludf.DUMMYFUNCTION("""COMPUTED_VALUE"""),0.0)</f>
        <v>0</v>
      </c>
      <c r="Y81" s="37">
        <f>IFERROR(__xludf.DUMMYFUNCTION("""COMPUTED_VALUE"""),-0.1710360471737992)</f>
        <v>-0.1710360472</v>
      </c>
      <c r="Z81" s="37">
        <f>IFERROR(__xludf.DUMMYFUNCTION("""COMPUTED_VALUE"""),0.0)</f>
        <v>0</v>
      </c>
      <c r="AA81" t="str">
        <f>IFERROR(__xludf.DUMMYFUNCTION("SUBSTITUTE(REGEXREPLACE(REGEXREPLACE(REGEXREPLACE(REGEXREPLACE(REGEXREPLACE(REGEXREPLACE(E81,"","",),IF(Projections!$U$3="""",""PG"",),),IF(Projections!$V$3="""",""SG"",),),IF(Projections!$W$3="""",""SF"",),),IF(Projections!$X$3="""",""PF"",),),IF(Project"&amp;"ions!$Y$3="""",""C"",),),""/"","""")"),"PGSG")</f>
        <v>PGSG</v>
      </c>
    </row>
    <row r="82">
      <c r="A82" s="29" t="str">
        <f>IF(Projections!$H$3,Draft!I8,"")</f>
        <v>Jusuf Nurkic</v>
      </c>
      <c r="B82">
        <f>IFERROR(__xludf.DUMMYFUNCTION("""COMPUTED_VALUE"""),124.0)</f>
        <v>124</v>
      </c>
      <c r="C82" t="str">
        <f>IFERROR(__xludf.DUMMYFUNCTION("""COMPUTED_VALUE"""),"Dillon Brooks")</f>
        <v>Dillon Brooks</v>
      </c>
      <c r="D82">
        <f>IFERROR(__xludf.DUMMYFUNCTION("""COMPUTED_VALUE"""),72.0)</f>
        <v>72</v>
      </c>
      <c r="E82" t="str">
        <f>IFERROR(__xludf.DUMMYFUNCTION("""COMPUTED_VALUE"""),"SG/SF")</f>
        <v>SG/SF</v>
      </c>
      <c r="F82" s="37">
        <f>IFERROR(__xludf.DUMMYFUNCTION("""COMPUTED_VALUE"""),-2.6767779097681297)</f>
        <v>-2.67677791</v>
      </c>
      <c r="G82" s="37">
        <f>IFERROR(__xludf.DUMMYFUNCTION("""COMPUTED_VALUE"""),-0.8015330545038539)</f>
        <v>-0.8015330545</v>
      </c>
      <c r="H82" s="37">
        <f>IFERROR(__xludf.DUMMYFUNCTION("""COMPUTED_VALUE"""),1.8752448552642758)</f>
        <v>1.875244855</v>
      </c>
      <c r="I82" s="37">
        <f>IFERROR(__xludf.DUMMYFUNCTION("""COMPUTED_VALUE"""),19.6)</f>
        <v>19.6</v>
      </c>
      <c r="J82" s="37">
        <f>IFERROR(__xludf.DUMMYFUNCTION("""COMPUTED_VALUE"""),1.5)</f>
        <v>1.5</v>
      </c>
      <c r="K82" s="37">
        <f>IFERROR(__xludf.DUMMYFUNCTION("""COMPUTED_VALUE"""),3.5)</f>
        <v>3.5</v>
      </c>
      <c r="L82" s="37">
        <f>IFERROR(__xludf.DUMMYFUNCTION("""COMPUTED_VALUE"""),2.4)</f>
        <v>2.4</v>
      </c>
      <c r="M82" s="37">
        <f>IFERROR(__xludf.DUMMYFUNCTION("""COMPUTED_VALUE"""),1.0)</f>
        <v>1</v>
      </c>
      <c r="N82" s="37">
        <f>IFERROR(__xludf.DUMMYFUNCTION("""COMPUTED_VALUE"""),0.3)</f>
        <v>0.3</v>
      </c>
      <c r="O82" s="37">
        <f>IFERROR(__xludf.DUMMYFUNCTION("""COMPUTED_VALUE"""),42.13483146067416)</f>
        <v>42.13483146</v>
      </c>
      <c r="P82" s="37">
        <f>IFERROR(__xludf.DUMMYFUNCTION("""COMPUTED_VALUE"""),86.11111111111111)</f>
        <v>86.11111111</v>
      </c>
      <c r="Q82" s="37">
        <f>IFERROR(__xludf.DUMMYFUNCTION("""COMPUTED_VALUE"""),1.8)</f>
        <v>1.8</v>
      </c>
      <c r="R82" s="37">
        <f>IFERROR(__xludf.DUMMYFUNCTION("""COMPUTED_VALUE"""),0.7048506390320313)</f>
        <v>0.704850639</v>
      </c>
      <c r="S82" s="37">
        <f>IFERROR(__xludf.DUMMYFUNCTION("""COMPUTED_VALUE"""),-0.1134177785709532)</f>
        <v>-0.1134177786</v>
      </c>
      <c r="T82" s="37">
        <f>IFERROR(__xludf.DUMMYFUNCTION("""COMPUTED_VALUE"""),-1.0509491852744342)</f>
        <v>-1.050949185</v>
      </c>
      <c r="U82" s="37">
        <f>IFERROR(__xludf.DUMMYFUNCTION("""COMPUTED_VALUE"""),-0.743050220769851)</f>
        <v>-0.7430502208</v>
      </c>
      <c r="V82" s="37">
        <f>IFERROR(__xludf.DUMMYFUNCTION("""COMPUTED_VALUE"""),-0.01646173928609459)</f>
        <v>-0.01646173929</v>
      </c>
      <c r="W82" s="37">
        <f>IFERROR(__xludf.DUMMYFUNCTION("""COMPUTED_VALUE"""),0.0)</f>
        <v>0</v>
      </c>
      <c r="X82" s="37">
        <f>IFERROR(__xludf.DUMMYFUNCTION("""COMPUTED_VALUE"""),0.0)</f>
        <v>0</v>
      </c>
      <c r="Y82" s="37">
        <f>IFERROR(__xludf.DUMMYFUNCTION("""COMPUTED_VALUE"""),0.4174952303654477)</f>
        <v>0.4174952304</v>
      </c>
      <c r="Z82" s="37">
        <f>IFERROR(__xludf.DUMMYFUNCTION("""COMPUTED_VALUE"""),0.0)</f>
        <v>0</v>
      </c>
      <c r="AA82" t="str">
        <f>IFERROR(__xludf.DUMMYFUNCTION("SUBSTITUTE(REGEXREPLACE(REGEXREPLACE(REGEXREPLACE(REGEXREPLACE(REGEXREPLACE(REGEXREPLACE(E82,"","",),IF(Projections!$U$3="""",""PG"",),),IF(Projections!$V$3="""",""SG"",),),IF(Projections!$W$3="""",""SF"",),),IF(Projections!$X$3="""",""PF"",),),IF(Project"&amp;"ions!$Y$3="""",""C"",),),""/"","""")"),"SGSF")</f>
        <v>SGSF</v>
      </c>
    </row>
    <row r="83">
      <c r="A83" s="29" t="str">
        <f>IF(Projections!$H$3,Draft!I9,"")</f>
        <v>Klay Thompson</v>
      </c>
      <c r="B83">
        <f>IFERROR(__xludf.DUMMYFUNCTION("""COMPUTED_VALUE"""),114.0)</f>
        <v>114</v>
      </c>
      <c r="C83" t="str">
        <f>IFERROR(__xludf.DUMMYFUNCTION("""COMPUTED_VALUE"""),"Anfernee Simons")</f>
        <v>Anfernee Simons</v>
      </c>
      <c r="D83">
        <f>IFERROR(__xludf.DUMMYFUNCTION("""COMPUTED_VALUE"""),72.0)</f>
        <v>72</v>
      </c>
      <c r="E83" t="str">
        <f>IFERROR(__xludf.DUMMYFUNCTION("""COMPUTED_VALUE"""),"PG/SF")</f>
        <v>PG/SF</v>
      </c>
      <c r="F83" s="37">
        <f>IFERROR(__xludf.DUMMYFUNCTION("""COMPUTED_VALUE"""),-2.201857618272829)</f>
        <v>-2.201857618</v>
      </c>
      <c r="G83" s="37">
        <f>IFERROR(__xludf.DUMMYFUNCTION("""COMPUTED_VALUE"""),-0.8291957119209874)</f>
        <v>-0.8291957119</v>
      </c>
      <c r="H83" s="37">
        <f>IFERROR(__xludf.DUMMYFUNCTION("""COMPUTED_VALUE"""),1.3726619063518415)</f>
        <v>1.372661906</v>
      </c>
      <c r="I83" s="37">
        <f>IFERROR(__xludf.DUMMYFUNCTION("""COMPUTED_VALUE"""),18.8)</f>
        <v>18.8</v>
      </c>
      <c r="J83" s="37">
        <f>IFERROR(__xludf.DUMMYFUNCTION("""COMPUTED_VALUE"""),3.0)</f>
        <v>3</v>
      </c>
      <c r="K83" s="37">
        <f>IFERROR(__xludf.DUMMYFUNCTION("""COMPUTED_VALUE"""),3.0)</f>
        <v>3</v>
      </c>
      <c r="L83" s="37">
        <f>IFERROR(__xludf.DUMMYFUNCTION("""COMPUTED_VALUE"""),3.3)</f>
        <v>3.3</v>
      </c>
      <c r="M83" s="37">
        <f>IFERROR(__xludf.DUMMYFUNCTION("""COMPUTED_VALUE"""),0.6)</f>
        <v>0.6</v>
      </c>
      <c r="N83" s="37">
        <f>IFERROR(__xludf.DUMMYFUNCTION("""COMPUTED_VALUE"""),0.1)</f>
        <v>0.1</v>
      </c>
      <c r="O83" s="37">
        <f>IFERROR(__xludf.DUMMYFUNCTION("""COMPUTED_VALUE"""),44.516129032258064)</f>
        <v>44.51612903</v>
      </c>
      <c r="P83" s="37">
        <f>IFERROR(__xludf.DUMMYFUNCTION("""COMPUTED_VALUE"""),90.9090909090909)</f>
        <v>90.90909091</v>
      </c>
      <c r="Q83" s="37">
        <f>IFERROR(__xludf.DUMMYFUNCTION("""COMPUTED_VALUE"""),2.2)</f>
        <v>2.2</v>
      </c>
      <c r="R83" s="37">
        <f>IFERROR(__xludf.DUMMYFUNCTION("""COMPUTED_VALUE"""),0.4918227582698153)</f>
        <v>0.4918227583</v>
      </c>
      <c r="S83" s="37">
        <f>IFERROR(__xludf.DUMMYFUNCTION("""COMPUTED_VALUE"""),1.386515565252004)</f>
        <v>1.386515565</v>
      </c>
      <c r="T83" s="37">
        <f>IFERROR(__xludf.DUMMYFUNCTION("""COMPUTED_VALUE"""),-1.255056886794104)</f>
        <v>-1.255056887</v>
      </c>
      <c r="U83" s="37">
        <f>IFERROR(__xludf.DUMMYFUNCTION("""COMPUTED_VALUE"""),-0.22942633105213456)</f>
        <v>-0.2294263311</v>
      </c>
      <c r="V83" s="37">
        <f>IFERROR(__xludf.DUMMYFUNCTION("""COMPUTED_VALUE"""),-1.6516611750382768)</f>
        <v>-1.651661175</v>
      </c>
      <c r="W83" s="37">
        <f>IFERROR(__xludf.DUMMYFUNCTION("""COMPUTED_VALUE"""),0.0)</f>
        <v>0</v>
      </c>
      <c r="X83" s="37">
        <f>IFERROR(__xludf.DUMMYFUNCTION("""COMPUTED_VALUE"""),0.0)</f>
        <v>0</v>
      </c>
      <c r="Y83" s="37">
        <f>IFERROR(__xludf.DUMMYFUNCTION("""COMPUTED_VALUE"""),0.4286103574417086)</f>
        <v>0.4286103574</v>
      </c>
      <c r="Z83" s="37">
        <f>IFERROR(__xludf.DUMMYFUNCTION("""COMPUTED_VALUE"""),0.0)</f>
        <v>0</v>
      </c>
      <c r="AA83" t="str">
        <f>IFERROR(__xludf.DUMMYFUNCTION("SUBSTITUTE(REGEXREPLACE(REGEXREPLACE(REGEXREPLACE(REGEXREPLACE(REGEXREPLACE(REGEXREPLACE(E83,"","",),IF(Projections!$U$3="""",""PG"",),),IF(Projections!$V$3="""",""SG"",),),IF(Projections!$W$3="""",""SF"",),),IF(Projections!$X$3="""",""PF"",),),IF(Project"&amp;"ions!$Y$3="""",""C"",),),""/"","""")"),"PGSF")</f>
        <v>PGSF</v>
      </c>
    </row>
    <row r="84">
      <c r="A84" s="29" t="str">
        <f>IF(Projections!$H$3,Draft!I10,"")</f>
        <v>Kyle Lowry</v>
      </c>
      <c r="B84">
        <f>IFERROR(__xludf.DUMMYFUNCTION("""COMPUTED_VALUE"""),96.0)</f>
        <v>96</v>
      </c>
      <c r="C84" t="str">
        <f>IFERROR(__xludf.DUMMYFUNCTION("""COMPUTED_VALUE"""),"De'Anthony Melton")</f>
        <v>De'Anthony Melton</v>
      </c>
      <c r="D84">
        <f>IFERROR(__xludf.DUMMYFUNCTION("""COMPUTED_VALUE"""),72.0)</f>
        <v>72</v>
      </c>
      <c r="E84" t="str">
        <f>IFERROR(__xludf.DUMMYFUNCTION("""COMPUTED_VALUE"""),"PG/SG")</f>
        <v>PG/SG</v>
      </c>
      <c r="F84" s="37">
        <f>IFERROR(__xludf.DUMMYFUNCTION("""COMPUTED_VALUE"""),-1.817659418801747)</f>
        <v>-1.817659419</v>
      </c>
      <c r="G84" s="37">
        <f>IFERROR(__xludf.DUMMYFUNCTION("""COMPUTED_VALUE"""),-1.0159198979675303)</f>
        <v>-1.015919898</v>
      </c>
      <c r="H84" s="37">
        <f>IFERROR(__xludf.DUMMYFUNCTION("""COMPUTED_VALUE"""),0.8017395208342166)</f>
        <v>0.8017395208</v>
      </c>
      <c r="I84" s="37">
        <f>IFERROR(__xludf.DUMMYFUNCTION("""COMPUTED_VALUE"""),12.1)</f>
        <v>12.1</v>
      </c>
      <c r="J84" s="37">
        <f>IFERROR(__xludf.DUMMYFUNCTION("""COMPUTED_VALUE"""),2.0)</f>
        <v>2</v>
      </c>
      <c r="K84" s="37">
        <f>IFERROR(__xludf.DUMMYFUNCTION("""COMPUTED_VALUE"""),4.1)</f>
        <v>4.1</v>
      </c>
      <c r="L84" s="37">
        <f>IFERROR(__xludf.DUMMYFUNCTION("""COMPUTED_VALUE"""),2.7)</f>
        <v>2.7</v>
      </c>
      <c r="M84" s="37">
        <f>IFERROR(__xludf.DUMMYFUNCTION("""COMPUTED_VALUE"""),1.3)</f>
        <v>1.3</v>
      </c>
      <c r="N84" s="37">
        <f>IFERROR(__xludf.DUMMYFUNCTION("""COMPUTED_VALUE"""),0.6)</f>
        <v>0.6</v>
      </c>
      <c r="O84" s="37">
        <f>IFERROR(__xludf.DUMMYFUNCTION("""COMPUTED_VALUE"""),41.12149532710281)</f>
        <v>41.12149533</v>
      </c>
      <c r="P84" s="37">
        <f>IFERROR(__xludf.DUMMYFUNCTION("""COMPUTED_VALUE"""),81.25)</f>
        <v>81.25</v>
      </c>
      <c r="Q84" s="37">
        <f>IFERROR(__xludf.DUMMYFUNCTION("""COMPUTED_VALUE"""),1.7)</f>
        <v>1.7</v>
      </c>
      <c r="R84" s="37">
        <f>IFERROR(__xludf.DUMMYFUNCTION("""COMPUTED_VALUE"""),-1.2922857431137424)</f>
        <v>-1.292285743</v>
      </c>
      <c r="S84" s="37">
        <f>IFERROR(__xludf.DUMMYFUNCTION("""COMPUTED_VALUE"""),0.3865600027033658)</f>
        <v>0.3865600027</v>
      </c>
      <c r="T84" s="37">
        <f>IFERROR(__xludf.DUMMYFUNCTION("""COMPUTED_VALUE"""),-0.8060199434508303)</f>
        <v>-0.8060199435</v>
      </c>
      <c r="U84" s="37">
        <f>IFERROR(__xludf.DUMMYFUNCTION("""COMPUTED_VALUE"""),-0.5718422575306121)</f>
        <v>-0.5718422575</v>
      </c>
      <c r="V84" s="37">
        <f>IFERROR(__xludf.DUMMYFUNCTION("""COMPUTED_VALUE"""),1.209937837528042)</f>
        <v>1.209937838</v>
      </c>
      <c r="W84" s="37">
        <f>IFERROR(__xludf.DUMMYFUNCTION("""COMPUTED_VALUE"""),0.0)</f>
        <v>0</v>
      </c>
      <c r="X84" s="37">
        <f>IFERROR(__xludf.DUMMYFUNCTION("""COMPUTED_VALUE"""),0.0)</f>
        <v>0</v>
      </c>
      <c r="Y84" s="37">
        <f>IFERROR(__xludf.DUMMYFUNCTION("""COMPUTED_VALUE"""),0.05773020589624655)</f>
        <v>0.0577302059</v>
      </c>
      <c r="Z84" s="37">
        <f>IFERROR(__xludf.DUMMYFUNCTION("""COMPUTED_VALUE"""),0.0)</f>
        <v>0</v>
      </c>
      <c r="AA84" t="str">
        <f>IFERROR(__xludf.DUMMYFUNCTION("SUBSTITUTE(REGEXREPLACE(REGEXREPLACE(REGEXREPLACE(REGEXREPLACE(REGEXREPLACE(REGEXREPLACE(E84,"","",),IF(Projections!$U$3="""",""PG"",),),IF(Projections!$V$3="""",""SG"",),),IF(Projections!$W$3="""",""SF"",),),IF(Projections!$X$3="""",""PF"",),),IF(Project"&amp;"ions!$Y$3="""",""C"",),),""/"","""")"),"PGSG")</f>
        <v>PGSG</v>
      </c>
    </row>
    <row r="85">
      <c r="A85" s="29" t="str">
        <f>IF(Projections!$H$3,Draft!I11,"")</f>
        <v>Lauri Markkanen</v>
      </c>
      <c r="B85">
        <f>IFERROR(__xludf.DUMMYFUNCTION("""COMPUTED_VALUE"""),69.0)</f>
        <v>69</v>
      </c>
      <c r="C85" t="str">
        <f>IFERROR(__xludf.DUMMYFUNCTION("""COMPUTED_VALUE"""),"Mikal Bridges")</f>
        <v>Mikal Bridges</v>
      </c>
      <c r="D85">
        <f>IFERROR(__xludf.DUMMYFUNCTION("""COMPUTED_VALUE"""),71.0)</f>
        <v>71</v>
      </c>
      <c r="E85" t="str">
        <f>IFERROR(__xludf.DUMMYFUNCTION("""COMPUTED_VALUE"""),"SF")</f>
        <v>SF</v>
      </c>
      <c r="F85" s="37">
        <f>IFERROR(__xludf.DUMMYFUNCTION("""COMPUTED_VALUE"""),-0.6371658670994617)</f>
        <v>-0.6371658671</v>
      </c>
      <c r="G85" s="37">
        <f>IFERROR(__xludf.DUMMYFUNCTION("""COMPUTED_VALUE"""),-1.0289819700044665)</f>
        <v>-1.02898197</v>
      </c>
      <c r="H85" s="37">
        <f>IFERROR(__xludf.DUMMYFUNCTION("""COMPUTED_VALUE"""),-0.3918161029050048)</f>
        <v>-0.3918161029</v>
      </c>
      <c r="I85" s="37">
        <f>IFERROR(__xludf.DUMMYFUNCTION("""COMPUTED_VALUE"""),15.4)</f>
        <v>15.4</v>
      </c>
      <c r="J85" s="37">
        <f>IFERROR(__xludf.DUMMYFUNCTION("""COMPUTED_VALUE"""),1.4)</f>
        <v>1.4</v>
      </c>
      <c r="K85" s="37">
        <f>IFERROR(__xludf.DUMMYFUNCTION("""COMPUTED_VALUE"""),4.3)</f>
        <v>4.3</v>
      </c>
      <c r="L85" s="37">
        <f>IFERROR(__xludf.DUMMYFUNCTION("""COMPUTED_VALUE"""),2.4)</f>
        <v>2.4</v>
      </c>
      <c r="M85" s="37">
        <f>IFERROR(__xludf.DUMMYFUNCTION("""COMPUTED_VALUE"""),1.2)</f>
        <v>1.2</v>
      </c>
      <c r="N85" s="37">
        <f>IFERROR(__xludf.DUMMYFUNCTION("""COMPUTED_VALUE"""),0.4)</f>
        <v>0.4</v>
      </c>
      <c r="O85" s="37">
        <f>IFERROR(__xludf.DUMMYFUNCTION("""COMPUTED_VALUE"""),53.50877192982456)</f>
        <v>53.50877193</v>
      </c>
      <c r="P85" s="37">
        <f>IFERROR(__xludf.DUMMYFUNCTION("""COMPUTED_VALUE"""),86.36363636363636)</f>
        <v>86.36363636</v>
      </c>
      <c r="Q85" s="37">
        <f>IFERROR(__xludf.DUMMYFUNCTION("""COMPUTED_VALUE"""),0.8)</f>
        <v>0.8</v>
      </c>
      <c r="R85" s="37">
        <f>IFERROR(__xludf.DUMMYFUNCTION("""COMPUTED_VALUE"""),-0.41354573496960206)</f>
        <v>-0.413545735</v>
      </c>
      <c r="S85" s="37">
        <f>IFERROR(__xludf.DUMMYFUNCTION("""COMPUTED_VALUE"""),-0.2134133348258171)</f>
        <v>-0.2134133348</v>
      </c>
      <c r="T85" s="37">
        <f>IFERROR(__xludf.DUMMYFUNCTION("""COMPUTED_VALUE"""),-0.7243768628429622)</f>
        <v>-0.7243768628</v>
      </c>
      <c r="U85" s="37">
        <f>IFERROR(__xludf.DUMMYFUNCTION("""COMPUTED_VALUE"""),-0.743050220769851)</f>
        <v>-0.7430502208</v>
      </c>
      <c r="V85" s="37">
        <f>IFERROR(__xludf.DUMMYFUNCTION("""COMPUTED_VALUE"""),0.8011379785899962)</f>
        <v>0.8011379786</v>
      </c>
      <c r="W85" s="37">
        <f>IFERROR(__xludf.DUMMYFUNCTION("""COMPUTED_VALUE"""),0.0)</f>
        <v>0</v>
      </c>
      <c r="X85" s="37">
        <f>IFERROR(__xludf.DUMMYFUNCTION("""COMPUTED_VALUE"""),0.0)</f>
        <v>0</v>
      </c>
      <c r="Y85" s="37">
        <f>IFERROR(__xludf.DUMMYFUNCTION("""COMPUTED_VALUE"""),0.26426620481376967)</f>
        <v>0.2642662048</v>
      </c>
      <c r="Z85" s="37">
        <f>IFERROR(__xludf.DUMMYFUNCTION("""COMPUTED_VALUE"""),0.0)</f>
        <v>0</v>
      </c>
      <c r="AA85" t="str">
        <f>IFERROR(__xludf.DUMMYFUNCTION("SUBSTITUTE(REGEXREPLACE(REGEXREPLACE(REGEXREPLACE(REGEXREPLACE(REGEXREPLACE(REGEXREPLACE(E85,"","",),IF(Projections!$U$3="""",""PG"",),),IF(Projections!$V$3="""",""SG"",),),IF(Projections!$W$3="""",""SF"",),),IF(Projections!$X$3="""",""PF"",),),IF(Project"&amp;"ions!$Y$3="""",""C"",),),""/"","""")"),"SF")</f>
        <v>SF</v>
      </c>
    </row>
    <row r="86">
      <c r="A86" s="29" t="str">
        <f>IF(Projections!$H$3,Draft!I12,"")</f>
        <v>Buddy Hield</v>
      </c>
      <c r="B86">
        <f>IFERROR(__xludf.DUMMYFUNCTION("""COMPUTED_VALUE"""),109.0)</f>
        <v>109</v>
      </c>
      <c r="C86" t="str">
        <f>IFERROR(__xludf.DUMMYFUNCTION("""COMPUTED_VALUE"""),"Tre Jones")</f>
        <v>Tre Jones</v>
      </c>
      <c r="D86">
        <f>IFERROR(__xludf.DUMMYFUNCTION("""COMPUTED_VALUE"""),78.0)</f>
        <v>78</v>
      </c>
      <c r="E86" t="str">
        <f>IFERROR(__xludf.DUMMYFUNCTION("""COMPUTED_VALUE"""),"PG")</f>
        <v>PG</v>
      </c>
      <c r="F86" s="37">
        <f>IFERROR(__xludf.DUMMYFUNCTION("""COMPUTED_VALUE"""),-2.0535316803649124)</f>
        <v>-2.05353168</v>
      </c>
      <c r="G86" s="37">
        <f>IFERROR(__xludf.DUMMYFUNCTION("""COMPUTED_VALUE"""),-1.0391914853122948)</f>
        <v>-1.039191485</v>
      </c>
      <c r="H86" s="37">
        <f>IFERROR(__xludf.DUMMYFUNCTION("""COMPUTED_VALUE"""),1.0143401950526176)</f>
        <v>1.014340195</v>
      </c>
      <c r="I86" s="37">
        <f>IFERROR(__xludf.DUMMYFUNCTION("""COMPUTED_VALUE"""),12.2)</f>
        <v>12.2</v>
      </c>
      <c r="J86" s="37">
        <f>IFERROR(__xludf.DUMMYFUNCTION("""COMPUTED_VALUE"""),0.7)</f>
        <v>0.7</v>
      </c>
      <c r="K86" s="37">
        <f>IFERROR(__xludf.DUMMYFUNCTION("""COMPUTED_VALUE"""),4.0)</f>
        <v>4</v>
      </c>
      <c r="L86" s="37">
        <f>IFERROR(__xludf.DUMMYFUNCTION("""COMPUTED_VALUE"""),6.2)</f>
        <v>6.2</v>
      </c>
      <c r="M86" s="37">
        <f>IFERROR(__xludf.DUMMYFUNCTION("""COMPUTED_VALUE"""),1.1)</f>
        <v>1.1</v>
      </c>
      <c r="N86" s="37">
        <f>IFERROR(__xludf.DUMMYFUNCTION("""COMPUTED_VALUE"""),0.2)</f>
        <v>0.2</v>
      </c>
      <c r="O86" s="37">
        <f>IFERROR(__xludf.DUMMYFUNCTION("""COMPUTED_VALUE"""),47.0)</f>
        <v>47</v>
      </c>
      <c r="P86" s="37">
        <f>IFERROR(__xludf.DUMMYFUNCTION("""COMPUTED_VALUE"""),83.33333333333334)</f>
        <v>83.33333333</v>
      </c>
      <c r="Q86" s="37">
        <f>IFERROR(__xludf.DUMMYFUNCTION("""COMPUTED_VALUE"""),1.3)</f>
        <v>1.3</v>
      </c>
      <c r="R86" s="37">
        <f>IFERROR(__xludf.DUMMYFUNCTION("""COMPUTED_VALUE"""),-1.2656572580184657)</f>
        <v>-1.265657258</v>
      </c>
      <c r="S86" s="37">
        <f>IFERROR(__xludf.DUMMYFUNCTION("""COMPUTED_VALUE"""),-0.9133822286098637)</f>
        <v>-0.9133822286</v>
      </c>
      <c r="T86" s="37">
        <f>IFERROR(__xludf.DUMMYFUNCTION("""COMPUTED_VALUE"""),-0.8468414837547641)</f>
        <v>-0.8468414838</v>
      </c>
      <c r="U86" s="37">
        <f>IFERROR(__xludf.DUMMYFUNCTION("""COMPUTED_VALUE"""),1.4255839802605084)</f>
        <v>1.42558398</v>
      </c>
      <c r="V86" s="37">
        <f>IFERROR(__xludf.DUMMYFUNCTION("""COMPUTED_VALUE"""),0.39233811965195126)</f>
        <v>0.3923381197</v>
      </c>
      <c r="W86" s="37">
        <f>IFERROR(__xludf.DUMMYFUNCTION("""COMPUTED_VALUE"""),0.0)</f>
        <v>0</v>
      </c>
      <c r="X86" s="37">
        <f>IFERROR(__xludf.DUMMYFUNCTION("""COMPUTED_VALUE"""),0.0)</f>
        <v>0</v>
      </c>
      <c r="Y86" s="37">
        <f>IFERROR(__xludf.DUMMYFUNCTION("""COMPUTED_VALUE"""),0.16876738515833928)</f>
        <v>0.1687673852</v>
      </c>
      <c r="Z86" s="37">
        <f>IFERROR(__xludf.DUMMYFUNCTION("""COMPUTED_VALUE"""),0.0)</f>
        <v>0</v>
      </c>
      <c r="AA86" t="str">
        <f>IFERROR(__xludf.DUMMYFUNCTION("SUBSTITUTE(REGEXREPLACE(REGEXREPLACE(REGEXREPLACE(REGEXREPLACE(REGEXREPLACE(REGEXREPLACE(E86,"","",),IF(Projections!$U$3="""",""PG"",),),IF(Projections!$V$3="""",""SG"",),),IF(Projections!$W$3="""",""SF"",),),IF(Projections!$X$3="""",""PF"",),),IF(Project"&amp;"ions!$Y$3="""",""C"",),),""/"","""")"),"PG")</f>
        <v>PG</v>
      </c>
    </row>
    <row r="87">
      <c r="A87" s="29" t="str">
        <f>IF(Projections!$H$3,Draft!I13,"")</f>
        <v>Franz Wagner</v>
      </c>
      <c r="B87">
        <f>IFERROR(__xludf.DUMMYFUNCTION("""COMPUTED_VALUE"""),61.0)</f>
        <v>61</v>
      </c>
      <c r="C87" t="str">
        <f>IFERROR(__xludf.DUMMYFUNCTION("""COMPUTED_VALUE"""),"PJ Washington")</f>
        <v>PJ Washington</v>
      </c>
      <c r="D87">
        <f>IFERROR(__xludf.DUMMYFUNCTION("""COMPUTED_VALUE"""),70.0)</f>
        <v>70</v>
      </c>
      <c r="E87" t="str">
        <f>IFERROR(__xludf.DUMMYFUNCTION("""COMPUTED_VALUE"""),"PF/C")</f>
        <v>PF/C</v>
      </c>
      <c r="F87" s="37">
        <f>IFERROR(__xludf.DUMMYFUNCTION("""COMPUTED_VALUE"""),-0.3535522717878827)</f>
        <v>-0.3535522718</v>
      </c>
      <c r="G87" s="37">
        <f>IFERROR(__xludf.DUMMYFUNCTION("""COMPUTED_VALUE"""),-1.0471742924529783)</f>
        <v>-1.047174292</v>
      </c>
      <c r="H87" s="37">
        <f>IFERROR(__xludf.DUMMYFUNCTION("""COMPUTED_VALUE"""),-0.6936220206650956)</f>
        <v>-0.6936220207</v>
      </c>
      <c r="I87" s="37">
        <f>IFERROR(__xludf.DUMMYFUNCTION("""COMPUTED_VALUE"""),13.1)</f>
        <v>13.1</v>
      </c>
      <c r="J87" s="37">
        <f>IFERROR(__xludf.DUMMYFUNCTION("""COMPUTED_VALUE"""),1.9)</f>
        <v>1.9</v>
      </c>
      <c r="K87" s="37">
        <f>IFERROR(__xludf.DUMMYFUNCTION("""COMPUTED_VALUE"""),6.2)</f>
        <v>6.2</v>
      </c>
      <c r="L87" s="37">
        <f>IFERROR(__xludf.DUMMYFUNCTION("""COMPUTED_VALUE"""),2.8)</f>
        <v>2.8</v>
      </c>
      <c r="M87" s="37">
        <f>IFERROR(__xludf.DUMMYFUNCTION("""COMPUTED_VALUE"""),1.1)</f>
        <v>1.1</v>
      </c>
      <c r="N87" s="37">
        <f>IFERROR(__xludf.DUMMYFUNCTION("""COMPUTED_VALUE"""),1.1)</f>
        <v>1.1</v>
      </c>
      <c r="O87" s="37">
        <f>IFERROR(__xludf.DUMMYFUNCTION("""COMPUTED_VALUE"""),46.728971962616825)</f>
        <v>46.72897196</v>
      </c>
      <c r="P87" s="37">
        <f>IFERROR(__xludf.DUMMYFUNCTION("""COMPUTED_VALUE"""),70.58823529411765)</f>
        <v>70.58823529</v>
      </c>
      <c r="Q87" s="37">
        <f>IFERROR(__xludf.DUMMYFUNCTION("""COMPUTED_VALUE"""),1.6)</f>
        <v>1.6</v>
      </c>
      <c r="R87" s="37">
        <f>IFERROR(__xludf.DUMMYFUNCTION("""COMPUTED_VALUE"""),-1.026000892160973)</f>
        <v>-1.026000892</v>
      </c>
      <c r="S87" s="37">
        <f>IFERROR(__xludf.DUMMYFUNCTION("""COMPUTED_VALUE"""),0.28656444644850193)</f>
        <v>0.2865644464</v>
      </c>
      <c r="T87" s="37">
        <f>IFERROR(__xludf.DUMMYFUNCTION("""COMPUTED_VALUE"""),0.051232402931783966)</f>
        <v>0.05123240293</v>
      </c>
      <c r="U87" s="37">
        <f>IFERROR(__xludf.DUMMYFUNCTION("""COMPUTED_VALUE"""),-0.514772936450866)</f>
        <v>-0.5147729365</v>
      </c>
      <c r="V87" s="37">
        <f>IFERROR(__xludf.DUMMYFUNCTION("""COMPUTED_VALUE"""),0.39233811965195126)</f>
        <v>0.3923381197</v>
      </c>
      <c r="W87" s="37">
        <f>IFERROR(__xludf.DUMMYFUNCTION("""COMPUTED_VALUE"""),0.0)</f>
        <v>0</v>
      </c>
      <c r="X87" s="37">
        <f>IFERROR(__xludf.DUMMYFUNCTION("""COMPUTED_VALUE"""),0.0)</f>
        <v>0</v>
      </c>
      <c r="Y87" s="37">
        <f>IFERROR(__xludf.DUMMYFUNCTION("""COMPUTED_VALUE"""),-0.23653543287337675)</f>
        <v>-0.2365354329</v>
      </c>
      <c r="Z87" s="37">
        <f>IFERROR(__xludf.DUMMYFUNCTION("""COMPUTED_VALUE"""),0.0)</f>
        <v>0</v>
      </c>
      <c r="AA87" t="str">
        <f>IFERROR(__xludf.DUMMYFUNCTION("SUBSTITUTE(REGEXREPLACE(REGEXREPLACE(REGEXREPLACE(REGEXREPLACE(REGEXREPLACE(REGEXREPLACE(E87,"","",),IF(Projections!$U$3="""",""PG"",),),IF(Projections!$V$3="""",""SG"",),),IF(Projections!$W$3="""",""SF"",),),IF(Projections!$X$3="""",""PF"",),),IF(Project"&amp;"ions!$Y$3="""",""C"",),),""/"","""")"),"PFC")</f>
        <v>PFC</v>
      </c>
    </row>
    <row r="88">
      <c r="A88" s="29" t="str">
        <f>IF(Projections!$H$3,Draft!I14,"")</f>
        <v>Paolo Banchero</v>
      </c>
      <c r="B88">
        <f>IFERROR(__xludf.DUMMYFUNCTION("""COMPUTED_VALUE"""),85.0)</f>
        <v>85</v>
      </c>
      <c r="C88" t="str">
        <f>IFERROR(__xludf.DUMMYFUNCTION("""COMPUTED_VALUE"""),"Zion Williamson")</f>
        <v>Zion Williamson</v>
      </c>
      <c r="D88">
        <f>IFERROR(__xludf.DUMMYFUNCTION("""COMPUTED_VALUE"""),68.0)</f>
        <v>68</v>
      </c>
      <c r="E88" t="str">
        <f>IFERROR(__xludf.DUMMYFUNCTION("""COMPUTED_VALUE"""),"PF")</f>
        <v>PF</v>
      </c>
      <c r="F88" s="37">
        <f>IFERROR(__xludf.DUMMYFUNCTION("""COMPUTED_VALUE"""),-1.394591562233644)</f>
        <v>-1.394591562</v>
      </c>
      <c r="G88" s="37">
        <f>IFERROR(__xludf.DUMMYFUNCTION("""COMPUTED_VALUE"""),-1.0585391518656273)</f>
        <v>-1.058539152</v>
      </c>
      <c r="H88" s="37">
        <f>IFERROR(__xludf.DUMMYFUNCTION("""COMPUTED_VALUE"""),0.3360524103680167)</f>
        <v>0.3360524104</v>
      </c>
      <c r="I88" s="37">
        <f>IFERROR(__xludf.DUMMYFUNCTION("""COMPUTED_VALUE"""),25.5)</f>
        <v>25.5</v>
      </c>
      <c r="J88" s="37">
        <f>IFERROR(__xludf.DUMMYFUNCTION("""COMPUTED_VALUE"""),0.2)</f>
        <v>0.2</v>
      </c>
      <c r="K88" s="37">
        <f>IFERROR(__xludf.DUMMYFUNCTION("""COMPUTED_VALUE"""),7.3)</f>
        <v>7.3</v>
      </c>
      <c r="L88" s="37">
        <f>IFERROR(__xludf.DUMMYFUNCTION("""COMPUTED_VALUE"""),3.1)</f>
        <v>3.1</v>
      </c>
      <c r="M88" s="37">
        <f>IFERROR(__xludf.DUMMYFUNCTION("""COMPUTED_VALUE"""),0.8)</f>
        <v>0.8</v>
      </c>
      <c r="N88" s="37">
        <f>IFERROR(__xludf.DUMMYFUNCTION("""COMPUTED_VALUE"""),0.5)</f>
        <v>0.5</v>
      </c>
      <c r="O88" s="37">
        <f>IFERROR(__xludf.DUMMYFUNCTION("""COMPUTED_VALUE"""),58.64197530864198)</f>
        <v>58.64197531</v>
      </c>
      <c r="P88" s="37">
        <f>IFERROR(__xludf.DUMMYFUNCTION("""COMPUTED_VALUE"""),70.45454545454545)</f>
        <v>70.45454545</v>
      </c>
      <c r="Q88" s="37">
        <f>IFERROR(__xludf.DUMMYFUNCTION("""COMPUTED_VALUE"""),2.7)</f>
        <v>2.7</v>
      </c>
      <c r="R88" s="37">
        <f>IFERROR(__xludf.DUMMYFUNCTION("""COMPUTED_VALUE"""),2.2759312596533725)</f>
        <v>2.27593126</v>
      </c>
      <c r="S88" s="37">
        <f>IFERROR(__xludf.DUMMYFUNCTION("""COMPUTED_VALUE"""),-1.4133600098841828)</f>
        <v>-1.41336001</v>
      </c>
      <c r="T88" s="37">
        <f>IFERROR(__xludf.DUMMYFUNCTION("""COMPUTED_VALUE"""),0.5002693462750578)</f>
        <v>0.5002693463</v>
      </c>
      <c r="U88" s="37">
        <f>IFERROR(__xludf.DUMMYFUNCTION("""COMPUTED_VALUE"""),-0.343564973211627)</f>
        <v>-0.3435649732</v>
      </c>
      <c r="V88" s="37">
        <f>IFERROR(__xludf.DUMMYFUNCTION("""COMPUTED_VALUE"""),-0.8340614571621854)</f>
        <v>-0.8340614572</v>
      </c>
      <c r="W88" s="37">
        <f>IFERROR(__xludf.DUMMYFUNCTION("""COMPUTED_VALUE"""),0.0)</f>
        <v>0</v>
      </c>
      <c r="X88" s="37">
        <f>IFERROR(__xludf.DUMMYFUNCTION("""COMPUTED_VALUE"""),0.0)</f>
        <v>0</v>
      </c>
      <c r="Y88" s="37">
        <f>IFERROR(__xludf.DUMMYFUNCTION("""COMPUTED_VALUE"""),-1.2437533175360624)</f>
        <v>-1.243753318</v>
      </c>
      <c r="Z88" s="37">
        <f>IFERROR(__xludf.DUMMYFUNCTION("""COMPUTED_VALUE"""),0.0)</f>
        <v>0</v>
      </c>
      <c r="AA88" t="str">
        <f>IFERROR(__xludf.DUMMYFUNCTION("SUBSTITUTE(REGEXREPLACE(REGEXREPLACE(REGEXREPLACE(REGEXREPLACE(REGEXREPLACE(REGEXREPLACE(E88,"","",),IF(Projections!$U$3="""",""PG"",),),IF(Projections!$V$3="""",""SG"",),),IF(Projections!$W$3="""",""SF"",),),IF(Projections!$X$3="""",""PF"",),),IF(Project"&amp;"ions!$Y$3="""",""C"",),),""/"","""")"),"PF")</f>
        <v>PF</v>
      </c>
    </row>
    <row r="89">
      <c r="A89" s="29" t="str">
        <f>IF(Projections!$H$3,Draft!J3,"")</f>
        <v>Gordon Hayward</v>
      </c>
      <c r="B89">
        <f>IFERROR(__xludf.DUMMYFUNCTION("""COMPUTED_VALUE"""),150.0)</f>
        <v>150</v>
      </c>
      <c r="C89" t="str">
        <f>IFERROR(__xludf.DUMMYFUNCTION("""COMPUTED_VALUE"""),"RJ Barrett")</f>
        <v>RJ Barrett</v>
      </c>
      <c r="D89">
        <f>IFERROR(__xludf.DUMMYFUNCTION("""COMPUTED_VALUE"""),77.0)</f>
        <v>77</v>
      </c>
      <c r="E89" t="str">
        <f>IFERROR(__xludf.DUMMYFUNCTION("""COMPUTED_VALUE"""),"SF")</f>
        <v>SF</v>
      </c>
      <c r="F89" s="37">
        <f>IFERROR(__xludf.DUMMYFUNCTION("""COMPUTED_VALUE"""),-3.5423855780898794)</f>
        <v>-3.542385578</v>
      </c>
      <c r="G89" s="37">
        <f>IFERROR(__xludf.DUMMYFUNCTION("""COMPUTED_VALUE"""),-1.0615754877373074)</f>
        <v>-1.061575488</v>
      </c>
      <c r="H89" s="37">
        <f>IFERROR(__xludf.DUMMYFUNCTION("""COMPUTED_VALUE"""),2.480810090352572)</f>
        <v>2.48081009</v>
      </c>
      <c r="I89" s="37">
        <f>IFERROR(__xludf.DUMMYFUNCTION("""COMPUTED_VALUE"""),20.0)</f>
        <v>20</v>
      </c>
      <c r="J89" s="37">
        <f>IFERROR(__xludf.DUMMYFUNCTION("""COMPUTED_VALUE"""),2.1)</f>
        <v>2.1</v>
      </c>
      <c r="K89" s="37">
        <f>IFERROR(__xludf.DUMMYFUNCTION("""COMPUTED_VALUE"""),5.9)</f>
        <v>5.9</v>
      </c>
      <c r="L89" s="37">
        <f>IFERROR(__xludf.DUMMYFUNCTION("""COMPUTED_VALUE"""),3.1)</f>
        <v>3.1</v>
      </c>
      <c r="M89" s="37">
        <f>IFERROR(__xludf.DUMMYFUNCTION("""COMPUTED_VALUE"""),0.7)</f>
        <v>0.7</v>
      </c>
      <c r="N89" s="37">
        <f>IFERROR(__xludf.DUMMYFUNCTION("""COMPUTED_VALUE"""),0.3)</f>
        <v>0.3</v>
      </c>
      <c r="O89" s="37">
        <f>IFERROR(__xludf.DUMMYFUNCTION("""COMPUTED_VALUE"""),43.47826086956522)</f>
        <v>43.47826087</v>
      </c>
      <c r="P89" s="37">
        <f>IFERROR(__xludf.DUMMYFUNCTION("""COMPUTED_VALUE"""),71.42857142857143)</f>
        <v>71.42857143</v>
      </c>
      <c r="Q89" s="37">
        <f>IFERROR(__xludf.DUMMYFUNCTION("""COMPUTED_VALUE"""),2.2)</f>
        <v>2.2</v>
      </c>
      <c r="R89" s="37">
        <f>IFERROR(__xludf.DUMMYFUNCTION("""COMPUTED_VALUE"""),0.8113645794131388)</f>
        <v>0.8113645794</v>
      </c>
      <c r="S89" s="37">
        <f>IFERROR(__xludf.DUMMYFUNCTION("""COMPUTED_VALUE"""),0.4865555589582297)</f>
        <v>0.486555559</v>
      </c>
      <c r="T89" s="37">
        <f>IFERROR(__xludf.DUMMYFUNCTION("""COMPUTED_VALUE"""),-0.07123221798001796)</f>
        <v>-0.07123221798</v>
      </c>
      <c r="U89" s="37">
        <f>IFERROR(__xludf.DUMMYFUNCTION("""COMPUTED_VALUE"""),-0.343564973211627)</f>
        <v>-0.3435649732</v>
      </c>
      <c r="V89" s="37">
        <f>IFERROR(__xludf.DUMMYFUNCTION("""COMPUTED_VALUE"""),-1.2428613161002313)</f>
        <v>-1.242861316</v>
      </c>
      <c r="W89" s="37">
        <f>IFERROR(__xludf.DUMMYFUNCTION("""COMPUTED_VALUE"""),0.0)</f>
        <v>0</v>
      </c>
      <c r="X89" s="37">
        <f>IFERROR(__xludf.DUMMYFUNCTION("""COMPUTED_VALUE"""),0.0)</f>
        <v>0</v>
      </c>
      <c r="Y89" s="37">
        <f>IFERROR(__xludf.DUMMYFUNCTION("""COMPUTED_VALUE"""),-0.7018371188167996)</f>
        <v>-0.7018371188</v>
      </c>
      <c r="Z89" s="37">
        <f>IFERROR(__xludf.DUMMYFUNCTION("""COMPUTED_VALUE"""),0.0)</f>
        <v>0</v>
      </c>
      <c r="AA89" t="str">
        <f>IFERROR(__xludf.DUMMYFUNCTION("SUBSTITUTE(REGEXREPLACE(REGEXREPLACE(REGEXREPLACE(REGEXREPLACE(REGEXREPLACE(REGEXREPLACE(E89,"","",),IF(Projections!$U$3="""",""PG"",),),IF(Projections!$V$3="""",""SG"",),),IF(Projections!$W$3="""",""SF"",),),IF(Projections!$X$3="""",""PF"",),),IF(Project"&amp;"ions!$Y$3="""",""C"",),),""/"","""")"),"SF")</f>
        <v>SF</v>
      </c>
    </row>
    <row r="90">
      <c r="A90" s="29" t="str">
        <f>IF(Projections!$H$3,Draft!J4,"")</f>
        <v>Anfernee Simons</v>
      </c>
      <c r="B90">
        <f>IFERROR(__xludf.DUMMYFUNCTION("""COMPUTED_VALUE"""),88.0)</f>
        <v>88</v>
      </c>
      <c r="C90" t="str">
        <f>IFERROR(__xludf.DUMMYFUNCTION("""COMPUTED_VALUE"""),"Paolo Banchero")</f>
        <v>Paolo Banchero</v>
      </c>
      <c r="D90">
        <f>IFERROR(__xludf.DUMMYFUNCTION("""COMPUTED_VALUE"""),80.0)</f>
        <v>80</v>
      </c>
      <c r="E90" t="str">
        <f>IFERROR(__xludf.DUMMYFUNCTION("""COMPUTED_VALUE"""),"PF")</f>
        <v>PF</v>
      </c>
      <c r="F90" s="37">
        <f>IFERROR(__xludf.DUMMYFUNCTION("""COMPUTED_VALUE"""),-1.466316636046789)</f>
        <v>-1.466316636</v>
      </c>
      <c r="G90" s="37">
        <f>IFERROR(__xludf.DUMMYFUNCTION("""COMPUTED_VALUE"""),-1.202421205804373)</f>
        <v>-1.202421206</v>
      </c>
      <c r="H90" s="37">
        <f>IFERROR(__xludf.DUMMYFUNCTION("""COMPUTED_VALUE"""),0.2638954302424159)</f>
        <v>0.2638954302</v>
      </c>
      <c r="I90" s="37">
        <f>IFERROR(__xludf.DUMMYFUNCTION("""COMPUTED_VALUE"""),17.9)</f>
        <v>17.9</v>
      </c>
      <c r="J90" s="37">
        <f>IFERROR(__xludf.DUMMYFUNCTION("""COMPUTED_VALUE"""),1.1)</f>
        <v>1.1</v>
      </c>
      <c r="K90" s="37">
        <f>IFERROR(__xludf.DUMMYFUNCTION("""COMPUTED_VALUE"""),7.7)</f>
        <v>7.7</v>
      </c>
      <c r="L90" s="37">
        <f>IFERROR(__xludf.DUMMYFUNCTION("""COMPUTED_VALUE"""),3.2)</f>
        <v>3.2</v>
      </c>
      <c r="M90" s="37">
        <f>IFERROR(__xludf.DUMMYFUNCTION("""COMPUTED_VALUE"""),0.8)</f>
        <v>0.8</v>
      </c>
      <c r="N90" s="37">
        <f>IFERROR(__xludf.DUMMYFUNCTION("""COMPUTED_VALUE"""),0.9)</f>
        <v>0.9</v>
      </c>
      <c r="O90" s="37">
        <f>IFERROR(__xludf.DUMMYFUNCTION("""COMPUTED_VALUE"""),46.808510638297875)</f>
        <v>46.80851064</v>
      </c>
      <c r="P90" s="37">
        <f>IFERROR(__xludf.DUMMYFUNCTION("""COMPUTED_VALUE"""),72.91666666666667)</f>
        <v>72.91666667</v>
      </c>
      <c r="Q90" s="37">
        <f>IFERROR(__xludf.DUMMYFUNCTION("""COMPUTED_VALUE"""),2.4)</f>
        <v>2.4</v>
      </c>
      <c r="R90" s="37">
        <f>IFERROR(__xludf.DUMMYFUNCTION("""COMPUTED_VALUE"""),0.2521663924123219)</f>
        <v>0.2521663924</v>
      </c>
      <c r="S90" s="37">
        <f>IFERROR(__xludf.DUMMYFUNCTION("""COMPUTED_VALUE"""),-0.5134000035904084)</f>
        <v>-0.5134000036</v>
      </c>
      <c r="T90" s="37">
        <f>IFERROR(__xludf.DUMMYFUNCTION("""COMPUTED_VALUE"""),0.663555507490794)</f>
        <v>0.6635555075</v>
      </c>
      <c r="U90" s="37">
        <f>IFERROR(__xludf.DUMMYFUNCTION("""COMPUTED_VALUE"""),-0.2864956521318806)</f>
        <v>-0.2864956521</v>
      </c>
      <c r="V90" s="37">
        <f>IFERROR(__xludf.DUMMYFUNCTION("""COMPUTED_VALUE"""),-0.8340614571621854)</f>
        <v>-0.8340614572</v>
      </c>
      <c r="W90" s="37">
        <f>IFERROR(__xludf.DUMMYFUNCTION("""COMPUTED_VALUE"""),0.0)</f>
        <v>0</v>
      </c>
      <c r="X90" s="37">
        <f>IFERROR(__xludf.DUMMYFUNCTION("""COMPUTED_VALUE"""),0.0)</f>
        <v>0</v>
      </c>
      <c r="Y90" s="37">
        <f>IFERROR(__xludf.DUMMYFUNCTION("""COMPUTED_VALUE"""),-0.4841859928230145)</f>
        <v>-0.4841859928</v>
      </c>
      <c r="Z90" s="37">
        <f>IFERROR(__xludf.DUMMYFUNCTION("""COMPUTED_VALUE"""),0.0)</f>
        <v>0</v>
      </c>
      <c r="AA90" t="str">
        <f>IFERROR(__xludf.DUMMYFUNCTION("SUBSTITUTE(REGEXREPLACE(REGEXREPLACE(REGEXREPLACE(REGEXREPLACE(REGEXREPLACE(REGEXREPLACE(E90,"","",),IF(Projections!$U$3="""",""PG"",),),IF(Projections!$V$3="""",""SG"",),),IF(Projections!$W$3="""",""SF"",),),IF(Projections!$X$3="""",""PF"",),),IF(Project"&amp;"ions!$Y$3="""",""C"",),),""/"","""")"),"PF")</f>
        <v>PF</v>
      </c>
    </row>
    <row r="91">
      <c r="A91" s="29" t="str">
        <f>IF(Projections!$H$3,Draft!J5,"")</f>
        <v>Jerami Grant</v>
      </c>
      <c r="B91">
        <f>IFERROR(__xludf.DUMMYFUNCTION("""COMPUTED_VALUE"""),73.0)</f>
        <v>73</v>
      </c>
      <c r="C91" t="str">
        <f>IFERROR(__xludf.DUMMYFUNCTION("""COMPUTED_VALUE"""),"Alperen Sengun")</f>
        <v>Alperen Sengun</v>
      </c>
      <c r="D91">
        <f>IFERROR(__xludf.DUMMYFUNCTION("""COMPUTED_VALUE"""),70.0)</f>
        <v>70</v>
      </c>
      <c r="E91" t="str">
        <f>IFERROR(__xludf.DUMMYFUNCTION("""COMPUTED_VALUE"""),"C")</f>
        <v>C</v>
      </c>
      <c r="F91" s="37">
        <f>IFERROR(__xludf.DUMMYFUNCTION("""COMPUTED_VALUE"""),-0.7498920076828726)</f>
        <v>-0.7498920077</v>
      </c>
      <c r="G91" s="37">
        <f>IFERROR(__xludf.DUMMYFUNCTION("""COMPUTED_VALUE"""),-1.2905022308167449)</f>
        <v>-1.290502231</v>
      </c>
      <c r="H91" s="37">
        <f>IFERROR(__xludf.DUMMYFUNCTION("""COMPUTED_VALUE"""),-0.5406102231338723)</f>
        <v>-0.5406102231</v>
      </c>
      <c r="I91" s="37">
        <f>IFERROR(__xludf.DUMMYFUNCTION("""COMPUTED_VALUE"""),14.3)</f>
        <v>14.3</v>
      </c>
      <c r="J91" s="37">
        <f>IFERROR(__xludf.DUMMYFUNCTION("""COMPUTED_VALUE"""),0.6)</f>
        <v>0.6</v>
      </c>
      <c r="K91" s="37">
        <f>IFERROR(__xludf.DUMMYFUNCTION("""COMPUTED_VALUE"""),8.3)</f>
        <v>8.3</v>
      </c>
      <c r="L91" s="37">
        <f>IFERROR(__xludf.DUMMYFUNCTION("""COMPUTED_VALUE"""),3.8)</f>
        <v>3.8</v>
      </c>
      <c r="M91" s="37">
        <f>IFERROR(__xludf.DUMMYFUNCTION("""COMPUTED_VALUE"""),1.0)</f>
        <v>1</v>
      </c>
      <c r="N91" s="37">
        <f>IFERROR(__xludf.DUMMYFUNCTION("""COMPUTED_VALUE"""),1.2)</f>
        <v>1.2</v>
      </c>
      <c r="O91" s="37">
        <f>IFERROR(__xludf.DUMMYFUNCTION("""COMPUTED_VALUE"""),47.27272727272727)</f>
        <v>47.27272727</v>
      </c>
      <c r="P91" s="37">
        <f>IFERROR(__xludf.DUMMYFUNCTION("""COMPUTED_VALUE"""),72.34042553191489)</f>
        <v>72.34042553</v>
      </c>
      <c r="Q91" s="37">
        <f>IFERROR(__xludf.DUMMYFUNCTION("""COMPUTED_VALUE"""),3.0)</f>
        <v>3</v>
      </c>
      <c r="R91" s="37">
        <f>IFERROR(__xludf.DUMMYFUNCTION("""COMPUTED_VALUE"""),-0.7064590710176487)</f>
        <v>-0.706459071</v>
      </c>
      <c r="S91" s="37">
        <f>IFERROR(__xludf.DUMMYFUNCTION("""COMPUTED_VALUE"""),-1.0133777848647274)</f>
        <v>-1.013377785</v>
      </c>
      <c r="T91" s="37">
        <f>IFERROR(__xludf.DUMMYFUNCTION("""COMPUTED_VALUE"""),0.9084847493143983)</f>
        <v>0.9084847493</v>
      </c>
      <c r="U91" s="37">
        <f>IFERROR(__xludf.DUMMYFUNCTION("""COMPUTED_VALUE"""),0.055920274346596924)</f>
        <v>0.05592027435</v>
      </c>
      <c r="V91" s="37">
        <f>IFERROR(__xludf.DUMMYFUNCTION("""COMPUTED_VALUE"""),-0.01646173928609459)</f>
        <v>-0.01646173929</v>
      </c>
      <c r="W91" s="37">
        <f>IFERROR(__xludf.DUMMYFUNCTION("""COMPUTED_VALUE"""),0.0)</f>
        <v>0</v>
      </c>
      <c r="X91" s="37">
        <f>IFERROR(__xludf.DUMMYFUNCTION("""COMPUTED_VALUE"""),0.0)</f>
        <v>0</v>
      </c>
      <c r="Y91" s="37">
        <f>IFERROR(__xludf.DUMMYFUNCTION("""COMPUTED_VALUE"""),-0.5186086593092695)</f>
        <v>-0.5186086593</v>
      </c>
      <c r="Z91" s="37">
        <f>IFERROR(__xludf.DUMMYFUNCTION("""COMPUTED_VALUE"""),0.0)</f>
        <v>0</v>
      </c>
      <c r="AA91" t="str">
        <f>IFERROR(__xludf.DUMMYFUNCTION("SUBSTITUTE(REGEXREPLACE(REGEXREPLACE(REGEXREPLACE(REGEXREPLACE(REGEXREPLACE(REGEXREPLACE(E91,"","",),IF(Projections!$U$3="""",""PG"",),),IF(Projections!$V$3="""",""SG"",),),IF(Projections!$W$3="""",""SF"",),),IF(Projections!$X$3="""",""PF"",),),IF(Project"&amp;"ions!$Y$3="""",""C"",),),""/"","""")"),"C")</f>
        <v>C</v>
      </c>
    </row>
    <row r="92">
      <c r="A92" s="29" t="str">
        <f>IF(Projections!$H$3,Draft!J6,"")</f>
        <v>Jalen Smith</v>
      </c>
      <c r="B92">
        <f>IFERROR(__xludf.DUMMYFUNCTION("""COMPUTED_VALUE"""),86.0)</f>
        <v>86</v>
      </c>
      <c r="C92" t="str">
        <f>IFERROR(__xludf.DUMMYFUNCTION("""COMPUTED_VALUE"""),"Kelly Olynyk")</f>
        <v>Kelly Olynyk</v>
      </c>
      <c r="D92">
        <f>IFERROR(__xludf.DUMMYFUNCTION("""COMPUTED_VALUE"""),68.0)</f>
        <v>68</v>
      </c>
      <c r="E92" t="str">
        <f>IFERROR(__xludf.DUMMYFUNCTION("""COMPUTED_VALUE"""),"PF/C")</f>
        <v>PF/C</v>
      </c>
      <c r="F92" s="37">
        <f>IFERROR(__xludf.DUMMYFUNCTION("""COMPUTED_VALUE"""),-1.4054422733302518)</f>
        <v>-1.405442273</v>
      </c>
      <c r="G92" s="37">
        <f>IFERROR(__xludf.DUMMYFUNCTION("""COMPUTED_VALUE"""),-1.299981013881037)</f>
        <v>-1.299981014</v>
      </c>
      <c r="H92" s="37">
        <f>IFERROR(__xludf.DUMMYFUNCTION("""COMPUTED_VALUE"""),0.1054612594492148)</f>
        <v>0.1054612594</v>
      </c>
      <c r="I92" s="37">
        <f>IFERROR(__xludf.DUMMYFUNCTION("""COMPUTED_VALUE"""),11.5)</f>
        <v>11.5</v>
      </c>
      <c r="J92" s="37">
        <f>IFERROR(__xludf.DUMMYFUNCTION("""COMPUTED_VALUE"""),1.3)</f>
        <v>1.3</v>
      </c>
      <c r="K92" s="37">
        <f>IFERROR(__xludf.DUMMYFUNCTION("""COMPUTED_VALUE"""),6.2)</f>
        <v>6.2</v>
      </c>
      <c r="L92" s="37">
        <f>IFERROR(__xludf.DUMMYFUNCTION("""COMPUTED_VALUE"""),3.9)</f>
        <v>3.9</v>
      </c>
      <c r="M92" s="37">
        <f>IFERROR(__xludf.DUMMYFUNCTION("""COMPUTED_VALUE"""),1.1)</f>
        <v>1.1</v>
      </c>
      <c r="N92" s="37">
        <f>IFERROR(__xludf.DUMMYFUNCTION("""COMPUTED_VALUE"""),0.7)</f>
        <v>0.7</v>
      </c>
      <c r="O92" s="37">
        <f>IFERROR(__xludf.DUMMYFUNCTION("""COMPUTED_VALUE"""),45.05494505494505)</f>
        <v>45.05494505</v>
      </c>
      <c r="P92" s="37">
        <f>IFERROR(__xludf.DUMMYFUNCTION("""COMPUTED_VALUE"""),76.92307692307692)</f>
        <v>76.92307692</v>
      </c>
      <c r="Q92" s="37">
        <f>IFERROR(__xludf.DUMMYFUNCTION("""COMPUTED_VALUE"""),2.1)</f>
        <v>2.1</v>
      </c>
      <c r="R92" s="37">
        <f>IFERROR(__xludf.DUMMYFUNCTION("""COMPUTED_VALUE"""),-1.4520566536854043)</f>
        <v>-1.452056654</v>
      </c>
      <c r="S92" s="37">
        <f>IFERROR(__xludf.DUMMYFUNCTION("""COMPUTED_VALUE"""),-0.31340889108068076)</f>
        <v>-0.3134088911</v>
      </c>
      <c r="T92" s="37">
        <f>IFERROR(__xludf.DUMMYFUNCTION("""COMPUTED_VALUE"""),0.051232402931783966)</f>
        <v>0.05123240293</v>
      </c>
      <c r="U92" s="37">
        <f>IFERROR(__xludf.DUMMYFUNCTION("""COMPUTED_VALUE"""),0.11298959542634326)</f>
        <v>0.1129895954</v>
      </c>
      <c r="V92" s="37">
        <f>IFERROR(__xludf.DUMMYFUNCTION("""COMPUTED_VALUE"""),0.39233811965195126)</f>
        <v>0.3923381197</v>
      </c>
      <c r="W92" s="37">
        <f>IFERROR(__xludf.DUMMYFUNCTION("""COMPUTED_VALUE"""),0.0)</f>
        <v>0</v>
      </c>
      <c r="X92" s="37">
        <f>IFERROR(__xludf.DUMMYFUNCTION("""COMPUTED_VALUE"""),0.0)</f>
        <v>0</v>
      </c>
      <c r="Y92" s="37">
        <f>IFERROR(__xludf.DUMMYFUNCTION("""COMPUTED_VALUE"""),-0.09107558712503065)</f>
        <v>-0.09107558713</v>
      </c>
      <c r="Z92" s="37">
        <f>IFERROR(__xludf.DUMMYFUNCTION("""COMPUTED_VALUE"""),0.0)</f>
        <v>0</v>
      </c>
      <c r="AA92" t="str">
        <f>IFERROR(__xludf.DUMMYFUNCTION("SUBSTITUTE(REGEXREPLACE(REGEXREPLACE(REGEXREPLACE(REGEXREPLACE(REGEXREPLACE(REGEXREPLACE(E92,"","",),IF(Projections!$U$3="""",""PG"",),),IF(Projections!$V$3="""",""SG"",),),IF(Projections!$W$3="""",""SF"",),),IF(Projections!$X$3="""",""PF"",),),IF(Project"&amp;"ions!$Y$3="""",""C"",),),""/"","""")"),"PFC")</f>
        <v>PFC</v>
      </c>
    </row>
    <row r="93">
      <c r="A93" s="29" t="str">
        <f>IF(Projections!$H$3,Draft!J7,"")</f>
        <v>Mitchell Robinson</v>
      </c>
      <c r="B93">
        <f>IFERROR(__xludf.DUMMYFUNCTION("""COMPUTED_VALUE"""),97.0)</f>
        <v>97</v>
      </c>
      <c r="C93" t="str">
        <f>IFERROR(__xludf.DUMMYFUNCTION("""COMPUTED_VALUE"""),"Franz Wagner")</f>
        <v>Franz Wagner</v>
      </c>
      <c r="D93">
        <f>IFERROR(__xludf.DUMMYFUNCTION("""COMPUTED_VALUE"""),64.0)</f>
        <v>64</v>
      </c>
      <c r="E93" t="str">
        <f>IFERROR(__xludf.DUMMYFUNCTION("""COMPUTED_VALUE"""),"SF/PF")</f>
        <v>SF/PF</v>
      </c>
      <c r="F93" s="37">
        <f>IFERROR(__xludf.DUMMYFUNCTION("""COMPUTED_VALUE"""),-1.8464010518768692)</f>
        <v>-1.846401052</v>
      </c>
      <c r="G93" s="37">
        <f>IFERROR(__xludf.DUMMYFUNCTION("""COMPUTED_VALUE"""),-1.300266155014672)</f>
        <v>-1.300266155</v>
      </c>
      <c r="H93" s="37">
        <f>IFERROR(__xludf.DUMMYFUNCTION("""COMPUTED_VALUE"""),0.5461348968621973)</f>
        <v>0.5461348969</v>
      </c>
      <c r="I93" s="37">
        <f>IFERROR(__xludf.DUMMYFUNCTION("""COMPUTED_VALUE"""),16.8)</f>
        <v>16.8</v>
      </c>
      <c r="J93" s="37">
        <f>IFERROR(__xludf.DUMMYFUNCTION("""COMPUTED_VALUE"""),1.4)</f>
        <v>1.4</v>
      </c>
      <c r="K93" s="37">
        <f>IFERROR(__xludf.DUMMYFUNCTION("""COMPUTED_VALUE"""),4.7)</f>
        <v>4.7</v>
      </c>
      <c r="L93" s="37">
        <f>IFERROR(__xludf.DUMMYFUNCTION("""COMPUTED_VALUE"""),3.0)</f>
        <v>3</v>
      </c>
      <c r="M93" s="37">
        <f>IFERROR(__xludf.DUMMYFUNCTION("""COMPUTED_VALUE"""),0.9)</f>
        <v>0.9</v>
      </c>
      <c r="N93" s="37">
        <f>IFERROR(__xludf.DUMMYFUNCTION("""COMPUTED_VALUE"""),0.4)</f>
        <v>0.4</v>
      </c>
      <c r="O93" s="37">
        <f>IFERROR(__xludf.DUMMYFUNCTION("""COMPUTED_VALUE"""),46.09929078014184)</f>
        <v>46.09929078</v>
      </c>
      <c r="P93" s="37">
        <f>IFERROR(__xludf.DUMMYFUNCTION("""COMPUTED_VALUE"""),86.20689655172414)</f>
        <v>86.20689655</v>
      </c>
      <c r="Q93" s="37">
        <f>IFERROR(__xludf.DUMMYFUNCTION("""COMPUTED_VALUE"""),1.6)</f>
        <v>1.6</v>
      </c>
      <c r="R93" s="37">
        <f>IFERROR(__xludf.DUMMYFUNCTION("""COMPUTED_VALUE"""),-0.040746943635724286)</f>
        <v>-0.04074694364</v>
      </c>
      <c r="S93" s="37">
        <f>IFERROR(__xludf.DUMMYFUNCTION("""COMPUTED_VALUE"""),-0.2134133348258171)</f>
        <v>-0.2134133348</v>
      </c>
      <c r="T93" s="37">
        <f>IFERROR(__xludf.DUMMYFUNCTION("""COMPUTED_VALUE"""),-0.5610907016272261)</f>
        <v>-0.5610907016</v>
      </c>
      <c r="U93" s="37">
        <f>IFERROR(__xludf.DUMMYFUNCTION("""COMPUTED_VALUE"""),-0.4006342942913733)</f>
        <v>-0.4006342943</v>
      </c>
      <c r="V93" s="37">
        <f>IFERROR(__xludf.DUMMYFUNCTION("""COMPUTED_VALUE"""),-0.42526159822414)</f>
        <v>-0.4252615982</v>
      </c>
      <c r="W93" s="37">
        <f>IFERROR(__xludf.DUMMYFUNCTION("""COMPUTED_VALUE"""),0.0)</f>
        <v>0</v>
      </c>
      <c r="X93" s="37">
        <f>IFERROR(__xludf.DUMMYFUNCTION("""COMPUTED_VALUE"""),0.0)</f>
        <v>0</v>
      </c>
      <c r="Y93" s="37">
        <f>IFERROR(__xludf.DUMMYFUNCTION("""COMPUTED_VALUE"""),0.340880717589609)</f>
        <v>0.3408807176</v>
      </c>
      <c r="Z93" s="37">
        <f>IFERROR(__xludf.DUMMYFUNCTION("""COMPUTED_VALUE"""),0.0)</f>
        <v>0</v>
      </c>
      <c r="AA93" t="str">
        <f>IFERROR(__xludf.DUMMYFUNCTION("SUBSTITUTE(REGEXREPLACE(REGEXREPLACE(REGEXREPLACE(REGEXREPLACE(REGEXREPLACE(REGEXREPLACE(E93,"","",),IF(Projections!$U$3="""",""PG"",),),IF(Projections!$V$3="""",""SG"",),),IF(Projections!$W$3="""",""SF"",),),IF(Projections!$X$3="""",""PF"",),),IF(Project"&amp;"ions!$Y$3="""",""C"",),),""/"","""")"),"SFPF")</f>
        <v>SFPF</v>
      </c>
    </row>
    <row r="94">
      <c r="A94" s="29" t="str">
        <f>IF(Projections!$H$3,Draft!J8,"")</f>
        <v>Al Horford</v>
      </c>
      <c r="B94">
        <f>IFERROR(__xludf.DUMMYFUNCTION("""COMPUTED_VALUE"""),83.0)</f>
        <v>83</v>
      </c>
      <c r="C94" t="str">
        <f>IFERROR(__xludf.DUMMYFUNCTION("""COMPUTED_VALUE"""),"Kyle Kuzma")</f>
        <v>Kyle Kuzma</v>
      </c>
      <c r="D94">
        <f>IFERROR(__xludf.DUMMYFUNCTION("""COMPUTED_VALUE"""),68.0)</f>
        <v>68</v>
      </c>
      <c r="E94" t="str">
        <f>IFERROR(__xludf.DUMMYFUNCTION("""COMPUTED_VALUE"""),"SF/PF")</f>
        <v>SF/PF</v>
      </c>
      <c r="F94" s="37">
        <f>IFERROR(__xludf.DUMMYFUNCTION("""COMPUTED_VALUE"""),-1.3403945000255786)</f>
        <v>-1.3403945</v>
      </c>
      <c r="G94" s="37">
        <f>IFERROR(__xludf.DUMMYFUNCTION("""COMPUTED_VALUE"""),-1.3111791451352426)</f>
        <v>-1.311179145</v>
      </c>
      <c r="H94" s="37">
        <f>IFERROR(__xludf.DUMMYFUNCTION("""COMPUTED_VALUE"""),0.029215354890336)</f>
        <v>0.02921535489</v>
      </c>
      <c r="I94" s="37">
        <f>IFERROR(__xludf.DUMMYFUNCTION("""COMPUTED_VALUE"""),16.5)</f>
        <v>16.5</v>
      </c>
      <c r="J94" s="37">
        <f>IFERROR(__xludf.DUMMYFUNCTION("""COMPUTED_VALUE"""),1.9)</f>
        <v>1.9</v>
      </c>
      <c r="K94" s="37">
        <f>IFERROR(__xludf.DUMMYFUNCTION("""COMPUTED_VALUE"""),8.1)</f>
        <v>8.1</v>
      </c>
      <c r="L94" s="37">
        <f>IFERROR(__xludf.DUMMYFUNCTION("""COMPUTED_VALUE"""),3.1)</f>
        <v>3.1</v>
      </c>
      <c r="M94" s="37">
        <f>IFERROR(__xludf.DUMMYFUNCTION("""COMPUTED_VALUE"""),0.6)</f>
        <v>0.6</v>
      </c>
      <c r="N94" s="37">
        <f>IFERROR(__xludf.DUMMYFUNCTION("""COMPUTED_VALUE"""),0.9)</f>
        <v>0.9</v>
      </c>
      <c r="O94" s="37">
        <f>IFERROR(__xludf.DUMMYFUNCTION("""COMPUTED_VALUE"""),45.18518518518518)</f>
        <v>45.18518519</v>
      </c>
      <c r="P94" s="37">
        <f>IFERROR(__xludf.DUMMYFUNCTION("""COMPUTED_VALUE"""),73.52941176470588)</f>
        <v>73.52941176</v>
      </c>
      <c r="Q94" s="37">
        <f>IFERROR(__xludf.DUMMYFUNCTION("""COMPUTED_VALUE"""),2.7)</f>
        <v>2.7</v>
      </c>
      <c r="R94" s="37">
        <f>IFERROR(__xludf.DUMMYFUNCTION("""COMPUTED_VALUE"""),-0.12063239892155542)</f>
        <v>-0.1206323989</v>
      </c>
      <c r="S94" s="37">
        <f>IFERROR(__xludf.DUMMYFUNCTION("""COMPUTED_VALUE"""),0.28656444644850193)</f>
        <v>0.2865644464</v>
      </c>
      <c r="T94" s="37">
        <f>IFERROR(__xludf.DUMMYFUNCTION("""COMPUTED_VALUE"""),0.8268416687065298)</f>
        <v>0.8268416687</v>
      </c>
      <c r="U94" s="37">
        <f>IFERROR(__xludf.DUMMYFUNCTION("""COMPUTED_VALUE"""),-0.343564973211627)</f>
        <v>-0.3435649732</v>
      </c>
      <c r="V94" s="37">
        <f>IFERROR(__xludf.DUMMYFUNCTION("""COMPUTED_VALUE"""),-1.6516611750382768)</f>
        <v>-1.651661175</v>
      </c>
      <c r="W94" s="37">
        <f>IFERROR(__xludf.DUMMYFUNCTION("""COMPUTED_VALUE"""),0.0)</f>
        <v>0</v>
      </c>
      <c r="X94" s="37">
        <f>IFERROR(__xludf.DUMMYFUNCTION("""COMPUTED_VALUE"""),0.0)</f>
        <v>0</v>
      </c>
      <c r="Y94" s="37">
        <f>IFERROR(__xludf.DUMMYFUNCTION("""COMPUTED_VALUE"""),-0.30872671311881483)</f>
        <v>-0.3087267131</v>
      </c>
      <c r="Z94" s="37">
        <f>IFERROR(__xludf.DUMMYFUNCTION("""COMPUTED_VALUE"""),0.0)</f>
        <v>0</v>
      </c>
      <c r="AA94" t="str">
        <f>IFERROR(__xludf.DUMMYFUNCTION("SUBSTITUTE(REGEXREPLACE(REGEXREPLACE(REGEXREPLACE(REGEXREPLACE(REGEXREPLACE(REGEXREPLACE(E94,"","",),IF(Projections!$U$3="""",""PG"",),),IF(Projections!$V$3="""",""SG"",),),IF(Projections!$W$3="""",""SF"",),),IF(Projections!$X$3="""",""PF"",),),IF(Project"&amp;"ions!$Y$3="""",""C"",),),""/"","""")"),"SFPF")</f>
        <v>SFPF</v>
      </c>
    </row>
    <row r="95">
      <c r="A95" s="29" t="str">
        <f>IF(Projections!$H$3,Draft!J9,"")</f>
        <v>Saddiq Bey</v>
      </c>
      <c r="B95">
        <f>IFERROR(__xludf.DUMMYFUNCTION("""COMPUTED_VALUE"""),87.0)</f>
        <v>87</v>
      </c>
      <c r="C95" t="str">
        <f>IFERROR(__xludf.DUMMYFUNCTION("""COMPUTED_VALUE"""),"Jusuf Nurkic")</f>
        <v>Jusuf Nurkic</v>
      </c>
      <c r="D95">
        <f>IFERROR(__xludf.DUMMYFUNCTION("""COMPUTED_VALUE"""),70.0)</f>
        <v>70</v>
      </c>
      <c r="E95" t="str">
        <f>IFERROR(__xludf.DUMMYFUNCTION("""COMPUTED_VALUE"""),"C")</f>
        <v>C</v>
      </c>
      <c r="F95" s="37">
        <f>IFERROR(__xludf.DUMMYFUNCTION("""COMPUTED_VALUE"""),-1.4067015317833569)</f>
        <v>-1.406701532</v>
      </c>
      <c r="G95" s="37">
        <f>IFERROR(__xludf.DUMMYFUNCTION("""COMPUTED_VALUE"""),-1.3358369094027318)</f>
        <v>-1.335836909</v>
      </c>
      <c r="H95" s="37">
        <f>IFERROR(__xludf.DUMMYFUNCTION("""COMPUTED_VALUE"""),0.07086462238062508)</f>
        <v>0.07086462238</v>
      </c>
      <c r="I95" s="37">
        <f>IFERROR(__xludf.DUMMYFUNCTION("""COMPUTED_VALUE"""),13.8)</f>
        <v>13.8</v>
      </c>
      <c r="J95" s="37">
        <f>IFERROR(__xludf.DUMMYFUNCTION("""COMPUTED_VALUE"""),0.3)</f>
        <v>0.3</v>
      </c>
      <c r="K95" s="37">
        <f>IFERROR(__xludf.DUMMYFUNCTION("""COMPUTED_VALUE"""),10.9)</f>
        <v>10.9</v>
      </c>
      <c r="L95" s="37">
        <f>IFERROR(__xludf.DUMMYFUNCTION("""COMPUTED_VALUE"""),2.6)</f>
        <v>2.6</v>
      </c>
      <c r="M95" s="37">
        <f>IFERROR(__xludf.DUMMYFUNCTION("""COMPUTED_VALUE"""),1.1)</f>
        <v>1.1</v>
      </c>
      <c r="N95" s="37">
        <f>IFERROR(__xludf.DUMMYFUNCTION("""COMPUTED_VALUE"""),0.8)</f>
        <v>0.8</v>
      </c>
      <c r="O95" s="37">
        <f>IFERROR(__xludf.DUMMYFUNCTION("""COMPUTED_VALUE"""),51.48514851485149)</f>
        <v>51.48514851</v>
      </c>
      <c r="P95" s="37">
        <f>IFERROR(__xludf.DUMMYFUNCTION("""COMPUTED_VALUE"""),66.66666666666666)</f>
        <v>66.66666667</v>
      </c>
      <c r="Q95" s="37">
        <f>IFERROR(__xludf.DUMMYFUNCTION("""COMPUTED_VALUE"""),2.7)</f>
        <v>2.7</v>
      </c>
      <c r="R95" s="37">
        <f>IFERROR(__xludf.DUMMYFUNCTION("""COMPUTED_VALUE"""),-0.8396014964940337)</f>
        <v>-0.8396014965</v>
      </c>
      <c r="S95" s="37">
        <f>IFERROR(__xludf.DUMMYFUNCTION("""COMPUTED_VALUE"""),-1.313364453629319)</f>
        <v>-1.313364454</v>
      </c>
      <c r="T95" s="37">
        <f>IFERROR(__xludf.DUMMYFUNCTION("""COMPUTED_VALUE"""),1.9698447972166822)</f>
        <v>1.969844797</v>
      </c>
      <c r="U95" s="37">
        <f>IFERROR(__xludf.DUMMYFUNCTION("""COMPUTED_VALUE"""),-0.6289115786103584)</f>
        <v>-0.6289115786</v>
      </c>
      <c r="V95" s="37">
        <f>IFERROR(__xludf.DUMMYFUNCTION("""COMPUTED_VALUE"""),0.39233811965195126)</f>
        <v>0.3923381197</v>
      </c>
      <c r="W95" s="37">
        <f>IFERROR(__xludf.DUMMYFUNCTION("""COMPUTED_VALUE"""),0.0)</f>
        <v>0</v>
      </c>
      <c r="X95" s="37">
        <f>IFERROR(__xludf.DUMMYFUNCTION("""COMPUTED_VALUE"""),0.0)</f>
        <v>0</v>
      </c>
      <c r="Y95" s="37">
        <f>IFERROR(__xludf.DUMMYFUNCTION("""COMPUTED_VALUE"""),-0.9161422975376544)</f>
        <v>-0.9161422975</v>
      </c>
      <c r="Z95" s="37">
        <f>IFERROR(__xludf.DUMMYFUNCTION("""COMPUTED_VALUE"""),0.0)</f>
        <v>0</v>
      </c>
      <c r="AA95" t="str">
        <f>IFERROR(__xludf.DUMMYFUNCTION("SUBSTITUTE(REGEXREPLACE(REGEXREPLACE(REGEXREPLACE(REGEXREPLACE(REGEXREPLACE(REGEXREPLACE(E95,"","",),IF(Projections!$U$3="""",""PG"",),),IF(Projections!$V$3="""",""SG"",),),IF(Projections!$W$3="""",""SF"",),),IF(Projections!$X$3="""",""PF"",),),IF(Project"&amp;"ions!$Y$3="""",""C"",),),""/"","""")"),"C")</f>
        <v>C</v>
      </c>
    </row>
    <row r="96">
      <c r="A96" s="29" t="str">
        <f>IF(Projections!$H$3,Draft!J10,"")</f>
        <v>Andrew Wiggins</v>
      </c>
      <c r="B96">
        <f>IFERROR(__xludf.DUMMYFUNCTION("""COMPUTED_VALUE"""),84.0)</f>
        <v>84</v>
      </c>
      <c r="C96" t="str">
        <f>IFERROR(__xludf.DUMMYFUNCTION("""COMPUTED_VALUE"""),"Christian Wood")</f>
        <v>Christian Wood</v>
      </c>
      <c r="D96">
        <f>IFERROR(__xludf.DUMMYFUNCTION("""COMPUTED_VALUE"""),76.0)</f>
        <v>76</v>
      </c>
      <c r="E96" t="str">
        <f>IFERROR(__xludf.DUMMYFUNCTION("""COMPUTED_VALUE"""),"PF/C")</f>
        <v>PF/C</v>
      </c>
      <c r="F96" s="37">
        <f>IFERROR(__xludf.DUMMYFUNCTION("""COMPUTED_VALUE"""),-1.3489274991823872)</f>
        <v>-1.348927499</v>
      </c>
      <c r="G96" s="37">
        <f>IFERROR(__xludf.DUMMYFUNCTION("""COMPUTED_VALUE"""),-1.4026418741700617)</f>
        <v>-1.402641874</v>
      </c>
      <c r="H96" s="37">
        <f>IFERROR(__xludf.DUMMYFUNCTION("""COMPUTED_VALUE"""),-0.05371437498767451)</f>
        <v>-0.05371437499</v>
      </c>
      <c r="I96" s="37">
        <f>IFERROR(__xludf.DUMMYFUNCTION("""COMPUTED_VALUE"""),17.1)</f>
        <v>17.1</v>
      </c>
      <c r="J96" s="37">
        <f>IFERROR(__xludf.DUMMYFUNCTION("""COMPUTED_VALUE"""),1.7)</f>
        <v>1.7</v>
      </c>
      <c r="K96" s="37">
        <f>IFERROR(__xludf.DUMMYFUNCTION("""COMPUTED_VALUE"""),9.4)</f>
        <v>9.4</v>
      </c>
      <c r="L96" s="37">
        <f>IFERROR(__xludf.DUMMYFUNCTION("""COMPUTED_VALUE"""),2.0)</f>
        <v>2</v>
      </c>
      <c r="M96" s="37">
        <f>IFERROR(__xludf.DUMMYFUNCTION("""COMPUTED_VALUE"""),0.8)</f>
        <v>0.8</v>
      </c>
      <c r="N96" s="37">
        <f>IFERROR(__xludf.DUMMYFUNCTION("""COMPUTED_VALUE"""),1.0)</f>
        <v>1</v>
      </c>
      <c r="O96" s="37">
        <f>IFERROR(__xludf.DUMMYFUNCTION("""COMPUTED_VALUE"""),50.0)</f>
        <v>50</v>
      </c>
      <c r="P96" s="37">
        <f>IFERROR(__xludf.DUMMYFUNCTION("""COMPUTED_VALUE"""),64.44444444444444)</f>
        <v>64.44444444</v>
      </c>
      <c r="Q96" s="37">
        <f>IFERROR(__xludf.DUMMYFUNCTION("""COMPUTED_VALUE"""),1.8)</f>
        <v>1.8</v>
      </c>
      <c r="R96" s="37">
        <f>IFERROR(__xludf.DUMMYFUNCTION("""COMPUTED_VALUE"""),0.039138511650106844)</f>
        <v>0.03913851165</v>
      </c>
      <c r="S96" s="37">
        <f>IFERROR(__xludf.DUMMYFUNCTION("""COMPUTED_VALUE"""),0.08657333393877437)</f>
        <v>0.08657333394</v>
      </c>
      <c r="T96" s="37">
        <f>IFERROR(__xludf.DUMMYFUNCTION("""COMPUTED_VALUE"""),1.357521692657672)</f>
        <v>1.357521693</v>
      </c>
      <c r="U96" s="37">
        <f>IFERROR(__xludf.DUMMYFUNCTION("""COMPUTED_VALUE"""),-0.9713275050888364)</f>
        <v>-0.9713275051</v>
      </c>
      <c r="V96" s="37">
        <f>IFERROR(__xludf.DUMMYFUNCTION("""COMPUTED_VALUE"""),-0.8340614571621854)</f>
        <v>-0.8340614572</v>
      </c>
      <c r="W96" s="37">
        <f>IFERROR(__xludf.DUMMYFUNCTION("""COMPUTED_VALUE"""),0.0)</f>
        <v>0</v>
      </c>
      <c r="X96" s="37">
        <f>IFERROR(__xludf.DUMMYFUNCTION("""COMPUTED_VALUE"""),0.0)</f>
        <v>0</v>
      </c>
      <c r="Y96" s="37">
        <f>IFERROR(__xludf.DUMMYFUNCTION("""COMPUTED_VALUE"""),-1.0804864501655933)</f>
        <v>-1.08048645</v>
      </c>
      <c r="Z96" s="37">
        <f>IFERROR(__xludf.DUMMYFUNCTION("""COMPUTED_VALUE"""),0.0)</f>
        <v>0</v>
      </c>
      <c r="AA96" t="str">
        <f>IFERROR(__xludf.DUMMYFUNCTION("SUBSTITUTE(REGEXREPLACE(REGEXREPLACE(REGEXREPLACE(REGEXREPLACE(REGEXREPLACE(REGEXREPLACE(E96,"","",),IF(Projections!$U$3="""",""PG"",),),IF(Projections!$V$3="""",""SG"",),),IF(Projections!$W$3="""",""SF"",),),IF(Projections!$X$3="""",""PF"",),),IF(Project"&amp;"ions!$Y$3="""",""C"",),),""/"","""")"),"PFC")</f>
        <v>PFC</v>
      </c>
    </row>
    <row r="97">
      <c r="A97" s="29" t="str">
        <f>IF(Projections!$H$3,Draft!J11,"")</f>
        <v>Tobias Harris</v>
      </c>
      <c r="B97">
        <f>IFERROR(__xludf.DUMMYFUNCTION("""COMPUTED_VALUE"""),137.0)</f>
        <v>137</v>
      </c>
      <c r="C97" t="str">
        <f>IFERROR(__xludf.DUMMYFUNCTION("""COMPUTED_VALUE"""),"Kelly Oubre Jr.")</f>
        <v>Kelly Oubre Jr.</v>
      </c>
      <c r="D97">
        <f>IFERROR(__xludf.DUMMYFUNCTION("""COMPUTED_VALUE"""),70.0)</f>
        <v>70</v>
      </c>
      <c r="E97" t="str">
        <f>IFERROR(__xludf.DUMMYFUNCTION("""COMPUTED_VALUE"""),"SG/PF")</f>
        <v>SG/PF</v>
      </c>
      <c r="F97" s="37">
        <f>IFERROR(__xludf.DUMMYFUNCTION("""COMPUTED_VALUE"""),-3.164588205533593)</f>
        <v>-3.164588206</v>
      </c>
      <c r="G97" s="37">
        <f>IFERROR(__xludf.DUMMYFUNCTION("""COMPUTED_VALUE"""),-1.4644166934643184)</f>
        <v>-1.464416693</v>
      </c>
      <c r="H97" s="37">
        <f>IFERROR(__xludf.DUMMYFUNCTION("""COMPUTED_VALUE"""),1.7001715120692746)</f>
        <v>1.700171512</v>
      </c>
      <c r="I97" s="37">
        <f>IFERROR(__xludf.DUMMYFUNCTION("""COMPUTED_VALUE"""),16.2)</f>
        <v>16.2</v>
      </c>
      <c r="J97" s="37">
        <f>IFERROR(__xludf.DUMMYFUNCTION("""COMPUTED_VALUE"""),2.7)</f>
        <v>2.7</v>
      </c>
      <c r="K97" s="37">
        <f>IFERROR(__xludf.DUMMYFUNCTION("""COMPUTED_VALUE"""),4.2)</f>
        <v>4.2</v>
      </c>
      <c r="L97" s="37">
        <f>IFERROR(__xludf.DUMMYFUNCTION("""COMPUTED_VALUE"""),1.2)</f>
        <v>1.2</v>
      </c>
      <c r="M97" s="37">
        <f>IFERROR(__xludf.DUMMYFUNCTION("""COMPUTED_VALUE"""),1.1)</f>
        <v>1.1</v>
      </c>
      <c r="N97" s="37">
        <f>IFERROR(__xludf.DUMMYFUNCTION("""COMPUTED_VALUE"""),0.4)</f>
        <v>0.4</v>
      </c>
      <c r="O97" s="37">
        <f>IFERROR(__xludf.DUMMYFUNCTION("""COMPUTED_VALUE"""),43.609022556390975)</f>
        <v>43.60902256</v>
      </c>
      <c r="P97" s="37">
        <f>IFERROR(__xludf.DUMMYFUNCTION("""COMPUTED_VALUE"""),66.66666666666666)</f>
        <v>66.66666667</v>
      </c>
      <c r="Q97" s="37">
        <f>IFERROR(__xludf.DUMMYFUNCTION("""COMPUTED_VALUE"""),1.0)</f>
        <v>1</v>
      </c>
      <c r="R97" s="37">
        <f>IFERROR(__xludf.DUMMYFUNCTION("""COMPUTED_VALUE"""),-0.20051785420738652)</f>
        <v>-0.2005178542</v>
      </c>
      <c r="S97" s="37">
        <f>IFERROR(__xludf.DUMMYFUNCTION("""COMPUTED_VALUE"""),1.0865288964874127)</f>
        <v>1.086528896</v>
      </c>
      <c r="T97" s="37">
        <f>IFERROR(__xludf.DUMMYFUNCTION("""COMPUTED_VALUE"""),-0.765198403146896)</f>
        <v>-0.7651984031</v>
      </c>
      <c r="U97" s="37">
        <f>IFERROR(__xludf.DUMMYFUNCTION("""COMPUTED_VALUE"""),-1.427882073726807)</f>
        <v>-1.427882074</v>
      </c>
      <c r="V97" s="37">
        <f>IFERROR(__xludf.DUMMYFUNCTION("""COMPUTED_VALUE"""),0.39233811965195126)</f>
        <v>0.3923381197</v>
      </c>
      <c r="W97" s="37">
        <f>IFERROR(__xludf.DUMMYFUNCTION("""COMPUTED_VALUE"""),0.0)</f>
        <v>0</v>
      </c>
      <c r="X97" s="37">
        <f>IFERROR(__xludf.DUMMYFUNCTION("""COMPUTED_VALUE"""),0.0)</f>
        <v>0</v>
      </c>
      <c r="Y97" s="37">
        <f>IFERROR(__xludf.DUMMYFUNCTION("""COMPUTED_VALUE"""),-0.5496853785225927)</f>
        <v>-0.5496853785</v>
      </c>
      <c r="Z97" s="37">
        <f>IFERROR(__xludf.DUMMYFUNCTION("""COMPUTED_VALUE"""),0.0)</f>
        <v>0</v>
      </c>
      <c r="AA97" t="str">
        <f>IFERROR(__xludf.DUMMYFUNCTION("SUBSTITUTE(REGEXREPLACE(REGEXREPLACE(REGEXREPLACE(REGEXREPLACE(REGEXREPLACE(REGEXREPLACE(E97,"","",),IF(Projections!$U$3="""",""PG"",),),IF(Projections!$V$3="""",""SG"",),),IF(Projections!$W$3="""",""SF"",),),IF(Projections!$X$3="""",""PF"",),),IF(Project"&amp;"ions!$Y$3="""",""C"",),),""/"","""")"),"SGPF")</f>
        <v>SGPF</v>
      </c>
    </row>
    <row r="98">
      <c r="A98" s="29" t="str">
        <f>IF(Projections!$H$3,Draft!J12,"")</f>
        <v>PJ Washington</v>
      </c>
      <c r="B98">
        <f>IFERROR(__xludf.DUMMYFUNCTION("""COMPUTED_VALUE"""),113.0)</f>
        <v>113</v>
      </c>
      <c r="C98" t="str">
        <f>IFERROR(__xludf.DUMMYFUNCTION("""COMPUTED_VALUE"""),"Monte Morris")</f>
        <v>Monte Morris</v>
      </c>
      <c r="D98">
        <f>IFERROR(__xludf.DUMMYFUNCTION("""COMPUTED_VALUE"""),65.0)</f>
        <v>65</v>
      </c>
      <c r="E98" t="str">
        <f>IFERROR(__xludf.DUMMYFUNCTION("""COMPUTED_VALUE"""),"PG")</f>
        <v>PG</v>
      </c>
      <c r="F98" s="37">
        <f>IFERROR(__xludf.DUMMYFUNCTION("""COMPUTED_VALUE"""),-2.186928850571069)</f>
        <v>-2.186928851</v>
      </c>
      <c r="G98" s="37">
        <f>IFERROR(__xludf.DUMMYFUNCTION("""COMPUTED_VALUE"""),-1.482879765587823)</f>
        <v>-1.482879766</v>
      </c>
      <c r="H98" s="37">
        <f>IFERROR(__xludf.DUMMYFUNCTION("""COMPUTED_VALUE"""),0.7040490849832461)</f>
        <v>0.704049085</v>
      </c>
      <c r="I98" s="37">
        <f>IFERROR(__xludf.DUMMYFUNCTION("""COMPUTED_VALUE"""),12.6)</f>
        <v>12.6</v>
      </c>
      <c r="J98" s="37">
        <f>IFERROR(__xludf.DUMMYFUNCTION("""COMPUTED_VALUE"""),1.8)</f>
        <v>1.8</v>
      </c>
      <c r="K98" s="37">
        <f>IFERROR(__xludf.DUMMYFUNCTION("""COMPUTED_VALUE"""),3.0)</f>
        <v>3</v>
      </c>
      <c r="L98" s="37">
        <f>IFERROR(__xludf.DUMMYFUNCTION("""COMPUTED_VALUE"""),6.2)</f>
        <v>6.2</v>
      </c>
      <c r="M98" s="37">
        <f>IFERROR(__xludf.DUMMYFUNCTION("""COMPUTED_VALUE"""),0.8)</f>
        <v>0.8</v>
      </c>
      <c r="N98" s="37">
        <f>IFERROR(__xludf.DUMMYFUNCTION("""COMPUTED_VALUE"""),0.2)</f>
        <v>0.2</v>
      </c>
      <c r="O98" s="37">
        <f>IFERROR(__xludf.DUMMYFUNCTION("""COMPUTED_VALUE"""),48.0)</f>
        <v>48</v>
      </c>
      <c r="P98" s="37">
        <f>IFERROR(__xludf.DUMMYFUNCTION("""COMPUTED_VALUE"""),85.71428571428572)</f>
        <v>85.71428571</v>
      </c>
      <c r="Q98" s="37">
        <f>IFERROR(__xludf.DUMMYFUNCTION("""COMPUTED_VALUE"""),1.0)</f>
        <v>1</v>
      </c>
      <c r="R98" s="37">
        <f>IFERROR(__xludf.DUMMYFUNCTION("""COMPUTED_VALUE"""),-1.1591433176373576)</f>
        <v>-1.159143318</v>
      </c>
      <c r="S98" s="37">
        <f>IFERROR(__xludf.DUMMYFUNCTION("""COMPUTED_VALUE"""),0.18656889019363826)</f>
        <v>0.1865688902</v>
      </c>
      <c r="T98" s="37">
        <f>IFERROR(__xludf.DUMMYFUNCTION("""COMPUTED_VALUE"""),-1.255056886794104)</f>
        <v>-1.255056887</v>
      </c>
      <c r="U98" s="37">
        <f>IFERROR(__xludf.DUMMYFUNCTION("""COMPUTED_VALUE"""),1.4255839802605084)</f>
        <v>1.42558398</v>
      </c>
      <c r="V98" s="37">
        <f>IFERROR(__xludf.DUMMYFUNCTION("""COMPUTED_VALUE"""),-0.8340614571621854)</f>
        <v>-0.8340614572</v>
      </c>
      <c r="W98" s="37">
        <f>IFERROR(__xludf.DUMMYFUNCTION("""COMPUTED_VALUE"""),0.0)</f>
        <v>0</v>
      </c>
      <c r="X98" s="37">
        <f>IFERROR(__xludf.DUMMYFUNCTION("""COMPUTED_VALUE"""),0.0)</f>
        <v>0</v>
      </c>
      <c r="Y98" s="37">
        <f>IFERROR(__xludf.DUMMYFUNCTION("""COMPUTED_VALUE"""),0.15322902555167756)</f>
        <v>0.1532290256</v>
      </c>
      <c r="Z98" s="37">
        <f>IFERROR(__xludf.DUMMYFUNCTION("""COMPUTED_VALUE"""),0.0)</f>
        <v>0</v>
      </c>
      <c r="AA98" t="str">
        <f>IFERROR(__xludf.DUMMYFUNCTION("SUBSTITUTE(REGEXREPLACE(REGEXREPLACE(REGEXREPLACE(REGEXREPLACE(REGEXREPLACE(REGEXREPLACE(E98,"","",),IF(Projections!$U$3="""",""PG"",),),IF(Projections!$V$3="""",""SG"",),),IF(Projections!$W$3="""",""SF"",),),IF(Projections!$X$3="""",""PF"",),),IF(Project"&amp;"ions!$Y$3="""",""C"",),),""/"","""")"),"PG")</f>
        <v>PG</v>
      </c>
    </row>
    <row r="99">
      <c r="A99" s="29" t="str">
        <f>IF(Projections!$H$3,Draft!J13,"")</f>
        <v>Tyler Herro</v>
      </c>
      <c r="B99">
        <f>IFERROR(__xludf.DUMMYFUNCTION("""COMPUTED_VALUE"""),80.0)</f>
        <v>80</v>
      </c>
      <c r="C99" t="str">
        <f>IFERROR(__xludf.DUMMYFUNCTION("""COMPUTED_VALUE"""),"Tobias Harris")</f>
        <v>Tobias Harris</v>
      </c>
      <c r="D99">
        <f>IFERROR(__xludf.DUMMYFUNCTION("""COMPUTED_VALUE"""),70.0)</f>
        <v>70</v>
      </c>
      <c r="E99" t="str">
        <f>IFERROR(__xludf.DUMMYFUNCTION("""COMPUTED_VALUE"""),"SF/PF")</f>
        <v>SF/PF</v>
      </c>
      <c r="F99" s="37">
        <f>IFERROR(__xludf.DUMMYFUNCTION("""COMPUTED_VALUE"""),-1.138651350822065)</f>
        <v>-1.138651351</v>
      </c>
      <c r="G99" s="37">
        <f>IFERROR(__xludf.DUMMYFUNCTION("""COMPUTED_VALUE"""),-1.5916245147075863)</f>
        <v>-1.591624515</v>
      </c>
      <c r="H99" s="37">
        <f>IFERROR(__xludf.DUMMYFUNCTION("""COMPUTED_VALUE"""),-0.4529731638855212)</f>
        <v>-0.4529731639</v>
      </c>
      <c r="I99" s="37">
        <f>IFERROR(__xludf.DUMMYFUNCTION("""COMPUTED_VALUE"""),16.8)</f>
        <v>16.8</v>
      </c>
      <c r="J99" s="37">
        <f>IFERROR(__xludf.DUMMYFUNCTION("""COMPUTED_VALUE"""),1.4)</f>
        <v>1.4</v>
      </c>
      <c r="K99" s="37">
        <f>IFERROR(__xludf.DUMMYFUNCTION("""COMPUTED_VALUE"""),6.6)</f>
        <v>6.6</v>
      </c>
      <c r="L99" s="37">
        <f>IFERROR(__xludf.DUMMYFUNCTION("""COMPUTED_VALUE"""),3.4)</f>
        <v>3.4</v>
      </c>
      <c r="M99" s="37">
        <f>IFERROR(__xludf.DUMMYFUNCTION("""COMPUTED_VALUE"""),0.6)</f>
        <v>0.6</v>
      </c>
      <c r="N99" s="37">
        <f>IFERROR(__xludf.DUMMYFUNCTION("""COMPUTED_VALUE"""),0.6)</f>
        <v>0.6</v>
      </c>
      <c r="O99" s="37">
        <f>IFERROR(__xludf.DUMMYFUNCTION("""COMPUTED_VALUE"""),48.888888888888886)</f>
        <v>48.88888889</v>
      </c>
      <c r="P99" s="37">
        <f>IFERROR(__xludf.DUMMYFUNCTION("""COMPUTED_VALUE"""),85.18518518518518)</f>
        <v>85.18518519</v>
      </c>
      <c r="Q99" s="37">
        <f>IFERROR(__xludf.DUMMYFUNCTION("""COMPUTED_VALUE"""),1.5)</f>
        <v>1.5</v>
      </c>
      <c r="R99" s="37">
        <f>IFERROR(__xludf.DUMMYFUNCTION("""COMPUTED_VALUE"""),-0.040746943635724286)</f>
        <v>-0.04074694364</v>
      </c>
      <c r="S99" s="37">
        <f>IFERROR(__xludf.DUMMYFUNCTION("""COMPUTED_VALUE"""),-0.2134133348258171)</f>
        <v>-0.2134133348</v>
      </c>
      <c r="T99" s="37">
        <f>IFERROR(__xludf.DUMMYFUNCTION("""COMPUTED_VALUE"""),0.21451856414751977)</f>
        <v>0.2145185641</v>
      </c>
      <c r="U99" s="37">
        <f>IFERROR(__xludf.DUMMYFUNCTION("""COMPUTED_VALUE"""),-0.17235700997238818)</f>
        <v>-0.17235701</v>
      </c>
      <c r="V99" s="37">
        <f>IFERROR(__xludf.DUMMYFUNCTION("""COMPUTED_VALUE"""),-1.6516611750382768)</f>
        <v>-1.651661175</v>
      </c>
      <c r="W99" s="37">
        <f>IFERROR(__xludf.DUMMYFUNCTION("""COMPUTED_VALUE"""),0.0)</f>
        <v>0</v>
      </c>
      <c r="X99" s="37">
        <f>IFERROR(__xludf.DUMMYFUNCTION("""COMPUTED_VALUE"""),0.0)</f>
        <v>0</v>
      </c>
      <c r="Y99" s="37">
        <f>IFERROR(__xludf.DUMMYFUNCTION("""COMPUTED_VALUE"""),0.2720353846171005)</f>
        <v>0.2720353846</v>
      </c>
      <c r="Z99" s="37">
        <f>IFERROR(__xludf.DUMMYFUNCTION("""COMPUTED_VALUE"""),0.0)</f>
        <v>0</v>
      </c>
      <c r="AA99" t="str">
        <f>IFERROR(__xludf.DUMMYFUNCTION("SUBSTITUTE(REGEXREPLACE(REGEXREPLACE(REGEXREPLACE(REGEXREPLACE(REGEXREPLACE(REGEXREPLACE(E99,"","",),IF(Projections!$U$3="""",""PG"",),),IF(Projections!$V$3="""",""SG"",),),IF(Projections!$W$3="""",""SF"",),),IF(Projections!$X$3="""",""PF"",),),IF(Project"&amp;"ions!$Y$3="""",""C"",),),""/"","""")"),"SFPF")</f>
        <v>SFPF</v>
      </c>
    </row>
    <row r="100">
      <c r="A100" s="29" t="str">
        <f>IF(Projections!$H$3,Draft!J14,"")</f>
        <v>Collin Sexton</v>
      </c>
      <c r="B100">
        <f>IFERROR(__xludf.DUMMYFUNCTION("""COMPUTED_VALUE"""),75.0)</f>
        <v>75</v>
      </c>
      <c r="C100" t="str">
        <f>IFERROR(__xludf.DUMMYFUNCTION("""COMPUTED_VALUE"""),"Jerami Grant")</f>
        <v>Jerami Grant</v>
      </c>
      <c r="D100">
        <f>IFERROR(__xludf.DUMMYFUNCTION("""COMPUTED_VALUE"""),70.0)</f>
        <v>70</v>
      </c>
      <c r="E100" t="str">
        <f>IFERROR(__xludf.DUMMYFUNCTION("""COMPUTED_VALUE"""),"SF/PF")</f>
        <v>SF/PF</v>
      </c>
      <c r="F100" s="37">
        <f>IFERROR(__xludf.DUMMYFUNCTION("""COMPUTED_VALUE"""),-0.8470315024132397)</f>
        <v>-0.8470315024</v>
      </c>
      <c r="G100" s="37">
        <f>IFERROR(__xludf.DUMMYFUNCTION("""COMPUTED_VALUE"""),-1.5975333092771187)</f>
        <v>-1.597533309</v>
      </c>
      <c r="H100" s="37">
        <f>IFERROR(__xludf.DUMMYFUNCTION("""COMPUTED_VALUE"""),-0.750501806863879)</f>
        <v>-0.7505018069</v>
      </c>
      <c r="I100" s="37">
        <f>IFERROR(__xludf.DUMMYFUNCTION("""COMPUTED_VALUE"""),16.2)</f>
        <v>16.2</v>
      </c>
      <c r="J100" s="37">
        <f>IFERROR(__xludf.DUMMYFUNCTION("""COMPUTED_VALUE"""),1.7)</f>
        <v>1.7</v>
      </c>
      <c r="K100" s="37">
        <f>IFERROR(__xludf.DUMMYFUNCTION("""COMPUTED_VALUE"""),4.1)</f>
        <v>4.1</v>
      </c>
      <c r="L100" s="37">
        <f>IFERROR(__xludf.DUMMYFUNCTION("""COMPUTED_VALUE"""),2.1)</f>
        <v>2.1</v>
      </c>
      <c r="M100" s="37">
        <f>IFERROR(__xludf.DUMMYFUNCTION("""COMPUTED_VALUE"""),1.0)</f>
        <v>1</v>
      </c>
      <c r="N100" s="37">
        <f>IFERROR(__xludf.DUMMYFUNCTION("""COMPUTED_VALUE"""),1.1)</f>
        <v>1.1</v>
      </c>
      <c r="O100" s="37">
        <f>IFERROR(__xludf.DUMMYFUNCTION("""COMPUTED_VALUE"""),44.961240310077514)</f>
        <v>44.96124031</v>
      </c>
      <c r="P100" s="37">
        <f>IFERROR(__xludf.DUMMYFUNCTION("""COMPUTED_VALUE"""),83.33333333333333)</f>
        <v>83.33333333</v>
      </c>
      <c r="Q100" s="37">
        <f>IFERROR(__xludf.DUMMYFUNCTION("""COMPUTED_VALUE"""),2.0)</f>
        <v>2</v>
      </c>
      <c r="R100" s="37">
        <f>IFERROR(__xludf.DUMMYFUNCTION("""COMPUTED_VALUE"""),-0.20051785420738652)</f>
        <v>-0.2005178542</v>
      </c>
      <c r="S100" s="37">
        <f>IFERROR(__xludf.DUMMYFUNCTION("""COMPUTED_VALUE"""),0.08657333393877437)</f>
        <v>0.08657333394</v>
      </c>
      <c r="T100" s="37">
        <f>IFERROR(__xludf.DUMMYFUNCTION("""COMPUTED_VALUE"""),-0.8060199434508303)</f>
        <v>-0.8060199435</v>
      </c>
      <c r="U100" s="37">
        <f>IFERROR(__xludf.DUMMYFUNCTION("""COMPUTED_VALUE"""),-0.91425818400909)</f>
        <v>-0.914258184</v>
      </c>
      <c r="V100" s="37">
        <f>IFERROR(__xludf.DUMMYFUNCTION("""COMPUTED_VALUE"""),-0.01646173928609459)</f>
        <v>-0.01646173929</v>
      </c>
      <c r="W100" s="37">
        <f>IFERROR(__xludf.DUMMYFUNCTION("""COMPUTED_VALUE"""),0.0)</f>
        <v>0</v>
      </c>
      <c r="X100" s="37">
        <f>IFERROR(__xludf.DUMMYFUNCTION("""COMPUTED_VALUE"""),0.0)</f>
        <v>0</v>
      </c>
      <c r="Y100" s="37">
        <f>IFERROR(__xludf.DUMMYFUNCTION("""COMPUTED_VALUE"""),0.2531510777375084)</f>
        <v>0.2531510777</v>
      </c>
      <c r="Z100" s="37">
        <f>IFERROR(__xludf.DUMMYFUNCTION("""COMPUTED_VALUE"""),0.0)</f>
        <v>0</v>
      </c>
      <c r="AA100" t="str">
        <f>IFERROR(__xludf.DUMMYFUNCTION("SUBSTITUTE(REGEXREPLACE(REGEXREPLACE(REGEXREPLACE(REGEXREPLACE(REGEXREPLACE(REGEXREPLACE(E100,"","",),IF(Projections!$U$3="""",""PG"",),),IF(Projections!$V$3="""",""SG"",),),IF(Projections!$W$3="""",""SF"",),),IF(Projections!$X$3="""",""PF"",),),IF(Projec"&amp;"tions!$Y$3="""",""C"",),),""/"","""")"),"SFPF")</f>
        <v>SFPF</v>
      </c>
    </row>
    <row r="101">
      <c r="A101" s="29" t="str">
        <f>IF(Projections!$H$3,Draft!K3,"")</f>
        <v>RJ Barrett</v>
      </c>
      <c r="B101">
        <f>IFERROR(__xludf.DUMMYFUNCTION("""COMPUTED_VALUE"""),121.0)</f>
        <v>121</v>
      </c>
      <c r="C101" t="str">
        <f>IFERROR(__xludf.DUMMYFUNCTION("""COMPUTED_VALUE"""),"Andrew Wiggins")</f>
        <v>Andrew Wiggins</v>
      </c>
      <c r="D101">
        <f>IFERROR(__xludf.DUMMYFUNCTION("""COMPUTED_VALUE"""),72.0)</f>
        <v>72</v>
      </c>
      <c r="E101" t="str">
        <f>IFERROR(__xludf.DUMMYFUNCTION("""COMPUTED_VALUE"""),"SF/PF")</f>
        <v>SF/PF</v>
      </c>
      <c r="F101" s="37">
        <f>IFERROR(__xludf.DUMMYFUNCTION("""COMPUTED_VALUE"""),-2.5312386584491176)</f>
        <v>-2.531238658</v>
      </c>
      <c r="G101" s="37">
        <f>IFERROR(__xludf.DUMMYFUNCTION("""COMPUTED_VALUE"""),-1.6204056595468297)</f>
        <v>-1.62040566</v>
      </c>
      <c r="H101" s="37">
        <f>IFERROR(__xludf.DUMMYFUNCTION("""COMPUTED_VALUE"""),0.9108329989022879)</f>
        <v>0.9108329989</v>
      </c>
      <c r="I101" s="37">
        <f>IFERROR(__xludf.DUMMYFUNCTION("""COMPUTED_VALUE"""),16.5)</f>
        <v>16.5</v>
      </c>
      <c r="J101" s="37">
        <f>IFERROR(__xludf.DUMMYFUNCTION("""COMPUTED_VALUE"""),2.2)</f>
        <v>2.2</v>
      </c>
      <c r="K101" s="37">
        <f>IFERROR(__xludf.DUMMYFUNCTION("""COMPUTED_VALUE"""),4.6)</f>
        <v>4.6</v>
      </c>
      <c r="L101" s="37">
        <f>IFERROR(__xludf.DUMMYFUNCTION("""COMPUTED_VALUE"""),2.2)</f>
        <v>2.2</v>
      </c>
      <c r="M101" s="37">
        <f>IFERROR(__xludf.DUMMYFUNCTION("""COMPUTED_VALUE"""),1.0)</f>
        <v>1</v>
      </c>
      <c r="N101" s="37">
        <f>IFERROR(__xludf.DUMMYFUNCTION("""COMPUTED_VALUE"""),0.7)</f>
        <v>0.7</v>
      </c>
      <c r="O101" s="37">
        <f>IFERROR(__xludf.DUMMYFUNCTION("""COMPUTED_VALUE"""),45.52238805970149)</f>
        <v>45.52238806</v>
      </c>
      <c r="P101" s="37">
        <f>IFERROR(__xludf.DUMMYFUNCTION("""COMPUTED_VALUE"""),66.66666666666666)</f>
        <v>66.66666667</v>
      </c>
      <c r="Q101" s="37">
        <f>IFERROR(__xludf.DUMMYFUNCTION("""COMPUTED_VALUE"""),1.5)</f>
        <v>1.5</v>
      </c>
      <c r="R101" s="37">
        <f>IFERROR(__xludf.DUMMYFUNCTION("""COMPUTED_VALUE"""),-0.12063239892155542)</f>
        <v>-0.1206323989</v>
      </c>
      <c r="S101" s="37">
        <f>IFERROR(__xludf.DUMMYFUNCTION("""COMPUTED_VALUE"""),0.5865511152130937)</f>
        <v>0.5865511152</v>
      </c>
      <c r="T101" s="37">
        <f>IFERROR(__xludf.DUMMYFUNCTION("""COMPUTED_VALUE"""),-0.6019122419311602)</f>
        <v>-0.6019122419</v>
      </c>
      <c r="U101" s="37">
        <f>IFERROR(__xludf.DUMMYFUNCTION("""COMPUTED_VALUE"""),-0.8571888629293436)</f>
        <v>-0.8571888629</v>
      </c>
      <c r="V101" s="37">
        <f>IFERROR(__xludf.DUMMYFUNCTION("""COMPUTED_VALUE"""),-0.01646173928609459)</f>
        <v>-0.01646173929</v>
      </c>
      <c r="W101" s="37">
        <f>IFERROR(__xludf.DUMMYFUNCTION("""COMPUTED_VALUE"""),0.0)</f>
        <v>0</v>
      </c>
      <c r="X101" s="37">
        <f>IFERROR(__xludf.DUMMYFUNCTION("""COMPUTED_VALUE"""),0.0)</f>
        <v>0</v>
      </c>
      <c r="Y101" s="37">
        <f>IFERROR(__xludf.DUMMYFUNCTION("""COMPUTED_VALUE"""),-0.6107615316917696)</f>
        <v>-0.6107615317</v>
      </c>
      <c r="Z101" s="37">
        <f>IFERROR(__xludf.DUMMYFUNCTION("""COMPUTED_VALUE"""),0.0)</f>
        <v>0</v>
      </c>
      <c r="AA101" t="str">
        <f>IFERROR(__xludf.DUMMYFUNCTION("SUBSTITUTE(REGEXREPLACE(REGEXREPLACE(REGEXREPLACE(REGEXREPLACE(REGEXREPLACE(REGEXREPLACE(E101,"","",),IF(Projections!$U$3="""",""PG"",),),IF(Projections!$V$3="""",""SG"",),),IF(Projections!$W$3="""",""SF"",),),IF(Projections!$X$3="""",""PF"",),),IF(Projec"&amp;"tions!$Y$3="""",""C"",),),""/"","""")"),"SFPF")</f>
        <v>SFPF</v>
      </c>
    </row>
    <row r="102">
      <c r="A102" s="29" t="str">
        <f>IF(Projections!$H$3,Draft!K4,"")</f>
        <v>Herbert Jones</v>
      </c>
      <c r="B102">
        <f>IFERROR(__xludf.DUMMYFUNCTION("""COMPUTED_VALUE"""),54.0)</f>
        <v>54</v>
      </c>
      <c r="C102" t="str">
        <f>IFERROR(__xludf.DUMMYFUNCTION("""COMPUTED_VALUE"""),"Jonas Valanciunas")</f>
        <v>Jonas Valanciunas</v>
      </c>
      <c r="D102">
        <f>IFERROR(__xludf.DUMMYFUNCTION("""COMPUTED_VALUE"""),67.0)</f>
        <v>67</v>
      </c>
      <c r="E102" t="str">
        <f>IFERROR(__xludf.DUMMYFUNCTION("""COMPUTED_VALUE"""),"C")</f>
        <v>C</v>
      </c>
      <c r="F102" s="37">
        <f>IFERROR(__xludf.DUMMYFUNCTION("""COMPUTED_VALUE"""),0.007962238810270056)</f>
        <v>0.00796223881</v>
      </c>
      <c r="G102" s="37">
        <f>IFERROR(__xludf.DUMMYFUNCTION("""COMPUTED_VALUE"""),-1.636898951152439)</f>
        <v>-1.636898951</v>
      </c>
      <c r="H102" s="37">
        <f>IFERROR(__xludf.DUMMYFUNCTION("""COMPUTED_VALUE"""),-1.644861189962709)</f>
        <v>-1.64486119</v>
      </c>
      <c r="I102" s="37">
        <f>IFERROR(__xludf.DUMMYFUNCTION("""COMPUTED_VALUE"""),16.8)</f>
        <v>16.8</v>
      </c>
      <c r="J102" s="37">
        <f>IFERROR(__xludf.DUMMYFUNCTION("""COMPUTED_VALUE"""),0.8)</f>
        <v>0.8</v>
      </c>
      <c r="K102" s="37">
        <f>IFERROR(__xludf.DUMMYFUNCTION("""COMPUTED_VALUE"""),10.7)</f>
        <v>10.7</v>
      </c>
      <c r="L102" s="37">
        <f>IFERROR(__xludf.DUMMYFUNCTION("""COMPUTED_VALUE"""),1.7)</f>
        <v>1.7</v>
      </c>
      <c r="M102" s="37">
        <f>IFERROR(__xludf.DUMMYFUNCTION("""COMPUTED_VALUE"""),0.6)</f>
        <v>0.6</v>
      </c>
      <c r="N102" s="37">
        <f>IFERROR(__xludf.DUMMYFUNCTION("""COMPUTED_VALUE"""),0.8)</f>
        <v>0.8</v>
      </c>
      <c r="O102" s="37">
        <f>IFERROR(__xludf.DUMMYFUNCTION("""COMPUTED_VALUE"""),54.166666666666664)</f>
        <v>54.16666667</v>
      </c>
      <c r="P102" s="37">
        <f>IFERROR(__xludf.DUMMYFUNCTION("""COMPUTED_VALUE"""),81.08108108108108)</f>
        <v>81.08108108</v>
      </c>
      <c r="Q102" s="37">
        <f>IFERROR(__xludf.DUMMYFUNCTION("""COMPUTED_VALUE"""),2.3)</f>
        <v>2.3</v>
      </c>
      <c r="R102" s="37">
        <f>IFERROR(__xludf.DUMMYFUNCTION("""COMPUTED_VALUE"""),-0.040746943635724286)</f>
        <v>-0.04074694364</v>
      </c>
      <c r="S102" s="37">
        <f>IFERROR(__xludf.DUMMYFUNCTION("""COMPUTED_VALUE"""),-0.8133866723549998)</f>
        <v>-0.8133866724</v>
      </c>
      <c r="T102" s="37">
        <f>IFERROR(__xludf.DUMMYFUNCTION("""COMPUTED_VALUE"""),1.8882017166088136)</f>
        <v>1.888201717</v>
      </c>
      <c r="U102" s="37">
        <f>IFERROR(__xludf.DUMMYFUNCTION("""COMPUTED_VALUE"""),-1.1425354683280753)</f>
        <v>-1.142535468</v>
      </c>
      <c r="V102" s="37">
        <f>IFERROR(__xludf.DUMMYFUNCTION("""COMPUTED_VALUE"""),-1.6516611750382768)</f>
        <v>-1.651661175</v>
      </c>
      <c r="W102" s="37">
        <f>IFERROR(__xludf.DUMMYFUNCTION("""COMPUTED_VALUE"""),0.0)</f>
        <v>0</v>
      </c>
      <c r="X102" s="37">
        <f>IFERROR(__xludf.DUMMYFUNCTION("""COMPUTED_VALUE"""),0.0)</f>
        <v>0</v>
      </c>
      <c r="Y102" s="37">
        <f>IFERROR(__xludf.DUMMYFUNCTION("""COMPUTED_VALUE"""),0.1232295915958236)</f>
        <v>0.1232295916</v>
      </c>
      <c r="Z102" s="37">
        <f>IFERROR(__xludf.DUMMYFUNCTION("""COMPUTED_VALUE"""),0.0)</f>
        <v>0</v>
      </c>
      <c r="AA102" t="str">
        <f>IFERROR(__xludf.DUMMYFUNCTION("SUBSTITUTE(REGEXREPLACE(REGEXREPLACE(REGEXREPLACE(REGEXREPLACE(REGEXREPLACE(REGEXREPLACE(E102,"","",),IF(Projections!$U$3="""",""PG"",),),IF(Projections!$V$3="""",""SG"",),),IF(Projections!$W$3="""",""SF"",),),IF(Projections!$X$3="""",""PF"",),),IF(Projec"&amp;"tions!$Y$3="""",""C"",),),""/"","""")"),"C")</f>
        <v>C</v>
      </c>
    </row>
    <row r="103">
      <c r="A103" s="29" t="str">
        <f>IF(Projections!$H$3,Draft!K5,"")</f>
        <v>Cameron Johnson</v>
      </c>
      <c r="B103">
        <f>IFERROR(__xludf.DUMMYFUNCTION("""COMPUTED_VALUE"""),116.0)</f>
        <v>116</v>
      </c>
      <c r="C103" t="str">
        <f>IFERROR(__xludf.DUMMYFUNCTION("""COMPUTED_VALUE"""),"Cameron Johnson")</f>
        <v>Cameron Johnson</v>
      </c>
      <c r="D103">
        <f>IFERROR(__xludf.DUMMYFUNCTION("""COMPUTED_VALUE"""),70.0)</f>
        <v>70</v>
      </c>
      <c r="E103" t="str">
        <f>IFERROR(__xludf.DUMMYFUNCTION("""COMPUTED_VALUE"""),"SF/PF")</f>
        <v>SF/PF</v>
      </c>
      <c r="F103" s="37">
        <f>IFERROR(__xludf.DUMMYFUNCTION("""COMPUTED_VALUE"""),-2.3519792811081692)</f>
        <v>-2.351979281</v>
      </c>
      <c r="G103" s="37">
        <f>IFERROR(__xludf.DUMMYFUNCTION("""COMPUTED_VALUE"""),-1.6573842022165945)</f>
        <v>-1.657384202</v>
      </c>
      <c r="H103" s="37">
        <f>IFERROR(__xludf.DUMMYFUNCTION("""COMPUTED_VALUE"""),0.6945950788915747)</f>
        <v>0.6945950789</v>
      </c>
      <c r="I103" s="37">
        <f>IFERROR(__xludf.DUMMYFUNCTION("""COMPUTED_VALUE"""),13.4)</f>
        <v>13.4</v>
      </c>
      <c r="J103" s="37">
        <f>IFERROR(__xludf.DUMMYFUNCTION("""COMPUTED_VALUE"""),2.6)</f>
        <v>2.6</v>
      </c>
      <c r="K103" s="37">
        <f>IFERROR(__xludf.DUMMYFUNCTION("""COMPUTED_VALUE"""),4.5)</f>
        <v>4.5</v>
      </c>
      <c r="L103" s="37">
        <f>IFERROR(__xludf.DUMMYFUNCTION("""COMPUTED_VALUE"""),1.6)</f>
        <v>1.6</v>
      </c>
      <c r="M103" s="37">
        <f>IFERROR(__xludf.DUMMYFUNCTION("""COMPUTED_VALUE"""),1.0)</f>
        <v>1</v>
      </c>
      <c r="N103" s="37">
        <f>IFERROR(__xludf.DUMMYFUNCTION("""COMPUTED_VALUE"""),0.2)</f>
        <v>0.2</v>
      </c>
      <c r="O103" s="37">
        <f>IFERROR(__xludf.DUMMYFUNCTION("""COMPUTED_VALUE"""),45.54455445544554)</f>
        <v>45.54455446</v>
      </c>
      <c r="P103" s="37">
        <f>IFERROR(__xludf.DUMMYFUNCTION("""COMPUTED_VALUE"""),84.21052631578948)</f>
        <v>84.21052632</v>
      </c>
      <c r="Q103" s="37">
        <f>IFERROR(__xludf.DUMMYFUNCTION("""COMPUTED_VALUE"""),0.8)</f>
        <v>0.8</v>
      </c>
      <c r="R103" s="37">
        <f>IFERROR(__xludf.DUMMYFUNCTION("""COMPUTED_VALUE"""),-0.9461154368751417)</f>
        <v>-0.9461154369</v>
      </c>
      <c r="S103" s="37">
        <f>IFERROR(__xludf.DUMMYFUNCTION("""COMPUTED_VALUE"""),0.9865333402325488)</f>
        <v>0.9865333402</v>
      </c>
      <c r="T103" s="37">
        <f>IFERROR(__xludf.DUMMYFUNCTION("""COMPUTED_VALUE"""),-0.6427337822350941)</f>
        <v>-0.6427337822</v>
      </c>
      <c r="U103" s="37">
        <f>IFERROR(__xludf.DUMMYFUNCTION("""COMPUTED_VALUE"""),-1.1996047894078214)</f>
        <v>-1.199604789</v>
      </c>
      <c r="V103" s="37">
        <f>IFERROR(__xludf.DUMMYFUNCTION("""COMPUTED_VALUE"""),-0.01646173928609459)</f>
        <v>-0.01646173929</v>
      </c>
      <c r="W103" s="37">
        <f>IFERROR(__xludf.DUMMYFUNCTION("""COMPUTED_VALUE"""),0.0)</f>
        <v>0</v>
      </c>
      <c r="X103" s="37">
        <f>IFERROR(__xludf.DUMMYFUNCTION("""COMPUTED_VALUE"""),0.0)</f>
        <v>0</v>
      </c>
      <c r="Y103" s="37">
        <f>IFERROR(__xludf.DUMMYFUNCTION("""COMPUTED_VALUE"""),0.1609982053550085)</f>
        <v>0.1609982054</v>
      </c>
      <c r="Z103" s="37">
        <f>IFERROR(__xludf.DUMMYFUNCTION("""COMPUTED_VALUE"""),0.0)</f>
        <v>0</v>
      </c>
      <c r="AA103" t="str">
        <f>IFERROR(__xludf.DUMMYFUNCTION("SUBSTITUTE(REGEXREPLACE(REGEXREPLACE(REGEXREPLACE(REGEXREPLACE(REGEXREPLACE(REGEXREPLACE(E103,"","",),IF(Projections!$U$3="""",""PG"",),),IF(Projections!$V$3="""",""SG"",),),IF(Projections!$W$3="""",""SF"",),),IF(Projections!$X$3="""",""PF"",),),IF(Projec"&amp;"tions!$Y$3="""",""C"",),),""/"","""")"),"SFPF")</f>
        <v>SFPF</v>
      </c>
    </row>
    <row r="104">
      <c r="A104" s="29" t="str">
        <f>IF(Projections!$H$3,Draft!K6,"")</f>
        <v>Brook Lopez</v>
      </c>
      <c r="B104">
        <f>IFERROR(__xludf.DUMMYFUNCTION("""COMPUTED_VALUE"""),133.0)</f>
        <v>133</v>
      </c>
      <c r="C104" t="str">
        <f>IFERROR(__xludf.DUMMYFUNCTION("""COMPUTED_VALUE"""),"Chris Duarte")</f>
        <v>Chris Duarte</v>
      </c>
      <c r="D104">
        <f>IFERROR(__xludf.DUMMYFUNCTION("""COMPUTED_VALUE"""),67.0)</f>
        <v>67</v>
      </c>
      <c r="E104" t="str">
        <f>IFERROR(__xludf.DUMMYFUNCTION("""COMPUTED_VALUE"""),"SG")</f>
        <v>SG</v>
      </c>
      <c r="F104" s="37">
        <f>IFERROR(__xludf.DUMMYFUNCTION("""COMPUTED_VALUE"""),-3.059400187946779)</f>
        <v>-3.059400188</v>
      </c>
      <c r="G104" s="37">
        <f>IFERROR(__xludf.DUMMYFUNCTION("""COMPUTED_VALUE"""),-1.750132341625896)</f>
        <v>-1.750132342</v>
      </c>
      <c r="H104" s="37">
        <f>IFERROR(__xludf.DUMMYFUNCTION("""COMPUTED_VALUE"""),1.309267846320883)</f>
        <v>1.309267846</v>
      </c>
      <c r="I104" s="37">
        <f>IFERROR(__xludf.DUMMYFUNCTION("""COMPUTED_VALUE"""),13.9)</f>
        <v>13.9</v>
      </c>
      <c r="J104" s="37">
        <f>IFERROR(__xludf.DUMMYFUNCTION("""COMPUTED_VALUE"""),1.8)</f>
        <v>1.8</v>
      </c>
      <c r="K104" s="37">
        <f>IFERROR(__xludf.DUMMYFUNCTION("""COMPUTED_VALUE"""),4.3)</f>
        <v>4.3</v>
      </c>
      <c r="L104" s="37">
        <f>IFERROR(__xludf.DUMMYFUNCTION("""COMPUTED_VALUE"""),2.2)</f>
        <v>2.2</v>
      </c>
      <c r="M104" s="37">
        <f>IFERROR(__xludf.DUMMYFUNCTION("""COMPUTED_VALUE"""),1.1)</f>
        <v>1.1</v>
      </c>
      <c r="N104" s="37">
        <f>IFERROR(__xludf.DUMMYFUNCTION("""COMPUTED_VALUE"""),0.2)</f>
        <v>0.2</v>
      </c>
      <c r="O104" s="37">
        <f>IFERROR(__xludf.DUMMYFUNCTION("""COMPUTED_VALUE"""),43.69747899159664)</f>
        <v>43.69747899</v>
      </c>
      <c r="P104" s="37">
        <f>IFERROR(__xludf.DUMMYFUNCTION("""COMPUTED_VALUE"""),80.95238095238095)</f>
        <v>80.95238095</v>
      </c>
      <c r="Q104" s="37">
        <f>IFERROR(__xludf.DUMMYFUNCTION("""COMPUTED_VALUE"""),1.7)</f>
        <v>1.7</v>
      </c>
      <c r="R104" s="37">
        <f>IFERROR(__xludf.DUMMYFUNCTION("""COMPUTED_VALUE"""),-0.8129730113987568)</f>
        <v>-0.8129730114</v>
      </c>
      <c r="S104" s="37">
        <f>IFERROR(__xludf.DUMMYFUNCTION("""COMPUTED_VALUE"""),0.18656889019363826)</f>
        <v>0.1865688902</v>
      </c>
      <c r="T104" s="37">
        <f>IFERROR(__xludf.DUMMYFUNCTION("""COMPUTED_VALUE"""),-0.7243768628429622)</f>
        <v>-0.7243768628</v>
      </c>
      <c r="U104" s="37">
        <f>IFERROR(__xludf.DUMMYFUNCTION("""COMPUTED_VALUE"""),-0.8571888629293436)</f>
        <v>-0.8571888629</v>
      </c>
      <c r="V104" s="37">
        <f>IFERROR(__xludf.DUMMYFUNCTION("""COMPUTED_VALUE"""),0.39233811965195126)</f>
        <v>0.3923381197</v>
      </c>
      <c r="W104" s="37">
        <f>IFERROR(__xludf.DUMMYFUNCTION("""COMPUTED_VALUE"""),0.0)</f>
        <v>0</v>
      </c>
      <c r="X104" s="37">
        <f>IFERROR(__xludf.DUMMYFUNCTION("""COMPUTED_VALUE"""),0.0)</f>
        <v>0</v>
      </c>
      <c r="Y104" s="37">
        <f>IFERROR(__xludf.DUMMYFUNCTION("""COMPUTED_VALUE"""),0.0654993856995771)</f>
        <v>0.0654993857</v>
      </c>
      <c r="Z104" s="37">
        <f>IFERROR(__xludf.DUMMYFUNCTION("""COMPUTED_VALUE"""),0.0)</f>
        <v>0</v>
      </c>
      <c r="AA104" t="str">
        <f>IFERROR(__xludf.DUMMYFUNCTION("SUBSTITUTE(REGEXREPLACE(REGEXREPLACE(REGEXREPLACE(REGEXREPLACE(REGEXREPLACE(REGEXREPLACE(E104,"","",),IF(Projections!$U$3="""",""PG"",),),IF(Projections!$V$3="""",""SG"",),),IF(Projections!$W$3="""",""SF"",),),IF(Projections!$X$3="""",""PF"",),),IF(Projec"&amp;"tions!$Y$3="""",""C"",),),""/"","""")"),"SG")</f>
        <v>SG</v>
      </c>
    </row>
    <row r="105">
      <c r="A105" s="29" t="str">
        <f>IF(Projections!$H$3,Draft!K7,"")</f>
        <v>Nicolas Claxton</v>
      </c>
      <c r="B105">
        <f>IFERROR(__xludf.DUMMYFUNCTION("""COMPUTED_VALUE"""),102.0)</f>
        <v>102</v>
      </c>
      <c r="C105" t="str">
        <f>IFERROR(__xludf.DUMMYFUNCTION("""COMPUTED_VALUE"""),"Dorian Finney-Smith")</f>
        <v>Dorian Finney-Smith</v>
      </c>
      <c r="D105">
        <f>IFERROR(__xludf.DUMMYFUNCTION("""COMPUTED_VALUE"""),76.0)</f>
        <v>76</v>
      </c>
      <c r="E105" t="str">
        <f>IFERROR(__xludf.DUMMYFUNCTION("""COMPUTED_VALUE"""),"SF/PF")</f>
        <v>SF/PF</v>
      </c>
      <c r="F105" s="37">
        <f>IFERROR(__xludf.DUMMYFUNCTION("""COMPUTED_VALUE"""),-1.903552351572669)</f>
        <v>-1.903552352</v>
      </c>
      <c r="G105" s="37">
        <f>IFERROR(__xludf.DUMMYFUNCTION("""COMPUTED_VALUE"""),-1.9139741615331212)</f>
        <v>-1.913974162</v>
      </c>
      <c r="H105" s="37">
        <f>IFERROR(__xludf.DUMMYFUNCTION("""COMPUTED_VALUE"""),-0.010421809960452055)</f>
        <v>-0.01042180996</v>
      </c>
      <c r="I105" s="37">
        <f>IFERROR(__xludf.DUMMYFUNCTION("""COMPUTED_VALUE"""),12.0)</f>
        <v>12</v>
      </c>
      <c r="J105" s="37">
        <f>IFERROR(__xludf.DUMMYFUNCTION("""COMPUTED_VALUE"""),2.2)</f>
        <v>2.2</v>
      </c>
      <c r="K105" s="37">
        <f>IFERROR(__xludf.DUMMYFUNCTION("""COMPUTED_VALUE"""),4.7)</f>
        <v>4.7</v>
      </c>
      <c r="L105" s="37">
        <f>IFERROR(__xludf.DUMMYFUNCTION("""COMPUTED_VALUE"""),1.9)</f>
        <v>1.9</v>
      </c>
      <c r="M105" s="37">
        <f>IFERROR(__xludf.DUMMYFUNCTION("""COMPUTED_VALUE"""),1.1)</f>
        <v>1.1</v>
      </c>
      <c r="N105" s="37">
        <f>IFERROR(__xludf.DUMMYFUNCTION("""COMPUTED_VALUE"""),0.5)</f>
        <v>0.5</v>
      </c>
      <c r="O105" s="37">
        <f>IFERROR(__xludf.DUMMYFUNCTION("""COMPUTED_VALUE"""),47.368421052631575)</f>
        <v>47.36842105</v>
      </c>
      <c r="P105" s="37">
        <f>IFERROR(__xludf.DUMMYFUNCTION("""COMPUTED_VALUE"""),80.0)</f>
        <v>80</v>
      </c>
      <c r="Q105" s="37">
        <f>IFERROR(__xludf.DUMMYFUNCTION("""COMPUTED_VALUE"""),1.0)</f>
        <v>1</v>
      </c>
      <c r="R105" s="37">
        <f>IFERROR(__xludf.DUMMYFUNCTION("""COMPUTED_VALUE"""),-1.3189142282090194)</f>
        <v>-1.318914228</v>
      </c>
      <c r="S105" s="37">
        <f>IFERROR(__xludf.DUMMYFUNCTION("""COMPUTED_VALUE"""),0.5865511152130937)</f>
        <v>0.5865511152</v>
      </c>
      <c r="T105" s="37">
        <f>IFERROR(__xludf.DUMMYFUNCTION("""COMPUTED_VALUE"""),-0.5610907016272261)</f>
        <v>-0.5610907016</v>
      </c>
      <c r="U105" s="37">
        <f>IFERROR(__xludf.DUMMYFUNCTION("""COMPUTED_VALUE"""),-1.0283968261685825)</f>
        <v>-1.028396826</v>
      </c>
      <c r="V105" s="37">
        <f>IFERROR(__xludf.DUMMYFUNCTION("""COMPUTED_VALUE"""),0.39233811965195126)</f>
        <v>0.3923381197</v>
      </c>
      <c r="W105" s="37">
        <f>IFERROR(__xludf.DUMMYFUNCTION("""COMPUTED_VALUE"""),0.0)</f>
        <v>0</v>
      </c>
      <c r="X105" s="37">
        <f>IFERROR(__xludf.DUMMYFUNCTION("""COMPUTED_VALUE"""),0.0)</f>
        <v>0</v>
      </c>
      <c r="Y105" s="37">
        <f>IFERROR(__xludf.DUMMYFUNCTION("""COMPUTED_VALUE"""),0.015538359606661832)</f>
        <v>0.01553835961</v>
      </c>
      <c r="Z105" s="37">
        <f>IFERROR(__xludf.DUMMYFUNCTION("""COMPUTED_VALUE"""),0.0)</f>
        <v>0</v>
      </c>
      <c r="AA105" t="str">
        <f>IFERROR(__xludf.DUMMYFUNCTION("SUBSTITUTE(REGEXREPLACE(REGEXREPLACE(REGEXREPLACE(REGEXREPLACE(REGEXREPLACE(REGEXREPLACE(E105,"","",),IF(Projections!$U$3="""",""PG"",),),IF(Projections!$V$3="""",""SG"",),),IF(Projections!$W$3="""",""SF"",),),IF(Projections!$X$3="""",""PF"",),),IF(Projec"&amp;"tions!$Y$3="""",""C"",),),""/"","""")"),"SFPF")</f>
        <v>SFPF</v>
      </c>
    </row>
    <row r="106">
      <c r="A106" s="29" t="str">
        <f>IF(Projections!$H$3,Draft!K8,"")</f>
        <v>Keegan Murray</v>
      </c>
      <c r="B106">
        <f>IFERROR(__xludf.DUMMYFUNCTION("""COMPUTED_VALUE"""),47.0)</f>
        <v>47</v>
      </c>
      <c r="C106" t="str">
        <f>IFERROR(__xludf.DUMMYFUNCTION("""COMPUTED_VALUE"""),"Jaren Jackson Jr.")</f>
        <v>Jaren Jackson Jr.</v>
      </c>
      <c r="D106">
        <f>IFERROR(__xludf.DUMMYFUNCTION("""COMPUTED_VALUE"""),71.0)</f>
        <v>71</v>
      </c>
      <c r="E106" t="str">
        <f>IFERROR(__xludf.DUMMYFUNCTION("""COMPUTED_VALUE"""),"PF/C")</f>
        <v>PF/C</v>
      </c>
      <c r="F106" s="37">
        <f>IFERROR(__xludf.DUMMYFUNCTION("""COMPUTED_VALUE"""),0.835672133683304)</f>
        <v>0.8356721337</v>
      </c>
      <c r="G106" s="37">
        <f>IFERROR(__xludf.DUMMYFUNCTION("""COMPUTED_VALUE"""),-1.968912698067247)</f>
        <v>-1.968912698</v>
      </c>
      <c r="H106" s="37">
        <f>IFERROR(__xludf.DUMMYFUNCTION("""COMPUTED_VALUE"""),-2.804584831750551)</f>
        <v>-2.804584832</v>
      </c>
      <c r="I106" s="37">
        <f>IFERROR(__xludf.DUMMYFUNCTION("""COMPUTED_VALUE"""),16.3)</f>
        <v>16.3</v>
      </c>
      <c r="J106" s="37">
        <f>IFERROR(__xludf.DUMMYFUNCTION("""COMPUTED_VALUE"""),1.6)</f>
        <v>1.6</v>
      </c>
      <c r="K106" s="37">
        <f>IFERROR(__xludf.DUMMYFUNCTION("""COMPUTED_VALUE"""),5.9)</f>
        <v>5.9</v>
      </c>
      <c r="L106" s="37">
        <f>IFERROR(__xludf.DUMMYFUNCTION("""COMPUTED_VALUE"""),1.1)</f>
        <v>1.1</v>
      </c>
      <c r="M106" s="37">
        <f>IFERROR(__xludf.DUMMYFUNCTION("""COMPUTED_VALUE"""),0.9)</f>
        <v>0.9</v>
      </c>
      <c r="N106" s="37">
        <f>IFERROR(__xludf.DUMMYFUNCTION("""COMPUTED_VALUE"""),2.2)</f>
        <v>2.2</v>
      </c>
      <c r="O106" s="37">
        <f>IFERROR(__xludf.DUMMYFUNCTION("""COMPUTED_VALUE"""),42.74809160305343)</f>
        <v>42.7480916</v>
      </c>
      <c r="P106" s="37">
        <f>IFERROR(__xludf.DUMMYFUNCTION("""COMPUTED_VALUE"""),81.81818181818181)</f>
        <v>81.81818182</v>
      </c>
      <c r="Q106" s="37">
        <f>IFERROR(__xludf.DUMMYFUNCTION("""COMPUTED_VALUE"""),1.7)</f>
        <v>1.7</v>
      </c>
      <c r="R106" s="37">
        <f>IFERROR(__xludf.DUMMYFUNCTION("""COMPUTED_VALUE"""),-0.17388936911210917)</f>
        <v>-0.1738893691</v>
      </c>
      <c r="S106" s="37">
        <f>IFERROR(__xludf.DUMMYFUNCTION("""COMPUTED_VALUE"""),-0.013422222316089305)</f>
        <v>-0.01342222232</v>
      </c>
      <c r="T106" s="37">
        <f>IFERROR(__xludf.DUMMYFUNCTION("""COMPUTED_VALUE"""),-0.07123221798001796)</f>
        <v>-0.07123221798</v>
      </c>
      <c r="U106" s="37">
        <f>IFERROR(__xludf.DUMMYFUNCTION("""COMPUTED_VALUE"""),-1.484951394806553)</f>
        <v>-1.484951395</v>
      </c>
      <c r="V106" s="37">
        <f>IFERROR(__xludf.DUMMYFUNCTION("""COMPUTED_VALUE"""),-0.42526159822414)</f>
        <v>-0.4252615982</v>
      </c>
      <c r="W106" s="37">
        <f>IFERROR(__xludf.DUMMYFUNCTION("""COMPUTED_VALUE"""),0.0)</f>
        <v>0</v>
      </c>
      <c r="X106" s="37">
        <f>IFERROR(__xludf.DUMMYFUNCTION("""COMPUTED_VALUE"""),0.0)</f>
        <v>0</v>
      </c>
      <c r="Y106" s="37">
        <f>IFERROR(__xludf.DUMMYFUNCTION("""COMPUTED_VALUE"""),0.19984410437166225)</f>
        <v>0.1998441044</v>
      </c>
      <c r="Z106" s="37">
        <f>IFERROR(__xludf.DUMMYFUNCTION("""COMPUTED_VALUE"""),0.0)</f>
        <v>0</v>
      </c>
      <c r="AA106" t="str">
        <f>IFERROR(__xludf.DUMMYFUNCTION("SUBSTITUTE(REGEXREPLACE(REGEXREPLACE(REGEXREPLACE(REGEXREPLACE(REGEXREPLACE(REGEXREPLACE(E106,"","",),IF(Projections!$U$3="""",""PG"",),),IF(Projections!$V$3="""",""SG"",),),IF(Projections!$W$3="""",""SF"",),),IF(Projections!$X$3="""",""PF"",),),IF(Projec"&amp;"tions!$Y$3="""",""C"",),),""/"","""")"),"PFC")</f>
        <v>PFC</v>
      </c>
    </row>
    <row r="107">
      <c r="A107" s="29" t="str">
        <f>IF(Projections!$H$3,Draft!K9,"")</f>
        <v>Jarred Vanderbilt</v>
      </c>
      <c r="B107">
        <f>IFERROR(__xludf.DUMMYFUNCTION("""COMPUTED_VALUE"""),125.0)</f>
        <v>125</v>
      </c>
      <c r="C107" t="str">
        <f>IFERROR(__xludf.DUMMYFUNCTION("""COMPUTED_VALUE"""),"Malcolm Brogdon")</f>
        <v>Malcolm Brogdon</v>
      </c>
      <c r="D107">
        <f>IFERROR(__xludf.DUMMYFUNCTION("""COMPUTED_VALUE"""),70.0)</f>
        <v>70</v>
      </c>
      <c r="E107" t="str">
        <f>IFERROR(__xludf.DUMMYFUNCTION("""COMPUTED_VALUE"""),"PG/SG")</f>
        <v>PG/SG</v>
      </c>
      <c r="F107" s="37">
        <f>IFERROR(__xludf.DUMMYFUNCTION("""COMPUTED_VALUE"""),-2.7176187188076977)</f>
        <v>-2.717618719</v>
      </c>
      <c r="G107" s="37">
        <f>IFERROR(__xludf.DUMMYFUNCTION("""COMPUTED_VALUE"""),-2.0039620702176695)</f>
        <v>-2.00396207</v>
      </c>
      <c r="H107" s="37">
        <f>IFERROR(__xludf.DUMMYFUNCTION("""COMPUTED_VALUE"""),0.7136566485900282)</f>
        <v>0.7136566486</v>
      </c>
      <c r="I107" s="37">
        <f>IFERROR(__xludf.DUMMYFUNCTION("""COMPUTED_VALUE"""),16.1)</f>
        <v>16.1</v>
      </c>
      <c r="J107" s="37">
        <f>IFERROR(__xludf.DUMMYFUNCTION("""COMPUTED_VALUE"""),1.3)</f>
        <v>1.3</v>
      </c>
      <c r="K107" s="37">
        <f>IFERROR(__xludf.DUMMYFUNCTION("""COMPUTED_VALUE"""),4.3)</f>
        <v>4.3</v>
      </c>
      <c r="L107" s="37">
        <f>IFERROR(__xludf.DUMMYFUNCTION("""COMPUTED_VALUE"""),3.9)</f>
        <v>3.9</v>
      </c>
      <c r="M107" s="37">
        <f>IFERROR(__xludf.DUMMYFUNCTION("""COMPUTED_VALUE"""),0.7)</f>
        <v>0.7</v>
      </c>
      <c r="N107" s="37">
        <f>IFERROR(__xludf.DUMMYFUNCTION("""COMPUTED_VALUE"""),0.3)</f>
        <v>0.3</v>
      </c>
      <c r="O107" s="37">
        <f>IFERROR(__xludf.DUMMYFUNCTION("""COMPUTED_VALUE"""),44.88188976377953)</f>
        <v>44.88188976</v>
      </c>
      <c r="P107" s="37">
        <f>IFERROR(__xludf.DUMMYFUNCTION("""COMPUTED_VALUE"""),85.0)</f>
        <v>85</v>
      </c>
      <c r="Q107" s="37">
        <f>IFERROR(__xludf.DUMMYFUNCTION("""COMPUTED_VALUE"""),1.8)</f>
        <v>1.8</v>
      </c>
      <c r="R107" s="37">
        <f>IFERROR(__xludf.DUMMYFUNCTION("""COMPUTED_VALUE"""),-0.22714633930266295)</f>
        <v>-0.2271463393</v>
      </c>
      <c r="S107" s="37">
        <f>IFERROR(__xludf.DUMMYFUNCTION("""COMPUTED_VALUE"""),-0.31340889108068076)</f>
        <v>-0.3134088911</v>
      </c>
      <c r="T107" s="37">
        <f>IFERROR(__xludf.DUMMYFUNCTION("""COMPUTED_VALUE"""),-0.7243768628429622)</f>
        <v>-0.7243768628</v>
      </c>
      <c r="U107" s="37">
        <f>IFERROR(__xludf.DUMMYFUNCTION("""COMPUTED_VALUE"""),0.11298959542634326)</f>
        <v>0.1129895954</v>
      </c>
      <c r="V107" s="37">
        <f>IFERROR(__xludf.DUMMYFUNCTION("""COMPUTED_VALUE"""),-1.2428613161002313)</f>
        <v>-1.242861316</v>
      </c>
      <c r="W107" s="37">
        <f>IFERROR(__xludf.DUMMYFUNCTION("""COMPUTED_VALUE"""),0.0)</f>
        <v>0</v>
      </c>
      <c r="X107" s="37">
        <f>IFERROR(__xludf.DUMMYFUNCTION("""COMPUTED_VALUE"""),0.0)</f>
        <v>0</v>
      </c>
      <c r="Y107" s="37">
        <f>IFERROR(__xludf.DUMMYFUNCTION("""COMPUTED_VALUE"""),0.3908417436825242)</f>
        <v>0.3908417437</v>
      </c>
      <c r="Z107" s="37">
        <f>IFERROR(__xludf.DUMMYFUNCTION("""COMPUTED_VALUE"""),0.0)</f>
        <v>0</v>
      </c>
      <c r="AA107" t="str">
        <f>IFERROR(__xludf.DUMMYFUNCTION("SUBSTITUTE(REGEXREPLACE(REGEXREPLACE(REGEXREPLACE(REGEXREPLACE(REGEXREPLACE(REGEXREPLACE(E107,"","",),IF(Projections!$U$3="""",""PG"",),),IF(Projections!$V$3="""",""SG"",),),IF(Projections!$W$3="""",""SF"",),),IF(Projections!$X$3="""",""PF"",),),IF(Projec"&amp;"tions!$Y$3="""",""C"",),),""/"","""")"),"PGSG")</f>
        <v>PGSG</v>
      </c>
    </row>
    <row r="108">
      <c r="A108" s="29" t="str">
        <f>IF(Projections!$H$3,Draft!K10,"")</f>
        <v>Kyle Kuzma</v>
      </c>
      <c r="B108">
        <f>IFERROR(__xludf.DUMMYFUNCTION("""COMPUTED_VALUE"""),120.0)</f>
        <v>120</v>
      </c>
      <c r="C108" t="str">
        <f>IFERROR(__xludf.DUMMYFUNCTION("""COMPUTED_VALUE"""),"Kentavious Caldwell-Pope")</f>
        <v>Kentavious Caldwell-Pope</v>
      </c>
      <c r="D108">
        <f>IFERROR(__xludf.DUMMYFUNCTION("""COMPUTED_VALUE"""),72.0)</f>
        <v>72</v>
      </c>
      <c r="E108" t="str">
        <f>IFERROR(__xludf.DUMMYFUNCTION("""COMPUTED_VALUE"""),"SG/SF")</f>
        <v>SG/SF</v>
      </c>
      <c r="F108" s="37">
        <f>IFERROR(__xludf.DUMMYFUNCTION("""COMPUTED_VALUE"""),-2.4757149587040717)</f>
        <v>-2.475714959</v>
      </c>
      <c r="G108" s="37">
        <f>IFERROR(__xludf.DUMMYFUNCTION("""COMPUTED_VALUE"""),-2.0287316425159547)</f>
        <v>-2.028731643</v>
      </c>
      <c r="H108" s="37">
        <f>IFERROR(__xludf.DUMMYFUNCTION("""COMPUTED_VALUE"""),0.44698331618811693)</f>
        <v>0.4469833162</v>
      </c>
      <c r="I108" s="37">
        <f>IFERROR(__xludf.DUMMYFUNCTION("""COMPUTED_VALUE"""),12.9)</f>
        <v>12.9</v>
      </c>
      <c r="J108" s="37">
        <f>IFERROR(__xludf.DUMMYFUNCTION("""COMPUTED_VALUE"""),2.0)</f>
        <v>2</v>
      </c>
      <c r="K108" s="37">
        <f>IFERROR(__xludf.DUMMYFUNCTION("""COMPUTED_VALUE"""),3.3)</f>
        <v>3.3</v>
      </c>
      <c r="L108" s="37">
        <f>IFERROR(__xludf.DUMMYFUNCTION("""COMPUTED_VALUE"""),1.8)</f>
        <v>1.8</v>
      </c>
      <c r="M108" s="37">
        <f>IFERROR(__xludf.DUMMYFUNCTION("""COMPUTED_VALUE"""),1.1)</f>
        <v>1.1</v>
      </c>
      <c r="N108" s="37">
        <f>IFERROR(__xludf.DUMMYFUNCTION("""COMPUTED_VALUE"""),0.3)</f>
        <v>0.3</v>
      </c>
      <c r="O108" s="37">
        <f>IFERROR(__xludf.DUMMYFUNCTION("""COMPUTED_VALUE"""),43.8095238095238)</f>
        <v>43.80952381</v>
      </c>
      <c r="P108" s="37">
        <f>IFERROR(__xludf.DUMMYFUNCTION("""COMPUTED_VALUE"""),94.73684210526316)</f>
        <v>94.73684211</v>
      </c>
      <c r="Q108" s="37">
        <f>IFERROR(__xludf.DUMMYFUNCTION("""COMPUTED_VALUE"""),1.3)</f>
        <v>1.3</v>
      </c>
      <c r="R108" s="37">
        <f>IFERROR(__xludf.DUMMYFUNCTION("""COMPUTED_VALUE"""),-1.0792578623515265)</f>
        <v>-1.079257862</v>
      </c>
      <c r="S108" s="37">
        <f>IFERROR(__xludf.DUMMYFUNCTION("""COMPUTED_VALUE"""),0.3865600027033658)</f>
        <v>0.3865600027</v>
      </c>
      <c r="T108" s="37">
        <f>IFERROR(__xludf.DUMMYFUNCTION("""COMPUTED_VALUE"""),-1.1325922658823022)</f>
        <v>-1.132592266</v>
      </c>
      <c r="U108" s="37">
        <f>IFERROR(__xludf.DUMMYFUNCTION("""COMPUTED_VALUE"""),-1.085466147248329)</f>
        <v>-1.085466147</v>
      </c>
      <c r="V108" s="37">
        <f>IFERROR(__xludf.DUMMYFUNCTION("""COMPUTED_VALUE"""),0.39233811965195126)</f>
        <v>0.3923381197</v>
      </c>
      <c r="W108" s="37">
        <f>IFERROR(__xludf.DUMMYFUNCTION("""COMPUTED_VALUE"""),0.0)</f>
        <v>0</v>
      </c>
      <c r="X108" s="37">
        <f>IFERROR(__xludf.DUMMYFUNCTION("""COMPUTED_VALUE"""),0.0)</f>
        <v>0</v>
      </c>
      <c r="Y108" s="37">
        <f>IFERROR(__xludf.DUMMYFUNCTION("""COMPUTED_VALUE"""),0.48968651061088586)</f>
        <v>0.4896865106</v>
      </c>
      <c r="Z108" s="37">
        <f>IFERROR(__xludf.DUMMYFUNCTION("""COMPUTED_VALUE"""),0.0)</f>
        <v>0</v>
      </c>
      <c r="AA108" t="str">
        <f>IFERROR(__xludf.DUMMYFUNCTION("SUBSTITUTE(REGEXREPLACE(REGEXREPLACE(REGEXREPLACE(REGEXREPLACE(REGEXREPLACE(REGEXREPLACE(E108,"","",),IF(Projections!$U$3="""",""PG"",),),IF(Projections!$V$3="""",""SG"",),),IF(Projections!$W$3="""",""SF"",),),IF(Projections!$X$3="""",""PF"",),),IF(Projec"&amp;"tions!$Y$3="""",""C"",),),""/"","""")"),"SGSF")</f>
        <v>SGSF</v>
      </c>
    </row>
    <row r="109">
      <c r="A109" s="29" t="str">
        <f>IF(Projections!$H$3,Draft!K11,"")</f>
        <v>Tre Jones</v>
      </c>
      <c r="B109">
        <f>IFERROR(__xludf.DUMMYFUNCTION("""COMPUTED_VALUE"""),119.0)</f>
        <v>119</v>
      </c>
      <c r="C109" t="str">
        <f>IFERROR(__xludf.DUMMYFUNCTION("""COMPUTED_VALUE"""),"Bones Hyland")</f>
        <v>Bones Hyland</v>
      </c>
      <c r="D109">
        <f>IFERROR(__xludf.DUMMYFUNCTION("""COMPUTED_VALUE"""),73.0)</f>
        <v>73</v>
      </c>
      <c r="E109" t="str">
        <f>IFERROR(__xludf.DUMMYFUNCTION("""COMPUTED_VALUE"""),"PG")</f>
        <v>PG</v>
      </c>
      <c r="F109" s="37">
        <f>IFERROR(__xludf.DUMMYFUNCTION("""COMPUTED_VALUE"""),-2.4339182317500527)</f>
        <v>-2.433918232</v>
      </c>
      <c r="G109" s="37">
        <f>IFERROR(__xludf.DUMMYFUNCTION("""COMPUTED_VALUE"""),-2.0703981990545817)</f>
        <v>-2.070398199</v>
      </c>
      <c r="H109" s="37">
        <f>IFERROR(__xludf.DUMMYFUNCTION("""COMPUTED_VALUE"""),0.36352003269547106)</f>
        <v>0.3635200327</v>
      </c>
      <c r="I109" s="37">
        <f>IFERROR(__xludf.DUMMYFUNCTION("""COMPUTED_VALUE"""),12.4)</f>
        <v>12.4</v>
      </c>
      <c r="J109" s="37">
        <f>IFERROR(__xludf.DUMMYFUNCTION("""COMPUTED_VALUE"""),2.4)</f>
        <v>2.4</v>
      </c>
      <c r="K109" s="37">
        <f>IFERROR(__xludf.DUMMYFUNCTION("""COMPUTED_VALUE"""),3.5)</f>
        <v>3.5</v>
      </c>
      <c r="L109" s="37">
        <f>IFERROR(__xludf.DUMMYFUNCTION("""COMPUTED_VALUE"""),3.6)</f>
        <v>3.6</v>
      </c>
      <c r="M109" s="37">
        <f>IFERROR(__xludf.DUMMYFUNCTION("""COMPUTED_VALUE"""),0.8)</f>
        <v>0.8</v>
      </c>
      <c r="N109" s="37">
        <f>IFERROR(__xludf.DUMMYFUNCTION("""COMPUTED_VALUE"""),0.4)</f>
        <v>0.4</v>
      </c>
      <c r="O109" s="37">
        <f>IFERROR(__xludf.DUMMYFUNCTION("""COMPUTED_VALUE"""),43.01075268817204)</f>
        <v>43.01075269</v>
      </c>
      <c r="P109" s="37">
        <f>IFERROR(__xludf.DUMMYFUNCTION("""COMPUTED_VALUE"""),86.95652173913044)</f>
        <v>86.95652174</v>
      </c>
      <c r="Q109" s="37">
        <f>IFERROR(__xludf.DUMMYFUNCTION("""COMPUTED_VALUE"""),1.7)</f>
        <v>1.7</v>
      </c>
      <c r="R109" s="37">
        <f>IFERROR(__xludf.DUMMYFUNCTION("""COMPUTED_VALUE"""),-1.2124002878279114)</f>
        <v>-1.212400288</v>
      </c>
      <c r="S109" s="37">
        <f>IFERROR(__xludf.DUMMYFUNCTION("""COMPUTED_VALUE"""),0.786542227722821)</f>
        <v>0.7865422277</v>
      </c>
      <c r="T109" s="37">
        <f>IFERROR(__xludf.DUMMYFUNCTION("""COMPUTED_VALUE"""),-1.0509491852744342)</f>
        <v>-1.050949185</v>
      </c>
      <c r="U109" s="37">
        <f>IFERROR(__xludf.DUMMYFUNCTION("""COMPUTED_VALUE"""),-0.058218367812895515)</f>
        <v>-0.05821836781</v>
      </c>
      <c r="V109" s="37">
        <f>IFERROR(__xludf.DUMMYFUNCTION("""COMPUTED_VALUE"""),-0.8340614571621854)</f>
        <v>-0.8340614572</v>
      </c>
      <c r="W109" s="37">
        <f>IFERROR(__xludf.DUMMYFUNCTION("""COMPUTED_VALUE"""),0.0)</f>
        <v>0</v>
      </c>
      <c r="X109" s="37">
        <f>IFERROR(__xludf.DUMMYFUNCTION("""COMPUTED_VALUE"""),0.0)</f>
        <v>0</v>
      </c>
      <c r="Y109" s="37">
        <f>IFERROR(__xludf.DUMMYFUNCTION("""COMPUTED_VALUE"""),0.2986888713000242)</f>
        <v>0.2986888713</v>
      </c>
      <c r="Z109" s="37">
        <f>IFERROR(__xludf.DUMMYFUNCTION("""COMPUTED_VALUE"""),0.0)</f>
        <v>0</v>
      </c>
      <c r="AA109" t="str">
        <f>IFERROR(__xludf.DUMMYFUNCTION("SUBSTITUTE(REGEXREPLACE(REGEXREPLACE(REGEXREPLACE(REGEXREPLACE(REGEXREPLACE(REGEXREPLACE(E109,"","",),IF(Projections!$U$3="""",""PG"",),),IF(Projections!$V$3="""",""SG"",),),IF(Projections!$W$3="""",""SF"",),),IF(Projections!$X$3="""",""PF"",),),IF(Projec"&amp;"tions!$Y$3="""",""C"",),),""/"","""")"),"PG")</f>
        <v>PG</v>
      </c>
    </row>
    <row r="110">
      <c r="A110" s="29" t="str">
        <f>IF(Projections!$H$3,Draft!K12,"")</f>
        <v>Mike Conley</v>
      </c>
      <c r="B110">
        <f>IFERROR(__xludf.DUMMYFUNCTION("""COMPUTED_VALUE"""),51.0)</f>
        <v>51</v>
      </c>
      <c r="C110" t="str">
        <f>IFERROR(__xludf.DUMMYFUNCTION("""COMPUTED_VALUE"""),"Deandre Ayton")</f>
        <v>Deandre Ayton</v>
      </c>
      <c r="D110">
        <f>IFERROR(__xludf.DUMMYFUNCTION("""COMPUTED_VALUE"""),74.0)</f>
        <v>74</v>
      </c>
      <c r="E110" t="str">
        <f>IFERROR(__xludf.DUMMYFUNCTION("""COMPUTED_VALUE"""),"C")</f>
        <v>C</v>
      </c>
      <c r="F110" s="37">
        <f>IFERROR(__xludf.DUMMYFUNCTION("""COMPUTED_VALUE"""),0.15501835638151162)</f>
        <v>0.1550183564</v>
      </c>
      <c r="G110" s="37">
        <f>IFERROR(__xludf.DUMMYFUNCTION("""COMPUTED_VALUE"""),-2.0746856532681246)</f>
        <v>-2.074685653</v>
      </c>
      <c r="H110" s="37">
        <f>IFERROR(__xludf.DUMMYFUNCTION("""COMPUTED_VALUE"""),-2.229704009649636)</f>
        <v>-2.22970401</v>
      </c>
      <c r="I110" s="37">
        <f>IFERROR(__xludf.DUMMYFUNCTION("""COMPUTED_VALUE"""),18.1)</f>
        <v>18.1</v>
      </c>
      <c r="J110" s="37">
        <f>IFERROR(__xludf.DUMMYFUNCTION("""COMPUTED_VALUE"""),0.1)</f>
        <v>0.1</v>
      </c>
      <c r="K110" s="37">
        <f>IFERROR(__xludf.DUMMYFUNCTION("""COMPUTED_VALUE"""),10.7)</f>
        <v>10.7</v>
      </c>
      <c r="L110" s="37">
        <f>IFERROR(__xludf.DUMMYFUNCTION("""COMPUTED_VALUE"""),1.5)</f>
        <v>1.5</v>
      </c>
      <c r="M110" s="37">
        <f>IFERROR(__xludf.DUMMYFUNCTION("""COMPUTED_VALUE"""),0.7)</f>
        <v>0.7</v>
      </c>
      <c r="N110" s="37">
        <f>IFERROR(__xludf.DUMMYFUNCTION("""COMPUTED_VALUE"""),0.7)</f>
        <v>0.7</v>
      </c>
      <c r="O110" s="37">
        <f>IFERROR(__xludf.DUMMYFUNCTION("""COMPUTED_VALUE"""),62.99212598425197)</f>
        <v>62.99212598</v>
      </c>
      <c r="P110" s="37">
        <f>IFERROR(__xludf.DUMMYFUNCTION("""COMPUTED_VALUE"""),73.07692307692307)</f>
        <v>73.07692308</v>
      </c>
      <c r="Q110" s="37">
        <f>IFERROR(__xludf.DUMMYFUNCTION("""COMPUTED_VALUE"""),1.7)</f>
        <v>1.7</v>
      </c>
      <c r="R110" s="37">
        <f>IFERROR(__xludf.DUMMYFUNCTION("""COMPUTED_VALUE"""),0.3054233626028766)</f>
        <v>0.3054233626</v>
      </c>
      <c r="S110" s="37">
        <f>IFERROR(__xludf.DUMMYFUNCTION("""COMPUTED_VALUE"""),-1.5133555661390465)</f>
        <v>-1.513355566</v>
      </c>
      <c r="T110" s="37">
        <f>IFERROR(__xludf.DUMMYFUNCTION("""COMPUTED_VALUE"""),1.8882017166088136)</f>
        <v>1.888201717</v>
      </c>
      <c r="U110" s="37">
        <f>IFERROR(__xludf.DUMMYFUNCTION("""COMPUTED_VALUE"""),-1.2566741104875678)</f>
        <v>-1.25667411</v>
      </c>
      <c r="V110" s="37">
        <f>IFERROR(__xludf.DUMMYFUNCTION("""COMPUTED_VALUE"""),-1.2428613161002313)</f>
        <v>-1.242861316</v>
      </c>
      <c r="W110" s="37">
        <f>IFERROR(__xludf.DUMMYFUNCTION("""COMPUTED_VALUE"""),0.0)</f>
        <v>0</v>
      </c>
      <c r="X110" s="37">
        <f>IFERROR(__xludf.DUMMYFUNCTION("""COMPUTED_VALUE"""),0.0)</f>
        <v>0</v>
      </c>
      <c r="Y110" s="37">
        <f>IFERROR(__xludf.DUMMYFUNCTION("""COMPUTED_VALUE"""),-0.2554197397529692)</f>
        <v>-0.2554197398</v>
      </c>
      <c r="Z110" s="37">
        <f>IFERROR(__xludf.DUMMYFUNCTION("""COMPUTED_VALUE"""),0.0)</f>
        <v>0</v>
      </c>
      <c r="AA110" t="str">
        <f>IFERROR(__xludf.DUMMYFUNCTION("SUBSTITUTE(REGEXREPLACE(REGEXREPLACE(REGEXREPLACE(REGEXREPLACE(REGEXREPLACE(REGEXREPLACE(E110,"","",),IF(Projections!$U$3="""",""PG"",),),IF(Projections!$V$3="""",""SG"",),),IF(Projections!$W$3="""",""SF"",),),IF(Projections!$X$3="""",""PF"",),),IF(Projec"&amp;"tions!$Y$3="""",""C"",),),""/"","""")"),"C")</f>
        <v>C</v>
      </c>
    </row>
    <row r="111">
      <c r="A111" s="29" t="str">
        <f>IF(Projections!$H$3,Draft!K13,"")</f>
        <v>Clint Capela</v>
      </c>
      <c r="B111">
        <f>IFERROR(__xludf.DUMMYFUNCTION("""COMPUTED_VALUE"""),154.0)</f>
        <v>154</v>
      </c>
      <c r="C111" t="str">
        <f>IFERROR(__xludf.DUMMYFUNCTION("""COMPUTED_VALUE"""),"Victor Oladipo")</f>
        <v>Victor Oladipo</v>
      </c>
      <c r="D111">
        <f>IFERROR(__xludf.DUMMYFUNCTION("""COMPUTED_VALUE"""),60.0)</f>
        <v>60</v>
      </c>
      <c r="E111" t="str">
        <f>IFERROR(__xludf.DUMMYFUNCTION("""COMPUTED_VALUE"""),"SG")</f>
        <v>SG</v>
      </c>
      <c r="F111" s="37">
        <f>IFERROR(__xludf.DUMMYFUNCTION("""COMPUTED_VALUE"""),-3.6845677265262684)</f>
        <v>-3.684567727</v>
      </c>
      <c r="G111" s="37">
        <f>IFERROR(__xludf.DUMMYFUNCTION("""COMPUTED_VALUE"""),-2.0827878439502587)</f>
        <v>-2.082787844</v>
      </c>
      <c r="H111" s="37">
        <f>IFERROR(__xludf.DUMMYFUNCTION("""COMPUTED_VALUE"""),1.6017798825760097)</f>
        <v>1.601779883</v>
      </c>
      <c r="I111" s="37">
        <f>IFERROR(__xludf.DUMMYFUNCTION("""COMPUTED_VALUE"""),15.1)</f>
        <v>15.1</v>
      </c>
      <c r="J111" s="37">
        <f>IFERROR(__xludf.DUMMYFUNCTION("""COMPUTED_VALUE"""),2.3)</f>
        <v>2.3</v>
      </c>
      <c r="K111" s="37">
        <f>IFERROR(__xludf.DUMMYFUNCTION("""COMPUTED_VALUE"""),3.5)</f>
        <v>3.5</v>
      </c>
      <c r="L111" s="37">
        <f>IFERROR(__xludf.DUMMYFUNCTION("""COMPUTED_VALUE"""),4.0)</f>
        <v>4</v>
      </c>
      <c r="M111" s="37">
        <f>IFERROR(__xludf.DUMMYFUNCTION("""COMPUTED_VALUE"""),0.7)</f>
        <v>0.7</v>
      </c>
      <c r="N111" s="37">
        <f>IFERROR(__xludf.DUMMYFUNCTION("""COMPUTED_VALUE"""),0.1)</f>
        <v>0.1</v>
      </c>
      <c r="O111" s="37">
        <f>IFERROR(__xludf.DUMMYFUNCTION("""COMPUTED_VALUE"""),44.53781512605042)</f>
        <v>44.53781513</v>
      </c>
      <c r="P111" s="37">
        <f>IFERROR(__xludf.DUMMYFUNCTION("""COMPUTED_VALUE"""),75.86206896551725)</f>
        <v>75.86206897</v>
      </c>
      <c r="Q111" s="37">
        <f>IFERROR(__xludf.DUMMYFUNCTION("""COMPUTED_VALUE"""),2.4)</f>
        <v>2.4</v>
      </c>
      <c r="R111" s="37">
        <f>IFERROR(__xludf.DUMMYFUNCTION("""COMPUTED_VALUE"""),-0.4934311902554332)</f>
        <v>-0.4934311903</v>
      </c>
      <c r="S111" s="37">
        <f>IFERROR(__xludf.DUMMYFUNCTION("""COMPUTED_VALUE"""),0.6865466714679571)</f>
        <v>0.6865466715</v>
      </c>
      <c r="T111" s="37">
        <f>IFERROR(__xludf.DUMMYFUNCTION("""COMPUTED_VALUE"""),-1.0509491852744342)</f>
        <v>-1.050949185</v>
      </c>
      <c r="U111" s="37">
        <f>IFERROR(__xludf.DUMMYFUNCTION("""COMPUTED_VALUE"""),0.17005891650608962)</f>
        <v>0.1700589165</v>
      </c>
      <c r="V111" s="37">
        <f>IFERROR(__xludf.DUMMYFUNCTION("""COMPUTED_VALUE"""),-1.2428613161002313)</f>
        <v>-1.242861316</v>
      </c>
      <c r="W111" s="37">
        <f>IFERROR(__xludf.DUMMYFUNCTION("""COMPUTED_VALUE"""),0.0)</f>
        <v>0</v>
      </c>
      <c r="X111" s="37">
        <f>IFERROR(__xludf.DUMMYFUNCTION("""COMPUTED_VALUE"""),0.0)</f>
        <v>0</v>
      </c>
      <c r="Y111" s="37">
        <f>IFERROR(__xludf.DUMMYFUNCTION("""COMPUTED_VALUE"""),-0.15215174029420697)</f>
        <v>-0.1521517403</v>
      </c>
      <c r="Z111" s="37">
        <f>IFERROR(__xludf.DUMMYFUNCTION("""COMPUTED_VALUE"""),0.0)</f>
        <v>0</v>
      </c>
      <c r="AA111" t="str">
        <f>IFERROR(__xludf.DUMMYFUNCTION("SUBSTITUTE(REGEXREPLACE(REGEXREPLACE(REGEXREPLACE(REGEXREPLACE(REGEXREPLACE(REGEXREPLACE(E111,"","",),IF(Projections!$U$3="""",""PG"",),),IF(Projections!$V$3="""",""SG"",),),IF(Projections!$W$3="""",""SF"",),),IF(Projections!$X$3="""",""PF"",),),IF(Projec"&amp;"tions!$Y$3="""",""C"",),),""/"","""")"),"SG")</f>
        <v>SG</v>
      </c>
    </row>
    <row r="112">
      <c r="A112" s="29" t="str">
        <f>IF(Projections!$H$3,Draft!K14,"")</f>
        <v>Jalen Suggs</v>
      </c>
      <c r="B112">
        <f>IFERROR(__xludf.DUMMYFUNCTION("""COMPUTED_VALUE"""),168.0)</f>
        <v>168</v>
      </c>
      <c r="C112" t="str">
        <f>IFERROR(__xludf.DUMMYFUNCTION("""COMPUTED_VALUE"""),"Tim Hardaway Jr.")</f>
        <v>Tim Hardaway Jr.</v>
      </c>
      <c r="D112">
        <f>IFERROR(__xludf.DUMMYFUNCTION("""COMPUTED_VALUE"""),68.0)</f>
        <v>68</v>
      </c>
      <c r="E112" t="str">
        <f>IFERROR(__xludf.DUMMYFUNCTION("""COMPUTED_VALUE"""),"SG/SF")</f>
        <v>SG/SF</v>
      </c>
      <c r="F112" s="37">
        <f>IFERROR(__xludf.DUMMYFUNCTION("""COMPUTED_VALUE"""),-4.011723958858206)</f>
        <v>-4.011723959</v>
      </c>
      <c r="G112" s="37">
        <f>IFERROR(__xludf.DUMMYFUNCTION("""COMPUTED_VALUE"""),-2.084143781963946)</f>
        <v>-2.084143782</v>
      </c>
      <c r="H112" s="37">
        <f>IFERROR(__xludf.DUMMYFUNCTION("""COMPUTED_VALUE"""),1.92758017689426)</f>
        <v>1.927580177</v>
      </c>
      <c r="I112" s="37">
        <f>IFERROR(__xludf.DUMMYFUNCTION("""COMPUTED_VALUE"""),15.1)</f>
        <v>15.1</v>
      </c>
      <c r="J112" s="37">
        <f>IFERROR(__xludf.DUMMYFUNCTION("""COMPUTED_VALUE"""),2.4)</f>
        <v>2.4</v>
      </c>
      <c r="K112" s="37">
        <f>IFERROR(__xludf.DUMMYFUNCTION("""COMPUTED_VALUE"""),3.7)</f>
        <v>3.7</v>
      </c>
      <c r="L112" s="37">
        <f>IFERROR(__xludf.DUMMYFUNCTION("""COMPUTED_VALUE"""),2.2)</f>
        <v>2.2</v>
      </c>
      <c r="M112" s="37">
        <f>IFERROR(__xludf.DUMMYFUNCTION("""COMPUTED_VALUE"""),0.9)</f>
        <v>0.9</v>
      </c>
      <c r="N112" s="37">
        <f>IFERROR(__xludf.DUMMYFUNCTION("""COMPUTED_VALUE"""),0.1)</f>
        <v>0.1</v>
      </c>
      <c r="O112" s="37">
        <f>IFERROR(__xludf.DUMMYFUNCTION("""COMPUTED_VALUE"""),42.1875)</f>
        <v>42.1875</v>
      </c>
      <c r="P112" s="37">
        <f>IFERROR(__xludf.DUMMYFUNCTION("""COMPUTED_VALUE"""),76.0)</f>
        <v>76</v>
      </c>
      <c r="Q112" s="37">
        <f>IFERROR(__xludf.DUMMYFUNCTION("""COMPUTED_VALUE"""),0.8)</f>
        <v>0.8</v>
      </c>
      <c r="R112" s="37">
        <f>IFERROR(__xludf.DUMMYFUNCTION("""COMPUTED_VALUE"""),-0.4934311902554332)</f>
        <v>-0.4934311903</v>
      </c>
      <c r="S112" s="37">
        <f>IFERROR(__xludf.DUMMYFUNCTION("""COMPUTED_VALUE"""),0.786542227722821)</f>
        <v>0.7865422277</v>
      </c>
      <c r="T112" s="37">
        <f>IFERROR(__xludf.DUMMYFUNCTION("""COMPUTED_VALUE"""),-0.9693061046665661)</f>
        <v>-0.9693061047</v>
      </c>
      <c r="U112" s="37">
        <f>IFERROR(__xludf.DUMMYFUNCTION("""COMPUTED_VALUE"""),-0.8571888629293436)</f>
        <v>-0.8571888629</v>
      </c>
      <c r="V112" s="37">
        <f>IFERROR(__xludf.DUMMYFUNCTION("""COMPUTED_VALUE"""),-0.42526159822414)</f>
        <v>-0.4252615982</v>
      </c>
      <c r="W112" s="37">
        <f>IFERROR(__xludf.DUMMYFUNCTION("""COMPUTED_VALUE"""),0.0)</f>
        <v>0</v>
      </c>
      <c r="X112" s="37">
        <f>IFERROR(__xludf.DUMMYFUNCTION("""COMPUTED_VALUE"""),0.0)</f>
        <v>0</v>
      </c>
      <c r="Y112" s="37">
        <f>IFERROR(__xludf.DUMMYFUNCTION("""COMPUTED_VALUE"""),-0.12549825361128425)</f>
        <v>-0.1254982536</v>
      </c>
      <c r="Z112" s="37">
        <f>IFERROR(__xludf.DUMMYFUNCTION("""COMPUTED_VALUE"""),0.0)</f>
        <v>0</v>
      </c>
      <c r="AA112" t="str">
        <f>IFERROR(__xludf.DUMMYFUNCTION("SUBSTITUTE(REGEXREPLACE(REGEXREPLACE(REGEXREPLACE(REGEXREPLACE(REGEXREPLACE(REGEXREPLACE(E112,"","",),IF(Projections!$U$3="""",""PG"",),),IF(Projections!$V$3="""",""SG"",),),IF(Projections!$W$3="""",""SF"",),),IF(Projections!$X$3="""",""PF"",),),IF(Projec"&amp;"tions!$Y$3="""",""C"",),),""/"","""")"),"SGSF")</f>
        <v>SGSF</v>
      </c>
    </row>
    <row r="113">
      <c r="A113" s="29" t="str">
        <f>IF(Projections!$H$3,Draft!L3,"")</f>
        <v>Luguentz Dort</v>
      </c>
      <c r="B113">
        <f>IFERROR(__xludf.DUMMYFUNCTION("""COMPUTED_VALUE"""),108.0)</f>
        <v>108</v>
      </c>
      <c r="C113" t="str">
        <f>IFERROR(__xludf.DUMMYFUNCTION("""COMPUTED_VALUE"""),"Cody Martin")</f>
        <v>Cody Martin</v>
      </c>
      <c r="D113">
        <f>IFERROR(__xludf.DUMMYFUNCTION("""COMPUTED_VALUE"""),72.0)</f>
        <v>72</v>
      </c>
      <c r="E113" t="str">
        <f>IFERROR(__xludf.DUMMYFUNCTION("""COMPUTED_VALUE"""),"SF")</f>
        <v>SF</v>
      </c>
      <c r="F113" s="37">
        <f>IFERROR(__xludf.DUMMYFUNCTION("""COMPUTED_VALUE"""),-2.022992408641519)</f>
        <v>-2.022992409</v>
      </c>
      <c r="G113" s="37">
        <f>IFERROR(__xludf.DUMMYFUNCTION("""COMPUTED_VALUE"""),-2.1252246978309444)</f>
        <v>-2.125224698</v>
      </c>
      <c r="H113" s="37">
        <f>IFERROR(__xludf.DUMMYFUNCTION("""COMPUTED_VALUE"""),-0.10223228918942517)</f>
        <v>-0.1022322892</v>
      </c>
      <c r="I113" s="37">
        <f>IFERROR(__xludf.DUMMYFUNCTION("""COMPUTED_VALUE"""),10.3)</f>
        <v>10.3</v>
      </c>
      <c r="J113" s="37">
        <f>IFERROR(__xludf.DUMMYFUNCTION("""COMPUTED_VALUE"""),1.1)</f>
        <v>1.1</v>
      </c>
      <c r="K113" s="37">
        <f>IFERROR(__xludf.DUMMYFUNCTION("""COMPUTED_VALUE"""),4.8)</f>
        <v>4.8</v>
      </c>
      <c r="L113" s="37">
        <f>IFERROR(__xludf.DUMMYFUNCTION("""COMPUTED_VALUE"""),2.9)</f>
        <v>2.9</v>
      </c>
      <c r="M113" s="37">
        <f>IFERROR(__xludf.DUMMYFUNCTION("""COMPUTED_VALUE"""),1.3)</f>
        <v>1.3</v>
      </c>
      <c r="N113" s="37">
        <f>IFERROR(__xludf.DUMMYFUNCTION("""COMPUTED_VALUE"""),0.6)</f>
        <v>0.6</v>
      </c>
      <c r="O113" s="37">
        <f>IFERROR(__xludf.DUMMYFUNCTION("""COMPUTED_VALUE"""),48.192771084337345)</f>
        <v>48.19277108</v>
      </c>
      <c r="P113" s="37">
        <f>IFERROR(__xludf.DUMMYFUNCTION("""COMPUTED_VALUE"""),76.47058823529413)</f>
        <v>76.47058824</v>
      </c>
      <c r="Q113" s="37">
        <f>IFERROR(__xludf.DUMMYFUNCTION("""COMPUTED_VALUE"""),1.1)</f>
        <v>1.1</v>
      </c>
      <c r="R113" s="37">
        <f>IFERROR(__xludf.DUMMYFUNCTION("""COMPUTED_VALUE"""),-1.771598474828728)</f>
        <v>-1.771598475</v>
      </c>
      <c r="S113" s="37">
        <f>IFERROR(__xludf.DUMMYFUNCTION("""COMPUTED_VALUE"""),-0.5134000035904084)</f>
        <v>-0.5134000036</v>
      </c>
      <c r="T113" s="37">
        <f>IFERROR(__xludf.DUMMYFUNCTION("""COMPUTED_VALUE"""),-0.5202691613232922)</f>
        <v>-0.5202691613</v>
      </c>
      <c r="U113" s="37">
        <f>IFERROR(__xludf.DUMMYFUNCTION("""COMPUTED_VALUE"""),-0.4577036153711197)</f>
        <v>-0.4577036154</v>
      </c>
      <c r="V113" s="37">
        <f>IFERROR(__xludf.DUMMYFUNCTION("""COMPUTED_VALUE"""),1.209937837528042)</f>
        <v>1.209937838</v>
      </c>
      <c r="W113" s="37">
        <f>IFERROR(__xludf.DUMMYFUNCTION("""COMPUTED_VALUE"""),0.0)</f>
        <v>0</v>
      </c>
      <c r="X113" s="37">
        <f>IFERROR(__xludf.DUMMYFUNCTION("""COMPUTED_VALUE"""),0.0)</f>
        <v>0</v>
      </c>
      <c r="Y113" s="37">
        <f>IFERROR(__xludf.DUMMYFUNCTION("""COMPUTED_VALUE"""),-0.07219128024543806)</f>
        <v>-0.07219128025</v>
      </c>
      <c r="Z113" s="37">
        <f>IFERROR(__xludf.DUMMYFUNCTION("""COMPUTED_VALUE"""),0.0)</f>
        <v>0</v>
      </c>
      <c r="AA113" t="str">
        <f>IFERROR(__xludf.DUMMYFUNCTION("SUBSTITUTE(REGEXREPLACE(REGEXREPLACE(REGEXREPLACE(REGEXREPLACE(REGEXREPLACE(REGEXREPLACE(E113,"","",),IF(Projections!$U$3="""",""PG"",),),IF(Projections!$V$3="""",""SG"",),),IF(Projections!$W$3="""",""SF"",),),IF(Projections!$X$3="""",""PF"",),),IF(Projec"&amp;"tions!$Y$3="""",""C"",),),""/"","""")"),"SF")</f>
        <v>SF</v>
      </c>
    </row>
    <row r="114">
      <c r="A114" s="29" t="str">
        <f>IF(Projections!$H$3,Draft!L4,"")</f>
        <v/>
      </c>
      <c r="B114">
        <f>IFERROR(__xludf.DUMMYFUNCTION("""COMPUTED_VALUE"""),146.0)</f>
        <v>146</v>
      </c>
      <c r="C114" t="str">
        <f>IFERROR(__xludf.DUMMYFUNCTION("""COMPUTED_VALUE"""),"Cole Anthony")</f>
        <v>Cole Anthony</v>
      </c>
      <c r="D114">
        <f>IFERROR(__xludf.DUMMYFUNCTION("""COMPUTED_VALUE"""),68.0)</f>
        <v>68</v>
      </c>
      <c r="E114" t="str">
        <f>IFERROR(__xludf.DUMMYFUNCTION("""COMPUTED_VALUE"""),"PG")</f>
        <v>PG</v>
      </c>
      <c r="F114" s="37">
        <f>IFERROR(__xludf.DUMMYFUNCTION("""COMPUTED_VALUE"""),-3.362649682188478)</f>
        <v>-3.362649682</v>
      </c>
      <c r="G114" s="37">
        <f>IFERROR(__xludf.DUMMYFUNCTION("""COMPUTED_VALUE"""),-2.128011232235714)</f>
        <v>-2.128011232</v>
      </c>
      <c r="H114" s="37">
        <f>IFERROR(__xludf.DUMMYFUNCTION("""COMPUTED_VALUE"""),1.2346384499527638)</f>
        <v>1.23463845</v>
      </c>
      <c r="I114" s="37">
        <f>IFERROR(__xludf.DUMMYFUNCTION("""COMPUTED_VALUE"""),14.8)</f>
        <v>14.8</v>
      </c>
      <c r="J114" s="37">
        <f>IFERROR(__xludf.DUMMYFUNCTION("""COMPUTED_VALUE"""),1.8)</f>
        <v>1.8</v>
      </c>
      <c r="K114" s="37">
        <f>IFERROR(__xludf.DUMMYFUNCTION("""COMPUTED_VALUE"""),4.5)</f>
        <v>4.5</v>
      </c>
      <c r="L114" s="37">
        <f>IFERROR(__xludf.DUMMYFUNCTION("""COMPUTED_VALUE"""),4.0)</f>
        <v>4</v>
      </c>
      <c r="M114" s="37">
        <f>IFERROR(__xludf.DUMMYFUNCTION("""COMPUTED_VALUE"""),0.6)</f>
        <v>0.6</v>
      </c>
      <c r="N114" s="37">
        <f>IFERROR(__xludf.DUMMYFUNCTION("""COMPUTED_VALUE"""),0.3)</f>
        <v>0.3</v>
      </c>
      <c r="O114" s="37">
        <f>IFERROR(__xludf.DUMMYFUNCTION("""COMPUTED_VALUE"""),40.0)</f>
        <v>40</v>
      </c>
      <c r="P114" s="37">
        <f>IFERROR(__xludf.DUMMYFUNCTION("""COMPUTED_VALUE"""),85.71428571428571)</f>
        <v>85.71428571</v>
      </c>
      <c r="Q114" s="37">
        <f>IFERROR(__xludf.DUMMYFUNCTION("""COMPUTED_VALUE"""),2.4)</f>
        <v>2.4</v>
      </c>
      <c r="R114" s="37">
        <f>IFERROR(__xludf.DUMMYFUNCTION("""COMPUTED_VALUE"""),-0.5733166455412638)</f>
        <v>-0.5733166455</v>
      </c>
      <c r="S114" s="37">
        <f>IFERROR(__xludf.DUMMYFUNCTION("""COMPUTED_VALUE"""),0.18656889019363826)</f>
        <v>0.1865688902</v>
      </c>
      <c r="T114" s="37">
        <f>IFERROR(__xludf.DUMMYFUNCTION("""COMPUTED_VALUE"""),-0.6427337822350941)</f>
        <v>-0.6427337822</v>
      </c>
      <c r="U114" s="37">
        <f>IFERROR(__xludf.DUMMYFUNCTION("""COMPUTED_VALUE"""),0.17005891650608962)</f>
        <v>0.1700589165</v>
      </c>
      <c r="V114" s="37">
        <f>IFERROR(__xludf.DUMMYFUNCTION("""COMPUTED_VALUE"""),-1.6516611750382768)</f>
        <v>-1.651661175</v>
      </c>
      <c r="W114" s="37">
        <f>IFERROR(__xludf.DUMMYFUNCTION("""COMPUTED_VALUE"""),0.0)</f>
        <v>0</v>
      </c>
      <c r="X114" s="37">
        <f>IFERROR(__xludf.DUMMYFUNCTION("""COMPUTED_VALUE"""),0.0)</f>
        <v>0</v>
      </c>
      <c r="Y114" s="37">
        <f>IFERROR(__xludf.DUMMYFUNCTION("""COMPUTED_VALUE"""),0.3830725638791932)</f>
        <v>0.3830725639</v>
      </c>
      <c r="Z114" s="37">
        <f>IFERROR(__xludf.DUMMYFUNCTION("""COMPUTED_VALUE"""),0.0)</f>
        <v>0</v>
      </c>
      <c r="AA114" t="str">
        <f>IFERROR(__xludf.DUMMYFUNCTION("SUBSTITUTE(REGEXREPLACE(REGEXREPLACE(REGEXREPLACE(REGEXREPLACE(REGEXREPLACE(REGEXREPLACE(E114,"","",),IF(Projections!$U$3="""",""PG"",),),IF(Projections!$V$3="""",""SG"",),),IF(Projections!$W$3="""",""SF"",),),IF(Projections!$X$3="""",""PF"",),),IF(Projec"&amp;"tions!$Y$3="""",""C"",),),""/"","""")"),"PG")</f>
        <v>PG</v>
      </c>
    </row>
    <row r="115">
      <c r="A115" s="29" t="str">
        <f>IF(Projections!$H$3,Draft!L5,"")</f>
        <v>Robert Williams</v>
      </c>
      <c r="B115">
        <f>IFERROR(__xludf.DUMMYFUNCTION("""COMPUTED_VALUE"""),95.0)</f>
        <v>95</v>
      </c>
      <c r="C115" t="str">
        <f>IFERROR(__xludf.DUMMYFUNCTION("""COMPUTED_VALUE"""),"Jabari Smith Jr")</f>
        <v>Jabari Smith Jr</v>
      </c>
      <c r="D115">
        <f>IFERROR(__xludf.DUMMYFUNCTION("""COMPUTED_VALUE"""),73.0)</f>
        <v>73</v>
      </c>
      <c r="E115" t="str">
        <f>IFERROR(__xludf.DUMMYFUNCTION("""COMPUTED_VALUE"""),"PF")</f>
        <v>PF</v>
      </c>
      <c r="F115" s="37">
        <f>IFERROR(__xludf.DUMMYFUNCTION("""COMPUTED_VALUE"""),-1.7863619275191638)</f>
        <v>-1.786361928</v>
      </c>
      <c r="G115" s="37">
        <f>IFERROR(__xludf.DUMMYFUNCTION("""COMPUTED_VALUE"""),-2.2080289916126423)</f>
        <v>-2.208028992</v>
      </c>
      <c r="H115" s="37">
        <f>IFERROR(__xludf.DUMMYFUNCTION("""COMPUTED_VALUE"""),-0.42166706409347854)</f>
        <v>-0.4216670641</v>
      </c>
      <c r="I115" s="37">
        <f>IFERROR(__xludf.DUMMYFUNCTION("""COMPUTED_VALUE"""),16.5)</f>
        <v>16.5</v>
      </c>
      <c r="J115" s="37">
        <f>IFERROR(__xludf.DUMMYFUNCTION("""COMPUTED_VALUE"""),1.3)</f>
        <v>1.3</v>
      </c>
      <c r="K115" s="37">
        <f>IFERROR(__xludf.DUMMYFUNCTION("""COMPUTED_VALUE"""),7.4)</f>
        <v>7.4</v>
      </c>
      <c r="L115" s="37">
        <f>IFERROR(__xludf.DUMMYFUNCTION("""COMPUTED_VALUE"""),1.5)</f>
        <v>1.5</v>
      </c>
      <c r="M115" s="37">
        <f>IFERROR(__xludf.DUMMYFUNCTION("""COMPUTED_VALUE"""),0.8)</f>
        <v>0.8</v>
      </c>
      <c r="N115" s="37">
        <f>IFERROR(__xludf.DUMMYFUNCTION("""COMPUTED_VALUE"""),1.1)</f>
        <v>1.1</v>
      </c>
      <c r="O115" s="37">
        <f>IFERROR(__xludf.DUMMYFUNCTION("""COMPUTED_VALUE"""),44.61538461538461)</f>
        <v>44.61538462</v>
      </c>
      <c r="P115" s="37">
        <f>IFERROR(__xludf.DUMMYFUNCTION("""COMPUTED_VALUE"""),76.08695652173914)</f>
        <v>76.08695652</v>
      </c>
      <c r="Q115" s="37">
        <f>IFERROR(__xludf.DUMMYFUNCTION("""COMPUTED_VALUE"""),1.9)</f>
        <v>1.9</v>
      </c>
      <c r="R115" s="37">
        <f>IFERROR(__xludf.DUMMYFUNCTION("""COMPUTED_VALUE"""),-0.12063239892155542)</f>
        <v>-0.1206323989</v>
      </c>
      <c r="S115" s="37">
        <f>IFERROR(__xludf.DUMMYFUNCTION("""COMPUTED_VALUE"""),-0.31340889108068076)</f>
        <v>-0.3134088911</v>
      </c>
      <c r="T115" s="37">
        <f>IFERROR(__xludf.DUMMYFUNCTION("""COMPUTED_VALUE"""),0.5410908865789921)</f>
        <v>0.5410908866</v>
      </c>
      <c r="U115" s="37">
        <f>IFERROR(__xludf.DUMMYFUNCTION("""COMPUTED_VALUE"""),-1.2566741104875678)</f>
        <v>-1.25667411</v>
      </c>
      <c r="V115" s="37">
        <f>IFERROR(__xludf.DUMMYFUNCTION("""COMPUTED_VALUE"""),-0.8340614571621854)</f>
        <v>-0.8340614572</v>
      </c>
      <c r="W115" s="37">
        <f>IFERROR(__xludf.DUMMYFUNCTION("""COMPUTED_VALUE"""),0.0)</f>
        <v>0</v>
      </c>
      <c r="X115" s="37">
        <f>IFERROR(__xludf.DUMMYFUNCTION("""COMPUTED_VALUE"""),0.0)</f>
        <v>0</v>
      </c>
      <c r="Y115" s="37">
        <f>IFERROR(__xludf.DUMMYFUNCTION("""COMPUTED_VALUE"""),-0.22434302053964514)</f>
        <v>-0.2243430205</v>
      </c>
      <c r="Z115" s="37">
        <f>IFERROR(__xludf.DUMMYFUNCTION("""COMPUTED_VALUE"""),0.0)</f>
        <v>0</v>
      </c>
      <c r="AA115" t="str">
        <f>IFERROR(__xludf.DUMMYFUNCTION("SUBSTITUTE(REGEXREPLACE(REGEXREPLACE(REGEXREPLACE(REGEXREPLACE(REGEXREPLACE(REGEXREPLACE(E115,"","",),IF(Projections!$U$3="""",""PG"",),),IF(Projections!$V$3="""",""SG"",),),IF(Projections!$W$3="""",""SF"",),),IF(Projections!$X$3="""",""PF"",),),IF(Projec"&amp;"tions!$Y$3="""",""C"",),),""/"","""")"),"PF")</f>
        <v>PF</v>
      </c>
    </row>
    <row r="116">
      <c r="A116" s="29" t="str">
        <f>IF(Projections!$H$3,Draft!L6,"")</f>
        <v>Spencer Dinwiddie</v>
      </c>
      <c r="B116">
        <f>IFERROR(__xludf.DUMMYFUNCTION("""COMPUTED_VALUE"""),143.0)</f>
        <v>143</v>
      </c>
      <c r="C116" t="str">
        <f>IFERROR(__xludf.DUMMYFUNCTION("""COMPUTED_VALUE"""),"Reggie Jackson")</f>
        <v>Reggie Jackson</v>
      </c>
      <c r="D116">
        <f>IFERROR(__xludf.DUMMYFUNCTION("""COMPUTED_VALUE"""),70.0)</f>
        <v>70</v>
      </c>
      <c r="E116" t="str">
        <f>IFERROR(__xludf.DUMMYFUNCTION("""COMPUTED_VALUE"""),"PG")</f>
        <v>PG</v>
      </c>
      <c r="F116" s="37">
        <f>IFERROR(__xludf.DUMMYFUNCTION("""COMPUTED_VALUE"""),-3.297195379736017)</f>
        <v>-3.29719538</v>
      </c>
      <c r="G116" s="37">
        <f>IFERROR(__xludf.DUMMYFUNCTION("""COMPUTED_VALUE"""),-2.217482100520478)</f>
        <v>-2.217482101</v>
      </c>
      <c r="H116" s="37">
        <f>IFERROR(__xludf.DUMMYFUNCTION("""COMPUTED_VALUE"""),1.079713279215539)</f>
        <v>1.079713279</v>
      </c>
      <c r="I116" s="37">
        <f>IFERROR(__xludf.DUMMYFUNCTION("""COMPUTED_VALUE"""),15.4)</f>
        <v>15.4</v>
      </c>
      <c r="J116" s="37">
        <f>IFERROR(__xludf.DUMMYFUNCTION("""COMPUTED_VALUE"""),2.0)</f>
        <v>2</v>
      </c>
      <c r="K116" s="37">
        <f>IFERROR(__xludf.DUMMYFUNCTION("""COMPUTED_VALUE"""),3.3)</f>
        <v>3.3</v>
      </c>
      <c r="L116" s="37">
        <f>IFERROR(__xludf.DUMMYFUNCTION("""COMPUTED_VALUE"""),4.4)</f>
        <v>4.4</v>
      </c>
      <c r="M116" s="37">
        <f>IFERROR(__xludf.DUMMYFUNCTION("""COMPUTED_VALUE"""),0.6)</f>
        <v>0.6</v>
      </c>
      <c r="N116" s="37">
        <f>IFERROR(__xludf.DUMMYFUNCTION("""COMPUTED_VALUE"""),0.2)</f>
        <v>0.2</v>
      </c>
      <c r="O116" s="37">
        <f>IFERROR(__xludf.DUMMYFUNCTION("""COMPUTED_VALUE"""),44.6969696969697)</f>
        <v>44.6969697</v>
      </c>
      <c r="P116" s="37">
        <f>IFERROR(__xludf.DUMMYFUNCTION("""COMPUTED_VALUE"""),85.0)</f>
        <v>85</v>
      </c>
      <c r="Q116" s="37">
        <f>IFERROR(__xludf.DUMMYFUNCTION("""COMPUTED_VALUE"""),2.1)</f>
        <v>2.1</v>
      </c>
      <c r="R116" s="37">
        <f>IFERROR(__xludf.DUMMYFUNCTION("""COMPUTED_VALUE"""),-0.41354573496960206)</f>
        <v>-0.413545735</v>
      </c>
      <c r="S116" s="37">
        <f>IFERROR(__xludf.DUMMYFUNCTION("""COMPUTED_VALUE"""),0.3865600027033658)</f>
        <v>0.3865600027</v>
      </c>
      <c r="T116" s="37">
        <f>IFERROR(__xludf.DUMMYFUNCTION("""COMPUTED_VALUE"""),-1.1325922658823022)</f>
        <v>-1.132592266</v>
      </c>
      <c r="U116" s="37">
        <f>IFERROR(__xludf.DUMMYFUNCTION("""COMPUTED_VALUE"""),0.39833620082507504)</f>
        <v>0.3983362008</v>
      </c>
      <c r="V116" s="37">
        <f>IFERROR(__xludf.DUMMYFUNCTION("""COMPUTED_VALUE"""),-1.6516611750382768)</f>
        <v>-1.651661175</v>
      </c>
      <c r="W116" s="37">
        <f>IFERROR(__xludf.DUMMYFUNCTION("""COMPUTED_VALUE"""),0.0)</f>
        <v>0</v>
      </c>
      <c r="X116" s="37">
        <f>IFERROR(__xludf.DUMMYFUNCTION("""COMPUTED_VALUE"""),0.0)</f>
        <v>0</v>
      </c>
      <c r="Y116" s="37">
        <f>IFERROR(__xludf.DUMMYFUNCTION("""COMPUTED_VALUE"""),0.1954208718412621)</f>
        <v>0.1954208718</v>
      </c>
      <c r="Z116" s="37">
        <f>IFERROR(__xludf.DUMMYFUNCTION("""COMPUTED_VALUE"""),0.0)</f>
        <v>0</v>
      </c>
      <c r="AA116" t="str">
        <f>IFERROR(__xludf.DUMMYFUNCTION("SUBSTITUTE(REGEXREPLACE(REGEXREPLACE(REGEXREPLACE(REGEXREPLACE(REGEXREPLACE(REGEXREPLACE(E116,"","",),IF(Projections!$U$3="""",""PG"",),),IF(Projections!$V$3="""",""SG"",),),IF(Projections!$W$3="""",""SF"",),),IF(Projections!$X$3="""",""PF"",),),IF(Projec"&amp;"tions!$Y$3="""",""C"",),),""/"","""")"),"PG")</f>
        <v>PG</v>
      </c>
    </row>
    <row r="117">
      <c r="A117" s="29" t="str">
        <f>IF(Projections!$H$3,Draft!L7,"")</f>
        <v>Josh Hart</v>
      </c>
      <c r="B117">
        <f>IFERROR(__xludf.DUMMYFUNCTION("""COMPUTED_VALUE"""),130.0)</f>
        <v>130</v>
      </c>
      <c r="C117" t="str">
        <f>IFERROR(__xludf.DUMMYFUNCTION("""COMPUTED_VALUE"""),"Alex Caruso")</f>
        <v>Alex Caruso</v>
      </c>
      <c r="D117">
        <f>IFERROR(__xludf.DUMMYFUNCTION("""COMPUTED_VALUE"""),73.0)</f>
        <v>73</v>
      </c>
      <c r="E117" t="str">
        <f>IFERROR(__xludf.DUMMYFUNCTION("""COMPUTED_VALUE"""),"PG/SG")</f>
        <v>PG/SG</v>
      </c>
      <c r="F117" s="37">
        <f>IFERROR(__xludf.DUMMYFUNCTION("""COMPUTED_VALUE"""),-2.935957124236528)</f>
        <v>-2.935957124</v>
      </c>
      <c r="G117" s="37">
        <f>IFERROR(__xludf.DUMMYFUNCTION("""COMPUTED_VALUE"""),-2.2377242785101097)</f>
        <v>-2.237724279</v>
      </c>
      <c r="H117" s="37">
        <f>IFERROR(__xludf.DUMMYFUNCTION("""COMPUTED_VALUE"""),0.6982328457264182)</f>
        <v>0.6982328457</v>
      </c>
      <c r="I117" s="37">
        <f>IFERROR(__xludf.DUMMYFUNCTION("""COMPUTED_VALUE"""),7.4)</f>
        <v>7.4</v>
      </c>
      <c r="J117" s="37">
        <f>IFERROR(__xludf.DUMMYFUNCTION("""COMPUTED_VALUE"""),1.0)</f>
        <v>1</v>
      </c>
      <c r="K117" s="37">
        <f>IFERROR(__xludf.DUMMYFUNCTION("""COMPUTED_VALUE"""),3.4)</f>
        <v>3.4</v>
      </c>
      <c r="L117" s="37">
        <f>IFERROR(__xludf.DUMMYFUNCTION("""COMPUTED_VALUE"""),3.8)</f>
        <v>3.8</v>
      </c>
      <c r="M117" s="37">
        <f>IFERROR(__xludf.DUMMYFUNCTION("""COMPUTED_VALUE"""),1.5)</f>
        <v>1.5</v>
      </c>
      <c r="N117" s="37">
        <f>IFERROR(__xludf.DUMMYFUNCTION("""COMPUTED_VALUE"""),0.4)</f>
        <v>0.4</v>
      </c>
      <c r="O117" s="37">
        <f>IFERROR(__xludf.DUMMYFUNCTION("""COMPUTED_VALUE"""),42.3728813559322)</f>
        <v>42.37288136</v>
      </c>
      <c r="P117" s="37">
        <f>IFERROR(__xludf.DUMMYFUNCTION("""COMPUTED_VALUE"""),76.47058823529413)</f>
        <v>76.47058824</v>
      </c>
      <c r="Q117" s="37">
        <f>IFERROR(__xludf.DUMMYFUNCTION("""COMPUTED_VALUE"""),1.3)</f>
        <v>1.3</v>
      </c>
      <c r="R117" s="37">
        <f>IFERROR(__xludf.DUMMYFUNCTION("""COMPUTED_VALUE"""),-2.5438245425917607)</f>
        <v>-2.543824543</v>
      </c>
      <c r="S117" s="37">
        <f>IFERROR(__xludf.DUMMYFUNCTION("""COMPUTED_VALUE"""),-0.6133955598452723)</f>
        <v>-0.6133955598</v>
      </c>
      <c r="T117" s="37">
        <f>IFERROR(__xludf.DUMMYFUNCTION("""COMPUTED_VALUE"""),-1.0917707255783682)</f>
        <v>-1.091770726</v>
      </c>
      <c r="U117" s="37">
        <f>IFERROR(__xludf.DUMMYFUNCTION("""COMPUTED_VALUE"""),0.055920274346596924)</f>
        <v>0.05592027435</v>
      </c>
      <c r="V117" s="37">
        <f>IFERROR(__xludf.DUMMYFUNCTION("""COMPUTED_VALUE"""),2.027537555404133)</f>
        <v>2.027537555</v>
      </c>
      <c r="W117" s="37">
        <f>IFERROR(__xludf.DUMMYFUNCTION("""COMPUTED_VALUE"""),0.0)</f>
        <v>0</v>
      </c>
      <c r="X117" s="37">
        <f>IFERROR(__xludf.DUMMYFUNCTION("""COMPUTED_VALUE"""),0.0)</f>
        <v>0</v>
      </c>
      <c r="Y117" s="37">
        <f>IFERROR(__xludf.DUMMYFUNCTION("""COMPUTED_VALUE"""),-0.07219128024543806)</f>
        <v>-0.07219128025</v>
      </c>
      <c r="Z117" s="37">
        <f>IFERROR(__xludf.DUMMYFUNCTION("""COMPUTED_VALUE"""),0.0)</f>
        <v>0</v>
      </c>
      <c r="AA117" t="str">
        <f>IFERROR(__xludf.DUMMYFUNCTION("SUBSTITUTE(REGEXREPLACE(REGEXREPLACE(REGEXREPLACE(REGEXREPLACE(REGEXREPLACE(REGEXREPLACE(E117,"","",),IF(Projections!$U$3="""",""PG"",),),IF(Projections!$V$3="""",""SG"",),),IF(Projections!$W$3="""",""SF"",),),IF(Projections!$X$3="""",""PF"",),),IF(Projec"&amp;"tions!$Y$3="""",""C"",),),""/"","""")"),"PGSG")</f>
        <v>PGSG</v>
      </c>
    </row>
    <row r="118">
      <c r="A118" s="29" t="str">
        <f>IF(Projections!$H$3,Draft!L8,"")</f>
        <v>Kelly Olynyk</v>
      </c>
      <c r="B118">
        <f>IFERROR(__xludf.DUMMYFUNCTION("""COMPUTED_VALUE"""),50.0)</f>
        <v>50</v>
      </c>
      <c r="C118" t="str">
        <f>IFERROR(__xludf.DUMMYFUNCTION("""COMPUTED_VALUE"""),"Evan Mobley")</f>
        <v>Evan Mobley</v>
      </c>
      <c r="D118">
        <f>IFERROR(__xludf.DUMMYFUNCTION("""COMPUTED_VALUE"""),65.0)</f>
        <v>65</v>
      </c>
      <c r="E118" t="str">
        <f>IFERROR(__xludf.DUMMYFUNCTION("""COMPUTED_VALUE"""),"PF/C")</f>
        <v>PF/C</v>
      </c>
      <c r="F118" s="37">
        <f>IFERROR(__xludf.DUMMYFUNCTION("""COMPUTED_VALUE"""),0.20412199711372403)</f>
        <v>0.2041219971</v>
      </c>
      <c r="G118" s="37">
        <f>IFERROR(__xludf.DUMMYFUNCTION("""COMPUTED_VALUE"""),-2.2693938286127207)</f>
        <v>-2.269393829</v>
      </c>
      <c r="H118" s="37">
        <f>IFERROR(__xludf.DUMMYFUNCTION("""COMPUTED_VALUE"""),-2.4735158257264445)</f>
        <v>-2.473515826</v>
      </c>
      <c r="I118" s="37">
        <f>IFERROR(__xludf.DUMMYFUNCTION("""COMPUTED_VALUE"""),16.3)</f>
        <v>16.3</v>
      </c>
      <c r="J118" s="37">
        <f>IFERROR(__xludf.DUMMYFUNCTION("""COMPUTED_VALUE"""),0.4)</f>
        <v>0.4</v>
      </c>
      <c r="K118" s="37">
        <f>IFERROR(__xludf.DUMMYFUNCTION("""COMPUTED_VALUE"""),8.9)</f>
        <v>8.9</v>
      </c>
      <c r="L118" s="37">
        <f>IFERROR(__xludf.DUMMYFUNCTION("""COMPUTED_VALUE"""),2.7)</f>
        <v>2.7</v>
      </c>
      <c r="M118" s="37">
        <f>IFERROR(__xludf.DUMMYFUNCTION("""COMPUTED_VALUE"""),0.8)</f>
        <v>0.8</v>
      </c>
      <c r="N118" s="37">
        <f>IFERROR(__xludf.DUMMYFUNCTION("""COMPUTED_VALUE"""),1.9)</f>
        <v>1.9</v>
      </c>
      <c r="O118" s="37">
        <f>IFERROR(__xludf.DUMMYFUNCTION("""COMPUTED_VALUE"""),50.76923076923077)</f>
        <v>50.76923077</v>
      </c>
      <c r="P118" s="37">
        <f>IFERROR(__xludf.DUMMYFUNCTION("""COMPUTED_VALUE"""),69.23076923076924)</f>
        <v>69.23076923</v>
      </c>
      <c r="Q118" s="37">
        <f>IFERROR(__xludf.DUMMYFUNCTION("""COMPUTED_VALUE"""),2.0)</f>
        <v>2</v>
      </c>
      <c r="R118" s="37">
        <f>IFERROR(__xludf.DUMMYFUNCTION("""COMPUTED_VALUE"""),-0.17388936911210917)</f>
        <v>-0.1738893691</v>
      </c>
      <c r="S118" s="37">
        <f>IFERROR(__xludf.DUMMYFUNCTION("""COMPUTED_VALUE"""),-1.2133688973744552)</f>
        <v>-1.213368897</v>
      </c>
      <c r="T118" s="37">
        <f>IFERROR(__xludf.DUMMYFUNCTION("""COMPUTED_VALUE"""),1.1534139911380021)</f>
        <v>1.153413991</v>
      </c>
      <c r="U118" s="37">
        <f>IFERROR(__xludf.DUMMYFUNCTION("""COMPUTED_VALUE"""),-0.5718422575306121)</f>
        <v>-0.5718422575</v>
      </c>
      <c r="V118" s="37">
        <f>IFERROR(__xludf.DUMMYFUNCTION("""COMPUTED_VALUE"""),-0.8340614571621854)</f>
        <v>-0.8340614572</v>
      </c>
      <c r="W118" s="37">
        <f>IFERROR(__xludf.DUMMYFUNCTION("""COMPUTED_VALUE"""),0.0)</f>
        <v>0</v>
      </c>
      <c r="X118" s="37">
        <f>IFERROR(__xludf.DUMMYFUNCTION("""COMPUTED_VALUE"""),0.0)</f>
        <v>0</v>
      </c>
      <c r="Y118" s="37">
        <f>IFERROR(__xludf.DUMMYFUNCTION("""COMPUTED_VALUE"""),-0.629645838571361)</f>
        <v>-0.6296458386</v>
      </c>
      <c r="Z118" s="37">
        <f>IFERROR(__xludf.DUMMYFUNCTION("""COMPUTED_VALUE"""),0.0)</f>
        <v>0</v>
      </c>
      <c r="AA118" t="str">
        <f>IFERROR(__xludf.DUMMYFUNCTION("SUBSTITUTE(REGEXREPLACE(REGEXREPLACE(REGEXREPLACE(REGEXREPLACE(REGEXREPLACE(REGEXREPLACE(E118,"","",),IF(Projections!$U$3="""",""PG"",),),IF(Projections!$V$3="""",""SG"",),),IF(Projections!$W$3="""",""SF"",),),IF(Projections!$X$3="""",""PF"",),),IF(Projec"&amp;"tions!$Y$3="""",""C"",),),""/"","""")"),"PFC")</f>
        <v>PFC</v>
      </c>
    </row>
    <row r="119">
      <c r="A119" s="29" t="str">
        <f>IF(Projections!$H$3,Draft!L9,"")</f>
        <v>Monte Morris</v>
      </c>
      <c r="B119">
        <f>IFERROR(__xludf.DUMMYFUNCTION("""COMPUTED_VALUE"""),144.0)</f>
        <v>144</v>
      </c>
      <c r="C119" t="str">
        <f>IFERROR(__xludf.DUMMYFUNCTION("""COMPUTED_VALUE"""),"Markelle Fultz")</f>
        <v>Markelle Fultz</v>
      </c>
      <c r="D119">
        <f>IFERROR(__xludf.DUMMYFUNCTION("""COMPUTED_VALUE"""),70.0)</f>
        <v>70</v>
      </c>
      <c r="E119" t="str">
        <f>IFERROR(__xludf.DUMMYFUNCTION("""COMPUTED_VALUE"""),"PG")</f>
        <v>PG</v>
      </c>
      <c r="F119" s="37">
        <f>IFERROR(__xludf.DUMMYFUNCTION("""COMPUTED_VALUE"""),-3.34006197721706)</f>
        <v>-3.340061977</v>
      </c>
      <c r="G119" s="37">
        <f>IFERROR(__xludf.DUMMYFUNCTION("""COMPUTED_VALUE"""),-2.326445725003944)</f>
        <v>-2.326445725</v>
      </c>
      <c r="H119" s="37">
        <f>IFERROR(__xludf.DUMMYFUNCTION("""COMPUTED_VALUE"""),1.013616252213116)</f>
        <v>1.013616252</v>
      </c>
      <c r="I119" s="37">
        <f>IFERROR(__xludf.DUMMYFUNCTION("""COMPUTED_VALUE"""),14.0)</f>
        <v>14</v>
      </c>
      <c r="J119" s="37">
        <f>IFERROR(__xludf.DUMMYFUNCTION("""COMPUTED_VALUE"""),0.3)</f>
        <v>0.3</v>
      </c>
      <c r="K119" s="37">
        <f>IFERROR(__xludf.DUMMYFUNCTION("""COMPUTED_VALUE"""),3.5)</f>
        <v>3.5</v>
      </c>
      <c r="L119" s="37">
        <f>IFERROR(__xludf.DUMMYFUNCTION("""COMPUTED_VALUE"""),5.0)</f>
        <v>5</v>
      </c>
      <c r="M119" s="37">
        <f>IFERROR(__xludf.DUMMYFUNCTION("""COMPUTED_VALUE"""),1.0)</f>
        <v>1</v>
      </c>
      <c r="N119" s="37">
        <f>IFERROR(__xludf.DUMMYFUNCTION("""COMPUTED_VALUE"""),0.3)</f>
        <v>0.3</v>
      </c>
      <c r="O119" s="37">
        <f>IFERROR(__xludf.DUMMYFUNCTION("""COMPUTED_VALUE"""),46.09375)</f>
        <v>46.09375</v>
      </c>
      <c r="P119" s="37">
        <f>IFERROR(__xludf.DUMMYFUNCTION("""COMPUTED_VALUE"""),81.81818181818181)</f>
        <v>81.81818182</v>
      </c>
      <c r="Q119" s="37">
        <f>IFERROR(__xludf.DUMMYFUNCTION("""COMPUTED_VALUE"""),2.5)</f>
        <v>2.5</v>
      </c>
      <c r="R119" s="37">
        <f>IFERROR(__xludf.DUMMYFUNCTION("""COMPUTED_VALUE"""),-0.78634452630348)</f>
        <v>-0.7863445263</v>
      </c>
      <c r="S119" s="37">
        <f>IFERROR(__xludf.DUMMYFUNCTION("""COMPUTED_VALUE"""),-1.313364453629319)</f>
        <v>-1.313364454</v>
      </c>
      <c r="T119" s="37">
        <f>IFERROR(__xludf.DUMMYFUNCTION("""COMPUTED_VALUE"""),-1.0509491852744342)</f>
        <v>-1.050949185</v>
      </c>
      <c r="U119" s="37">
        <f>IFERROR(__xludf.DUMMYFUNCTION("""COMPUTED_VALUE"""),0.7407521273035524)</f>
        <v>0.7407521273</v>
      </c>
      <c r="V119" s="37">
        <f>IFERROR(__xludf.DUMMYFUNCTION("""COMPUTED_VALUE"""),-0.01646173928609459)</f>
        <v>-0.01646173929</v>
      </c>
      <c r="W119" s="37">
        <f>IFERROR(__xludf.DUMMYFUNCTION("""COMPUTED_VALUE"""),0.0)</f>
        <v>0</v>
      </c>
      <c r="X119" s="37">
        <f>IFERROR(__xludf.DUMMYFUNCTION("""COMPUTED_VALUE"""),0.0)</f>
        <v>0</v>
      </c>
      <c r="Y119" s="37">
        <f>IFERROR(__xludf.DUMMYFUNCTION("""COMPUTED_VALUE"""),0.09992205218583113)</f>
        <v>0.09992205219</v>
      </c>
      <c r="Z119" s="37">
        <f>IFERROR(__xludf.DUMMYFUNCTION("""COMPUTED_VALUE"""),0.0)</f>
        <v>0</v>
      </c>
      <c r="AA119" t="str">
        <f>IFERROR(__xludf.DUMMYFUNCTION("SUBSTITUTE(REGEXREPLACE(REGEXREPLACE(REGEXREPLACE(REGEXREPLACE(REGEXREPLACE(REGEXREPLACE(E119,"","",),IF(Projections!$U$3="""",""PG"",),),IF(Projections!$V$3="""",""SG"",),),IF(Projections!$W$3="""",""SF"",),),IF(Projections!$X$3="""",""PF"",),),IF(Projec"&amp;"tions!$Y$3="""",""C"",),),""/"","""")"),"PG")</f>
        <v>PG</v>
      </c>
    </row>
    <row r="120">
      <c r="A120" s="29" t="str">
        <f>IF(Projections!$H$3,Draft!L10,"")</f>
        <v>Malcolm Brogdon</v>
      </c>
      <c r="B120">
        <f>IFERROR(__xludf.DUMMYFUNCTION("""COMPUTED_VALUE"""),148.0)</f>
        <v>148</v>
      </c>
      <c r="C120" t="str">
        <f>IFERROR(__xludf.DUMMYFUNCTION("""COMPUTED_VALUE"""),"Luguentz Dort")</f>
        <v>Luguentz Dort</v>
      </c>
      <c r="D120">
        <f>IFERROR(__xludf.DUMMYFUNCTION("""COMPUTED_VALUE"""),69.0)</f>
        <v>69</v>
      </c>
      <c r="E120" t="str">
        <f>IFERROR(__xludf.DUMMYFUNCTION("""COMPUTED_VALUE"""),"SG/SF")</f>
        <v>SG/SF</v>
      </c>
      <c r="F120" s="37">
        <f>IFERROR(__xludf.DUMMYFUNCTION("""COMPUTED_VALUE"""),-3.5026461973240552)</f>
        <v>-3.502646197</v>
      </c>
      <c r="G120" s="37">
        <f>IFERROR(__xludf.DUMMYFUNCTION("""COMPUTED_VALUE"""),-2.3495949572846997)</f>
        <v>-2.349594957</v>
      </c>
      <c r="H120" s="37">
        <f>IFERROR(__xludf.DUMMYFUNCTION("""COMPUTED_VALUE"""),1.1530512400393556)</f>
        <v>1.15305124</v>
      </c>
      <c r="I120" s="37">
        <f>IFERROR(__xludf.DUMMYFUNCTION("""COMPUTED_VALUE"""),16.1)</f>
        <v>16.1</v>
      </c>
      <c r="J120" s="37">
        <f>IFERROR(__xludf.DUMMYFUNCTION("""COMPUTED_VALUE"""),2.2)</f>
        <v>2.2</v>
      </c>
      <c r="K120" s="37">
        <f>IFERROR(__xludf.DUMMYFUNCTION("""COMPUTED_VALUE"""),3.8)</f>
        <v>3.8</v>
      </c>
      <c r="L120" s="37">
        <f>IFERROR(__xludf.DUMMYFUNCTION("""COMPUTED_VALUE"""),1.6)</f>
        <v>1.6</v>
      </c>
      <c r="M120" s="37">
        <f>IFERROR(__xludf.DUMMYFUNCTION("""COMPUTED_VALUE"""),0.8)</f>
        <v>0.8</v>
      </c>
      <c r="N120" s="37">
        <f>IFERROR(__xludf.DUMMYFUNCTION("""COMPUTED_VALUE"""),0.4)</f>
        <v>0.4</v>
      </c>
      <c r="O120" s="37">
        <f>IFERROR(__xludf.DUMMYFUNCTION("""COMPUTED_VALUE"""),40.6015037593985)</f>
        <v>40.60150376</v>
      </c>
      <c r="P120" s="37">
        <f>IFERROR(__xludf.DUMMYFUNCTION("""COMPUTED_VALUE"""),83.33333333333333)</f>
        <v>83.33333333</v>
      </c>
      <c r="Q120" s="37">
        <f>IFERROR(__xludf.DUMMYFUNCTION("""COMPUTED_VALUE"""),1.6)</f>
        <v>1.6</v>
      </c>
      <c r="R120" s="37">
        <f>IFERROR(__xludf.DUMMYFUNCTION("""COMPUTED_VALUE"""),-0.22714633930266295)</f>
        <v>-0.2271463393</v>
      </c>
      <c r="S120" s="37">
        <f>IFERROR(__xludf.DUMMYFUNCTION("""COMPUTED_VALUE"""),0.5865511152130937)</f>
        <v>0.5865511152</v>
      </c>
      <c r="T120" s="37">
        <f>IFERROR(__xludf.DUMMYFUNCTION("""COMPUTED_VALUE"""),-0.9284845643626322)</f>
        <v>-0.9284845644</v>
      </c>
      <c r="U120" s="37">
        <f>IFERROR(__xludf.DUMMYFUNCTION("""COMPUTED_VALUE"""),-1.1996047894078214)</f>
        <v>-1.199604789</v>
      </c>
      <c r="V120" s="37">
        <f>IFERROR(__xludf.DUMMYFUNCTION("""COMPUTED_VALUE"""),-0.8340614571621854)</f>
        <v>-0.8340614572</v>
      </c>
      <c r="W120" s="37">
        <f>IFERROR(__xludf.DUMMYFUNCTION("""COMPUTED_VALUE"""),0.0)</f>
        <v>0</v>
      </c>
      <c r="X120" s="37">
        <f>IFERROR(__xludf.DUMMYFUNCTION("""COMPUTED_VALUE"""),0.0)</f>
        <v>0</v>
      </c>
      <c r="Y120" s="37">
        <f>IFERROR(__xludf.DUMMYFUNCTION("""COMPUTED_VALUE"""),0.2531510777375084)</f>
        <v>0.2531510777</v>
      </c>
      <c r="Z120" s="37">
        <f>IFERROR(__xludf.DUMMYFUNCTION("""COMPUTED_VALUE"""),0.0)</f>
        <v>0</v>
      </c>
      <c r="AA120" t="str">
        <f>IFERROR(__xludf.DUMMYFUNCTION("SUBSTITUTE(REGEXREPLACE(REGEXREPLACE(REGEXREPLACE(REGEXREPLACE(REGEXREPLACE(REGEXREPLACE(E120,"","",),IF(Projections!$U$3="""",""PG"",),),IF(Projections!$V$3="""",""SG"",),),IF(Projections!$W$3="""",""SF"",),),IF(Projections!$X$3="""",""PF"",),),IF(Projec"&amp;"tions!$Y$3="""",""C"",),),""/"","""")"),"SGSF")</f>
        <v>SGSF</v>
      </c>
    </row>
    <row r="121">
      <c r="A121" s="29" t="str">
        <f>IF(Projections!$H$3,Draft!L11,"")</f>
        <v>Jaren Jackson Jr.</v>
      </c>
      <c r="B121">
        <f>IFERROR(__xludf.DUMMYFUNCTION("""COMPUTED_VALUE"""),71.0)</f>
        <v>71</v>
      </c>
      <c r="C121" t="str">
        <f>IFERROR(__xludf.DUMMYFUNCTION("""COMPUTED_VALUE"""),"John Collins")</f>
        <v>John Collins</v>
      </c>
      <c r="D121">
        <f>IFERROR(__xludf.DUMMYFUNCTION("""COMPUTED_VALUE"""),65.0)</f>
        <v>65</v>
      </c>
      <c r="E121" t="str">
        <f>IFERROR(__xludf.DUMMYFUNCTION("""COMPUTED_VALUE"""),"PF/C")</f>
        <v>PF/C</v>
      </c>
      <c r="F121" s="37">
        <f>IFERROR(__xludf.DUMMYFUNCTION("""COMPUTED_VALUE"""),-0.6890612429233529)</f>
        <v>-0.6890612429</v>
      </c>
      <c r="G121" s="37">
        <f>IFERROR(__xludf.DUMMYFUNCTION("""COMPUTED_VALUE"""),-2.4229405985391703)</f>
        <v>-2.422940599</v>
      </c>
      <c r="H121" s="37">
        <f>IFERROR(__xludf.DUMMYFUNCTION("""COMPUTED_VALUE"""),-1.7338793556158174)</f>
        <v>-1.733879356</v>
      </c>
      <c r="I121" s="37">
        <f>IFERROR(__xludf.DUMMYFUNCTION("""COMPUTED_VALUE"""),16.3)</f>
        <v>16.3</v>
      </c>
      <c r="J121" s="37">
        <f>IFERROR(__xludf.DUMMYFUNCTION("""COMPUTED_VALUE"""),1.2)</f>
        <v>1.2</v>
      </c>
      <c r="K121" s="37">
        <f>IFERROR(__xludf.DUMMYFUNCTION("""COMPUTED_VALUE"""),8.0)</f>
        <v>8</v>
      </c>
      <c r="L121" s="37">
        <f>IFERROR(__xludf.DUMMYFUNCTION("""COMPUTED_VALUE"""),1.8)</f>
        <v>1.8</v>
      </c>
      <c r="M121" s="37">
        <f>IFERROR(__xludf.DUMMYFUNCTION("""COMPUTED_VALUE"""),0.6)</f>
        <v>0.6</v>
      </c>
      <c r="N121" s="37">
        <f>IFERROR(__xludf.DUMMYFUNCTION("""COMPUTED_VALUE"""),1.0)</f>
        <v>1</v>
      </c>
      <c r="O121" s="37">
        <f>IFERROR(__xludf.DUMMYFUNCTION("""COMPUTED_VALUE"""),51.66666666666667)</f>
        <v>51.66666667</v>
      </c>
      <c r="P121" s="37">
        <f>IFERROR(__xludf.DUMMYFUNCTION("""COMPUTED_VALUE"""),81.25)</f>
        <v>81.25</v>
      </c>
      <c r="Q121" s="37">
        <f>IFERROR(__xludf.DUMMYFUNCTION("""COMPUTED_VALUE"""),1.1)</f>
        <v>1.1</v>
      </c>
      <c r="R121" s="37">
        <f>IFERROR(__xludf.DUMMYFUNCTION("""COMPUTED_VALUE"""),-0.17388936911210917)</f>
        <v>-0.1738893691</v>
      </c>
      <c r="S121" s="37">
        <f>IFERROR(__xludf.DUMMYFUNCTION("""COMPUTED_VALUE"""),-0.41340444733554466)</f>
        <v>-0.4134044473</v>
      </c>
      <c r="T121" s="37">
        <f>IFERROR(__xludf.DUMMYFUNCTION("""COMPUTED_VALUE"""),0.7860201284025959)</f>
        <v>0.7860201284</v>
      </c>
      <c r="U121" s="37">
        <f>IFERROR(__xludf.DUMMYFUNCTION("""COMPUTED_VALUE"""),-1.085466147248329)</f>
        <v>-1.085466147</v>
      </c>
      <c r="V121" s="37">
        <f>IFERROR(__xludf.DUMMYFUNCTION("""COMPUTED_VALUE"""),-1.6516611750382768)</f>
        <v>-1.651661175</v>
      </c>
      <c r="W121" s="37">
        <f>IFERROR(__xludf.DUMMYFUNCTION("""COMPUTED_VALUE"""),0.0)</f>
        <v>0</v>
      </c>
      <c r="X121" s="37">
        <f>IFERROR(__xludf.DUMMYFUNCTION("""COMPUTED_VALUE"""),0.0)</f>
        <v>0</v>
      </c>
      <c r="Y121" s="37">
        <f>IFERROR(__xludf.DUMMYFUNCTION("""COMPUTED_VALUE"""),0.1154604117924931)</f>
        <v>0.1154604118</v>
      </c>
      <c r="Z121" s="37">
        <f>IFERROR(__xludf.DUMMYFUNCTION("""COMPUTED_VALUE"""),0.0)</f>
        <v>0</v>
      </c>
      <c r="AA121" t="str">
        <f>IFERROR(__xludf.DUMMYFUNCTION("SUBSTITUTE(REGEXREPLACE(REGEXREPLACE(REGEXREPLACE(REGEXREPLACE(REGEXREPLACE(REGEXREPLACE(E121,"","",),IF(Projections!$U$3="""",""PG"",),),IF(Projections!$V$3="""",""SG"",),),IF(Projections!$W$3="""",""SF"",),),IF(Projections!$X$3="""",""PF"",),),IF(Projec"&amp;"tions!$Y$3="""",""C"",),),""/"","""")"),"PFC")</f>
        <v>PFC</v>
      </c>
    </row>
    <row r="122">
      <c r="A122" s="29" t="str">
        <f>IF(Projections!$H$3,Draft!L12,"")</f>
        <v>Brandon Clarke</v>
      </c>
      <c r="B122">
        <f>IFERROR(__xludf.DUMMYFUNCTION("""COMPUTED_VALUE"""),136.0)</f>
        <v>136</v>
      </c>
      <c r="C122" t="str">
        <f>IFERROR(__xludf.DUMMYFUNCTION("""COMPUTED_VALUE"""),"Jae Crowder")</f>
        <v>Jae Crowder</v>
      </c>
      <c r="D122">
        <f>IFERROR(__xludf.DUMMYFUNCTION("""COMPUTED_VALUE"""),70.0)</f>
        <v>70</v>
      </c>
      <c r="E122" t="str">
        <f>IFERROR(__xludf.DUMMYFUNCTION("""COMPUTED_VALUE"""),"SF/PF")</f>
        <v>SF/PF</v>
      </c>
      <c r="F122" s="37">
        <f>IFERROR(__xludf.DUMMYFUNCTION("""COMPUTED_VALUE"""),-3.157014127365177)</f>
        <v>-3.157014127</v>
      </c>
      <c r="G122" s="37">
        <f>IFERROR(__xludf.DUMMYFUNCTION("""COMPUTED_VALUE"""),-2.425792125670338)</f>
        <v>-2.425792126</v>
      </c>
      <c r="H122" s="37">
        <f>IFERROR(__xludf.DUMMYFUNCTION("""COMPUTED_VALUE"""),0.7312220016948388)</f>
        <v>0.7312220017</v>
      </c>
      <c r="I122" s="37">
        <f>IFERROR(__xludf.DUMMYFUNCTION("""COMPUTED_VALUE"""),8.8)</f>
        <v>8.8</v>
      </c>
      <c r="J122" s="37">
        <f>IFERROR(__xludf.DUMMYFUNCTION("""COMPUTED_VALUE"""),1.8)</f>
        <v>1.8</v>
      </c>
      <c r="K122" s="37">
        <f>IFERROR(__xludf.DUMMYFUNCTION("""COMPUTED_VALUE"""),4.8)</f>
        <v>4.8</v>
      </c>
      <c r="L122" s="37">
        <f>IFERROR(__xludf.DUMMYFUNCTION("""COMPUTED_VALUE"""),1.8)</f>
        <v>1.8</v>
      </c>
      <c r="M122" s="37">
        <f>IFERROR(__xludf.DUMMYFUNCTION("""COMPUTED_VALUE"""),1.3)</f>
        <v>1.3</v>
      </c>
      <c r="N122" s="37">
        <f>IFERROR(__xludf.DUMMYFUNCTION("""COMPUTED_VALUE"""),0.4)</f>
        <v>0.4</v>
      </c>
      <c r="O122" s="37">
        <f>IFERROR(__xludf.DUMMYFUNCTION("""COMPUTED_VALUE"""),40.0)</f>
        <v>40</v>
      </c>
      <c r="P122" s="37">
        <f>IFERROR(__xludf.DUMMYFUNCTION("""COMPUTED_VALUE"""),76.92307692307692)</f>
        <v>76.92307692</v>
      </c>
      <c r="Q122" s="37">
        <f>IFERROR(__xludf.DUMMYFUNCTION("""COMPUTED_VALUE"""),0.7)</f>
        <v>0.7</v>
      </c>
      <c r="R122" s="37">
        <f>IFERROR(__xludf.DUMMYFUNCTION("""COMPUTED_VALUE"""),-2.1710257512578823)</f>
        <v>-2.171025751</v>
      </c>
      <c r="S122" s="37">
        <f>IFERROR(__xludf.DUMMYFUNCTION("""COMPUTED_VALUE"""),0.18656889019363826)</f>
        <v>0.1865688902</v>
      </c>
      <c r="T122" s="37">
        <f>IFERROR(__xludf.DUMMYFUNCTION("""COMPUTED_VALUE"""),-0.5202691613232922)</f>
        <v>-0.5202691613</v>
      </c>
      <c r="U122" s="37">
        <f>IFERROR(__xludf.DUMMYFUNCTION("""COMPUTED_VALUE"""),-1.085466147248329)</f>
        <v>-1.085466147</v>
      </c>
      <c r="V122" s="37">
        <f>IFERROR(__xludf.DUMMYFUNCTION("""COMPUTED_VALUE"""),1.209937837528042)</f>
        <v>1.209937838</v>
      </c>
      <c r="W122" s="37">
        <f>IFERROR(__xludf.DUMMYFUNCTION("""COMPUTED_VALUE"""),0.0)</f>
        <v>0</v>
      </c>
      <c r="X122" s="37">
        <f>IFERROR(__xludf.DUMMYFUNCTION("""COMPUTED_VALUE"""),0.0)</f>
        <v>0</v>
      </c>
      <c r="Y122" s="37">
        <f>IFERROR(__xludf.DUMMYFUNCTION("""COMPUTED_VALUE"""),-0.045537793562515326)</f>
        <v>-0.04553779356</v>
      </c>
      <c r="Z122" s="37">
        <f>IFERROR(__xludf.DUMMYFUNCTION("""COMPUTED_VALUE"""),0.0)</f>
        <v>0</v>
      </c>
      <c r="AA122" t="str">
        <f>IFERROR(__xludf.DUMMYFUNCTION("SUBSTITUTE(REGEXREPLACE(REGEXREPLACE(REGEXREPLACE(REGEXREPLACE(REGEXREPLACE(REGEXREPLACE(E122,"","",),IF(Projections!$U$3="""",""PG"",),),IF(Projections!$V$3="""",""SG"",),),IF(Projections!$W$3="""",""SF"",),),IF(Projections!$X$3="""",""PF"",),),IF(Projec"&amp;"tions!$Y$3="""",""C"",),),""/"","""")"),"SFPF")</f>
        <v>SFPF</v>
      </c>
    </row>
    <row r="123">
      <c r="A123" s="29" t="str">
        <f>IF(Projections!$H$3,Draft!L13,"")</f>
        <v>Bones Hyland</v>
      </c>
      <c r="B123">
        <f>IFERROR(__xludf.DUMMYFUNCTION("""COMPUTED_VALUE"""),94.0)</f>
        <v>94</v>
      </c>
      <c r="C123" t="str">
        <f>IFERROR(__xludf.DUMMYFUNCTION("""COMPUTED_VALUE"""),"Wendell Carter Jr.")</f>
        <v>Wendell Carter Jr.</v>
      </c>
      <c r="D123">
        <f>IFERROR(__xludf.DUMMYFUNCTION("""COMPUTED_VALUE"""),69.0)</f>
        <v>69</v>
      </c>
      <c r="E123" t="str">
        <f>IFERROR(__xludf.DUMMYFUNCTION("""COMPUTED_VALUE"""),"PF/C")</f>
        <v>PF/C</v>
      </c>
      <c r="F123" s="37">
        <f>IFERROR(__xludf.DUMMYFUNCTION("""COMPUTED_VALUE"""),-1.675743876658747)</f>
        <v>-1.675743877</v>
      </c>
      <c r="G123" s="37">
        <f>IFERROR(__xludf.DUMMYFUNCTION("""COMPUTED_VALUE"""),-2.431788919594899)</f>
        <v>-2.43178892</v>
      </c>
      <c r="H123" s="37">
        <f>IFERROR(__xludf.DUMMYFUNCTION("""COMPUTED_VALUE"""),-0.756045042936152)</f>
        <v>-0.7560450429</v>
      </c>
      <c r="I123" s="37">
        <f>IFERROR(__xludf.DUMMYFUNCTION("""COMPUTED_VALUE"""),14.8)</f>
        <v>14.8</v>
      </c>
      <c r="J123" s="37">
        <f>IFERROR(__xludf.DUMMYFUNCTION("""COMPUTED_VALUE"""),1.0)</f>
        <v>1</v>
      </c>
      <c r="K123" s="37">
        <f>IFERROR(__xludf.DUMMYFUNCTION("""COMPUTED_VALUE"""),9.9)</f>
        <v>9.9</v>
      </c>
      <c r="L123" s="37">
        <f>IFERROR(__xludf.DUMMYFUNCTION("""COMPUTED_VALUE"""),2.4)</f>
        <v>2.4</v>
      </c>
      <c r="M123" s="37">
        <f>IFERROR(__xludf.DUMMYFUNCTION("""COMPUTED_VALUE"""),0.6)</f>
        <v>0.6</v>
      </c>
      <c r="N123" s="37">
        <f>IFERROR(__xludf.DUMMYFUNCTION("""COMPUTED_VALUE"""),0.7)</f>
        <v>0.7</v>
      </c>
      <c r="O123" s="37">
        <f>IFERROR(__xludf.DUMMYFUNCTION("""COMPUTED_VALUE"""),52.72727272727272)</f>
        <v>52.72727273</v>
      </c>
      <c r="P123" s="37">
        <f>IFERROR(__xludf.DUMMYFUNCTION("""COMPUTED_VALUE"""),70.96774193548387)</f>
        <v>70.96774194</v>
      </c>
      <c r="Q123" s="37">
        <f>IFERROR(__xludf.DUMMYFUNCTION("""COMPUTED_VALUE"""),1.9)</f>
        <v>1.9</v>
      </c>
      <c r="R123" s="37">
        <f>IFERROR(__xludf.DUMMYFUNCTION("""COMPUTED_VALUE"""),-0.5733166455412638)</f>
        <v>-0.5733166455</v>
      </c>
      <c r="S123" s="37">
        <f>IFERROR(__xludf.DUMMYFUNCTION("""COMPUTED_VALUE"""),-0.6133955598452723)</f>
        <v>-0.6133955598</v>
      </c>
      <c r="T123" s="37">
        <f>IFERROR(__xludf.DUMMYFUNCTION("""COMPUTED_VALUE"""),1.561629394177342)</f>
        <v>1.561629394</v>
      </c>
      <c r="U123" s="37">
        <f>IFERROR(__xludf.DUMMYFUNCTION("""COMPUTED_VALUE"""),-0.743050220769851)</f>
        <v>-0.7430502208</v>
      </c>
      <c r="V123" s="37">
        <f>IFERROR(__xludf.DUMMYFUNCTION("""COMPUTED_VALUE"""),-1.6516611750382768)</f>
        <v>-1.651661175</v>
      </c>
      <c r="W123" s="37">
        <f>IFERROR(__xludf.DUMMYFUNCTION("""COMPUTED_VALUE"""),0.0)</f>
        <v>0</v>
      </c>
      <c r="X123" s="37">
        <f>IFERROR(__xludf.DUMMYFUNCTION("""COMPUTED_VALUE"""),0.0)</f>
        <v>0</v>
      </c>
      <c r="Y123" s="37">
        <f>IFERROR(__xludf.DUMMYFUNCTION("""COMPUTED_VALUE"""),-0.4119947125775767)</f>
        <v>-0.4119947126</v>
      </c>
      <c r="Z123" s="37">
        <f>IFERROR(__xludf.DUMMYFUNCTION("""COMPUTED_VALUE"""),0.0)</f>
        <v>0</v>
      </c>
      <c r="AA123" t="str">
        <f>IFERROR(__xludf.DUMMYFUNCTION("SUBSTITUTE(REGEXREPLACE(REGEXREPLACE(REGEXREPLACE(REGEXREPLACE(REGEXREPLACE(REGEXREPLACE(E123,"","",),IF(Projections!$U$3="""",""PG"",),),IF(Projections!$V$3="""",""SG"",),),IF(Projections!$W$3="""",""SF"",),),IF(Projections!$X$3="""",""PF"",),),IF(Projec"&amp;"tions!$Y$3="""",""C"",),),""/"","""")"),"PFC")</f>
        <v>PFC</v>
      </c>
    </row>
    <row r="124">
      <c r="A124" s="29" t="str">
        <f>IF(Projections!$H$3,Draft!L14,"")</f>
        <v>Isaiah Jackson</v>
      </c>
      <c r="B124">
        <f>IFERROR(__xludf.DUMMYFUNCTION("""COMPUTED_VALUE"""),103.0)</f>
        <v>103</v>
      </c>
      <c r="C124" t="str">
        <f>IFERROR(__xludf.DUMMYFUNCTION("""COMPUTED_VALUE"""),"Herbert Jones")</f>
        <v>Herbert Jones</v>
      </c>
      <c r="D124">
        <f>IFERROR(__xludf.DUMMYFUNCTION("""COMPUTED_VALUE"""),71.0)</f>
        <v>71</v>
      </c>
      <c r="E124" t="str">
        <f>IFERROR(__xludf.DUMMYFUNCTION("""COMPUTED_VALUE"""),"SF/PF")</f>
        <v>SF/PF</v>
      </c>
      <c r="F124" s="37">
        <f>IFERROR(__xludf.DUMMYFUNCTION("""COMPUTED_VALUE"""),-1.9108504213998407)</f>
        <v>-1.910850421</v>
      </c>
      <c r="G124" s="37">
        <f>IFERROR(__xludf.DUMMYFUNCTION("""COMPUTED_VALUE"""),-2.4463610494261387)</f>
        <v>-2.446361049</v>
      </c>
      <c r="H124" s="37">
        <f>IFERROR(__xludf.DUMMYFUNCTION("""COMPUTED_VALUE"""),-0.535510628026298)</f>
        <v>-0.535510628</v>
      </c>
      <c r="I124" s="37">
        <f>IFERROR(__xludf.DUMMYFUNCTION("""COMPUTED_VALUE"""),9.7)</f>
        <v>9.7</v>
      </c>
      <c r="J124" s="37">
        <f>IFERROR(__xludf.DUMMYFUNCTION("""COMPUTED_VALUE"""),0.7)</f>
        <v>0.7</v>
      </c>
      <c r="K124" s="37">
        <f>IFERROR(__xludf.DUMMYFUNCTION("""COMPUTED_VALUE"""),3.9)</f>
        <v>3.9</v>
      </c>
      <c r="L124" s="37">
        <f>IFERROR(__xludf.DUMMYFUNCTION("""COMPUTED_VALUE"""),2.0)</f>
        <v>2</v>
      </c>
      <c r="M124" s="37">
        <f>IFERROR(__xludf.DUMMYFUNCTION("""COMPUTED_VALUE"""),1.5)</f>
        <v>1.5</v>
      </c>
      <c r="N124" s="37">
        <f>IFERROR(__xludf.DUMMYFUNCTION("""COMPUTED_VALUE"""),0.7)</f>
        <v>0.7</v>
      </c>
      <c r="O124" s="37">
        <f>IFERROR(__xludf.DUMMYFUNCTION("""COMPUTED_VALUE"""),47.36842105263158)</f>
        <v>47.36842105</v>
      </c>
      <c r="P124" s="37">
        <f>IFERROR(__xludf.DUMMYFUNCTION("""COMPUTED_VALUE"""),85.71428571428571)</f>
        <v>85.71428571</v>
      </c>
      <c r="Q124" s="37">
        <f>IFERROR(__xludf.DUMMYFUNCTION("""COMPUTED_VALUE"""),1.3)</f>
        <v>1.3</v>
      </c>
      <c r="R124" s="37">
        <f>IFERROR(__xludf.DUMMYFUNCTION("""COMPUTED_VALUE"""),-1.93136938540039)</f>
        <v>-1.931369385</v>
      </c>
      <c r="S124" s="37">
        <f>IFERROR(__xludf.DUMMYFUNCTION("""COMPUTED_VALUE"""),-0.9133822286098637)</f>
        <v>-0.9133822286</v>
      </c>
      <c r="T124" s="37">
        <f>IFERROR(__xludf.DUMMYFUNCTION("""COMPUTED_VALUE"""),-0.8876630240586981)</f>
        <v>-0.8876630241</v>
      </c>
      <c r="U124" s="37">
        <f>IFERROR(__xludf.DUMMYFUNCTION("""COMPUTED_VALUE"""),-0.9713275050888364)</f>
        <v>-0.9713275051</v>
      </c>
      <c r="V124" s="37">
        <f>IFERROR(__xludf.DUMMYFUNCTION("""COMPUTED_VALUE"""),2.027537555404133)</f>
        <v>2.027537555</v>
      </c>
      <c r="W124" s="37">
        <f>IFERROR(__xludf.DUMMYFUNCTION("""COMPUTED_VALUE"""),0.0)</f>
        <v>0</v>
      </c>
      <c r="X124" s="37">
        <f>IFERROR(__xludf.DUMMYFUNCTION("""COMPUTED_VALUE"""),0.0)</f>
        <v>0</v>
      </c>
      <c r="Y124" s="37">
        <f>IFERROR(__xludf.DUMMYFUNCTION("""COMPUTED_VALUE"""),0.22984353832751594)</f>
        <v>0.2298435383</v>
      </c>
      <c r="Z124" s="37">
        <f>IFERROR(__xludf.DUMMYFUNCTION("""COMPUTED_VALUE"""),0.0)</f>
        <v>0</v>
      </c>
      <c r="AA124" t="str">
        <f>IFERROR(__xludf.DUMMYFUNCTION("SUBSTITUTE(REGEXREPLACE(REGEXREPLACE(REGEXREPLACE(REGEXREPLACE(REGEXREPLACE(REGEXREPLACE(E124,"","",),IF(Projections!$U$3="""",""PG"",),),IF(Projections!$V$3="""",""SG"",),),IF(Projections!$W$3="""",""SF"",),),IF(Projections!$X$3="""",""PF"",),),IF(Projec"&amp;"tions!$Y$3="""",""C"",),),""/"","""")"),"SFPF")</f>
        <v>SFPF</v>
      </c>
    </row>
    <row r="125">
      <c r="A125" s="29" t="str">
        <f>IF(Projections!$H$3,Draft!M3,"")</f>
        <v>Onyeka Okongwu</v>
      </c>
      <c r="B125">
        <f>IFERROR(__xludf.DUMMYFUNCTION("""COMPUTED_VALUE"""),98.0)</f>
        <v>98</v>
      </c>
      <c r="C125" t="str">
        <f>IFERROR(__xludf.DUMMYFUNCTION("""COMPUTED_VALUE"""),"Bobby Portis")</f>
        <v>Bobby Portis</v>
      </c>
      <c r="D125">
        <f>IFERROR(__xludf.DUMMYFUNCTION("""COMPUTED_VALUE"""),72.0)</f>
        <v>72</v>
      </c>
      <c r="E125" t="str">
        <f>IFERROR(__xludf.DUMMYFUNCTION("""COMPUTED_VALUE"""),"PF/C")</f>
        <v>PF/C</v>
      </c>
      <c r="F125" s="37">
        <f>IFERROR(__xludf.DUMMYFUNCTION("""COMPUTED_VALUE"""),-1.8835712942954161)</f>
        <v>-1.883571294</v>
      </c>
      <c r="G125" s="37">
        <f>IFERROR(__xludf.DUMMYFUNCTION("""COMPUTED_VALUE"""),-2.490932560198926)</f>
        <v>-2.49093256</v>
      </c>
      <c r="H125" s="37">
        <f>IFERROR(__xludf.DUMMYFUNCTION("""COMPUTED_VALUE"""),-0.6073612659035097)</f>
        <v>-0.6073612659</v>
      </c>
      <c r="I125" s="37">
        <f>IFERROR(__xludf.DUMMYFUNCTION("""COMPUTED_VALUE"""),13.8)</f>
        <v>13.8</v>
      </c>
      <c r="J125" s="37">
        <f>IFERROR(__xludf.DUMMYFUNCTION("""COMPUTED_VALUE"""),1.8)</f>
        <v>1.8</v>
      </c>
      <c r="K125" s="37">
        <f>IFERROR(__xludf.DUMMYFUNCTION("""COMPUTED_VALUE"""),8.6)</f>
        <v>8.6</v>
      </c>
      <c r="L125" s="37">
        <f>IFERROR(__xludf.DUMMYFUNCTION("""COMPUTED_VALUE"""),1.1)</f>
        <v>1.1</v>
      </c>
      <c r="M125" s="37">
        <f>IFERROR(__xludf.DUMMYFUNCTION("""COMPUTED_VALUE"""),0.7)</f>
        <v>0.7</v>
      </c>
      <c r="N125" s="37">
        <f>IFERROR(__xludf.DUMMYFUNCTION("""COMPUTED_VALUE"""),0.7)</f>
        <v>0.7</v>
      </c>
      <c r="O125" s="37">
        <f>IFERROR(__xludf.DUMMYFUNCTION("""COMPUTED_VALUE"""),48.24561403508772)</f>
        <v>48.24561404</v>
      </c>
      <c r="P125" s="37">
        <f>IFERROR(__xludf.DUMMYFUNCTION("""COMPUTED_VALUE"""),73.33333333333334)</f>
        <v>73.33333333</v>
      </c>
      <c r="Q125" s="37">
        <f>IFERROR(__xludf.DUMMYFUNCTION("""COMPUTED_VALUE"""),1.2)</f>
        <v>1.2</v>
      </c>
      <c r="R125" s="37">
        <f>IFERROR(__xludf.DUMMYFUNCTION("""COMPUTED_VALUE"""),-0.8396014964940337)</f>
        <v>-0.8396014965</v>
      </c>
      <c r="S125" s="37">
        <f>IFERROR(__xludf.DUMMYFUNCTION("""COMPUTED_VALUE"""),0.18656889019363826)</f>
        <v>0.1865688902</v>
      </c>
      <c r="T125" s="37">
        <f>IFERROR(__xludf.DUMMYFUNCTION("""COMPUTED_VALUE"""),1.0309493702261998)</f>
        <v>1.03094937</v>
      </c>
      <c r="U125" s="37">
        <f>IFERROR(__xludf.DUMMYFUNCTION("""COMPUTED_VALUE"""),-1.484951394806553)</f>
        <v>-1.484951395</v>
      </c>
      <c r="V125" s="37">
        <f>IFERROR(__xludf.DUMMYFUNCTION("""COMPUTED_VALUE"""),-1.2428613161002313)</f>
        <v>-1.242861316</v>
      </c>
      <c r="W125" s="37">
        <f>IFERROR(__xludf.DUMMYFUNCTION("""COMPUTED_VALUE"""),0.0)</f>
        <v>0</v>
      </c>
      <c r="X125" s="37">
        <f>IFERROR(__xludf.DUMMYFUNCTION("""COMPUTED_VALUE"""),0.0)</f>
        <v>0</v>
      </c>
      <c r="Y125" s="37">
        <f>IFERROR(__xludf.DUMMYFUNCTION("""COMPUTED_VALUE"""),-0.1410366132179459)</f>
        <v>-0.1410366132</v>
      </c>
      <c r="Z125" s="37">
        <f>IFERROR(__xludf.DUMMYFUNCTION("""COMPUTED_VALUE"""),0.0)</f>
        <v>0</v>
      </c>
      <c r="AA125" t="str">
        <f>IFERROR(__xludf.DUMMYFUNCTION("SUBSTITUTE(REGEXREPLACE(REGEXREPLACE(REGEXREPLACE(REGEXREPLACE(REGEXREPLACE(REGEXREPLACE(E125,"","",),IF(Projections!$U$3="""",""PG"",),),IF(Projections!$V$3="""",""SG"",),),IF(Projections!$W$3="""",""SF"",),),IF(Projections!$X$3="""",""PF"",),),IF(Projec"&amp;"tions!$Y$3="""",""C"",),),""/"","""")"),"PFC")</f>
        <v>PFC</v>
      </c>
    </row>
    <row r="126">
      <c r="A126" s="29" t="str">
        <f>IF(Projections!$H$3,Draft!M4,"")</f>
        <v/>
      </c>
      <c r="B126">
        <f>IFERROR(__xludf.DUMMYFUNCTION("""COMPUTED_VALUE"""),82.0)</f>
        <v>82</v>
      </c>
      <c r="C126" t="str">
        <f>IFERROR(__xludf.DUMMYFUNCTION("""COMPUTED_VALUE"""),"Robert Covington")</f>
        <v>Robert Covington</v>
      </c>
      <c r="D126">
        <f>IFERROR(__xludf.DUMMYFUNCTION("""COMPUTED_VALUE"""),70.0)</f>
        <v>70</v>
      </c>
      <c r="E126" t="str">
        <f>IFERROR(__xludf.DUMMYFUNCTION("""COMPUTED_VALUE"""),"SF/PF")</f>
        <v>SF/PF</v>
      </c>
      <c r="F126" s="37">
        <f>IFERROR(__xludf.DUMMYFUNCTION("""COMPUTED_VALUE"""),-1.311893170231)</f>
        <v>-1.31189317</v>
      </c>
      <c r="G126" s="37">
        <f>IFERROR(__xludf.DUMMYFUNCTION("""COMPUTED_VALUE"""),-2.5649042466479512)</f>
        <v>-2.564904247</v>
      </c>
      <c r="H126" s="37">
        <f>IFERROR(__xludf.DUMMYFUNCTION("""COMPUTED_VALUE"""),-1.2530110764169513)</f>
        <v>-1.253011076</v>
      </c>
      <c r="I126" s="37">
        <f>IFERROR(__xludf.DUMMYFUNCTION("""COMPUTED_VALUE"""),8.2)</f>
        <v>8.2</v>
      </c>
      <c r="J126" s="37">
        <f>IFERROR(__xludf.DUMMYFUNCTION("""COMPUTED_VALUE"""),1.8)</f>
        <v>1.8</v>
      </c>
      <c r="K126" s="37">
        <f>IFERROR(__xludf.DUMMYFUNCTION("""COMPUTED_VALUE"""),5.4)</f>
        <v>5.4</v>
      </c>
      <c r="L126" s="37">
        <f>IFERROR(__xludf.DUMMYFUNCTION("""COMPUTED_VALUE"""),1.3)</f>
        <v>1.3</v>
      </c>
      <c r="M126" s="37">
        <f>IFERROR(__xludf.DUMMYFUNCTION("""COMPUTED_VALUE"""),1.3)</f>
        <v>1.3</v>
      </c>
      <c r="N126" s="37">
        <f>IFERROR(__xludf.DUMMYFUNCTION("""COMPUTED_VALUE"""),1.2)</f>
        <v>1.2</v>
      </c>
      <c r="O126" s="37">
        <f>IFERROR(__xludf.DUMMYFUNCTION("""COMPUTED_VALUE"""),41.17647058823529)</f>
        <v>41.17647059</v>
      </c>
      <c r="P126" s="37">
        <f>IFERROR(__xludf.DUMMYFUNCTION("""COMPUTED_VALUE"""),80.0)</f>
        <v>80</v>
      </c>
      <c r="Q126" s="37">
        <f>IFERROR(__xludf.DUMMYFUNCTION("""COMPUTED_VALUE"""),1.1)</f>
        <v>1.1</v>
      </c>
      <c r="R126" s="37">
        <f>IFERROR(__xludf.DUMMYFUNCTION("""COMPUTED_VALUE"""),-2.330796661829545)</f>
        <v>-2.330796662</v>
      </c>
      <c r="S126" s="37">
        <f>IFERROR(__xludf.DUMMYFUNCTION("""COMPUTED_VALUE"""),0.18656889019363826)</f>
        <v>0.1865688902</v>
      </c>
      <c r="T126" s="37">
        <f>IFERROR(__xludf.DUMMYFUNCTION("""COMPUTED_VALUE"""),-0.27533991949968795)</f>
        <v>-0.2753399195</v>
      </c>
      <c r="U126" s="37">
        <f>IFERROR(__xludf.DUMMYFUNCTION("""COMPUTED_VALUE"""),-1.3708127526470602)</f>
        <v>-1.370812753</v>
      </c>
      <c r="V126" s="37">
        <f>IFERROR(__xludf.DUMMYFUNCTION("""COMPUTED_VALUE"""),1.209937837528042)</f>
        <v>1.209937838</v>
      </c>
      <c r="W126" s="37">
        <f>IFERROR(__xludf.DUMMYFUNCTION("""COMPUTED_VALUE"""),0.0)</f>
        <v>0</v>
      </c>
      <c r="X126" s="37">
        <f>IFERROR(__xludf.DUMMYFUNCTION("""COMPUTED_VALUE"""),0.0)</f>
        <v>0</v>
      </c>
      <c r="Y126" s="37">
        <f>IFERROR(__xludf.DUMMYFUNCTION("""COMPUTED_VALUE"""),0.015538359606661832)</f>
        <v>0.01553835961</v>
      </c>
      <c r="Z126" s="37">
        <f>IFERROR(__xludf.DUMMYFUNCTION("""COMPUTED_VALUE"""),0.0)</f>
        <v>0</v>
      </c>
      <c r="AA126" t="str">
        <f>IFERROR(__xludf.DUMMYFUNCTION("SUBSTITUTE(REGEXREPLACE(REGEXREPLACE(REGEXREPLACE(REGEXREPLACE(REGEXREPLACE(REGEXREPLACE(E126,"","",),IF(Projections!$U$3="""",""PG"",),),IF(Projections!$V$3="""",""SG"",),),IF(Projections!$W$3="""",""SF"",),),IF(Projections!$X$3="""",""PF"",),),IF(Projec"&amp;"tions!$Y$3="""",""C"",),),""/"","""")"),"SFPF")</f>
        <v>SFPF</v>
      </c>
    </row>
    <row r="127">
      <c r="A127" s="29" t="str">
        <f>IF(Projections!$H$3,Draft!M5,"")</f>
        <v>JaVale McGee</v>
      </c>
      <c r="B127">
        <f>IFERROR(__xludf.DUMMYFUNCTION("""COMPUTED_VALUE"""),175.0)</f>
        <v>175</v>
      </c>
      <c r="C127" t="str">
        <f>IFERROR(__xludf.DUMMYFUNCTION("""COMPUTED_VALUE"""),"Jordan Clarkson")</f>
        <v>Jordan Clarkson</v>
      </c>
      <c r="D127">
        <f>IFERROR(__xludf.DUMMYFUNCTION("""COMPUTED_VALUE"""),64.0)</f>
        <v>64</v>
      </c>
      <c r="E127" t="str">
        <f>IFERROR(__xludf.DUMMYFUNCTION("""COMPUTED_VALUE"""),"SG")</f>
        <v>SG</v>
      </c>
      <c r="F127" s="37">
        <f>IFERROR(__xludf.DUMMYFUNCTION("""COMPUTED_VALUE"""),-4.137784141412638)</f>
        <v>-4.137784141</v>
      </c>
      <c r="G127" s="37">
        <f>IFERROR(__xludf.DUMMYFUNCTION("""COMPUTED_VALUE"""),-2.575608423381195)</f>
        <v>-2.575608423</v>
      </c>
      <c r="H127" s="37">
        <f>IFERROR(__xludf.DUMMYFUNCTION("""COMPUTED_VALUE"""),1.562175718031443)</f>
        <v>1.562175718</v>
      </c>
      <c r="I127" s="37">
        <f>IFERROR(__xludf.DUMMYFUNCTION("""COMPUTED_VALUE"""),15.0)</f>
        <v>15</v>
      </c>
      <c r="J127" s="37">
        <f>IFERROR(__xludf.DUMMYFUNCTION("""COMPUTED_VALUE"""),2.3)</f>
        <v>2.3</v>
      </c>
      <c r="K127" s="37">
        <f>IFERROR(__xludf.DUMMYFUNCTION("""COMPUTED_VALUE"""),3.2)</f>
        <v>3.2</v>
      </c>
      <c r="L127" s="37">
        <f>IFERROR(__xludf.DUMMYFUNCTION("""COMPUTED_VALUE"""),2.3)</f>
        <v>2.3</v>
      </c>
      <c r="M127" s="37">
        <f>IFERROR(__xludf.DUMMYFUNCTION("""COMPUTED_VALUE"""),0.8)</f>
        <v>0.8</v>
      </c>
      <c r="N127" s="37">
        <f>IFERROR(__xludf.DUMMYFUNCTION("""COMPUTED_VALUE"""),0.2)</f>
        <v>0.2</v>
      </c>
      <c r="O127" s="37">
        <f>IFERROR(__xludf.DUMMYFUNCTION("""COMPUTED_VALUE"""),41.66666666666667)</f>
        <v>41.66666667</v>
      </c>
      <c r="P127" s="37">
        <f>IFERROR(__xludf.DUMMYFUNCTION("""COMPUTED_VALUE"""),80.95238095238095)</f>
        <v>80.95238095</v>
      </c>
      <c r="Q127" s="37">
        <f>IFERROR(__xludf.DUMMYFUNCTION("""COMPUTED_VALUE"""),1.5)</f>
        <v>1.5</v>
      </c>
      <c r="R127" s="37">
        <f>IFERROR(__xludf.DUMMYFUNCTION("""COMPUTED_VALUE"""),-0.5200596753507101)</f>
        <v>-0.5200596754</v>
      </c>
      <c r="S127" s="37">
        <f>IFERROR(__xludf.DUMMYFUNCTION("""COMPUTED_VALUE"""),0.6865466714679571)</f>
        <v>0.6865466715</v>
      </c>
      <c r="T127" s="37">
        <f>IFERROR(__xludf.DUMMYFUNCTION("""COMPUTED_VALUE"""),-1.173413806186236)</f>
        <v>-1.173413806</v>
      </c>
      <c r="U127" s="37">
        <f>IFERROR(__xludf.DUMMYFUNCTION("""COMPUTED_VALUE"""),-0.8001195418495975)</f>
        <v>-0.8001195418</v>
      </c>
      <c r="V127" s="37">
        <f>IFERROR(__xludf.DUMMYFUNCTION("""COMPUTED_VALUE"""),-0.8340614571621854)</f>
        <v>-0.8340614572</v>
      </c>
      <c r="W127" s="37">
        <f>IFERROR(__xludf.DUMMYFUNCTION("""COMPUTED_VALUE"""),0.0)</f>
        <v>0</v>
      </c>
      <c r="X127" s="37">
        <f>IFERROR(__xludf.DUMMYFUNCTION("""COMPUTED_VALUE"""),0.0)</f>
        <v>0</v>
      </c>
      <c r="Y127" s="37">
        <f>IFERROR(__xludf.DUMMYFUNCTION("""COMPUTED_VALUE"""),0.0654993856995771)</f>
        <v>0.0654993857</v>
      </c>
      <c r="Z127" s="37">
        <f>IFERROR(__xludf.DUMMYFUNCTION("""COMPUTED_VALUE"""),0.0)</f>
        <v>0</v>
      </c>
      <c r="AA127" t="str">
        <f>IFERROR(__xludf.DUMMYFUNCTION("SUBSTITUTE(REGEXREPLACE(REGEXREPLACE(REGEXREPLACE(REGEXREPLACE(REGEXREPLACE(REGEXREPLACE(E127,"","",),IF(Projections!$U$3="""",""PG"",),),IF(Projections!$V$3="""",""SG"",),),IF(Projections!$W$3="""",""SF"",),),IF(Projections!$X$3="""",""PF"",),),IF(Projec"&amp;"tions!$Y$3="""",""C"",),),""/"","""")"),"SG")</f>
        <v>SG</v>
      </c>
    </row>
    <row r="128">
      <c r="A128" s="29" t="str">
        <f>IF(Projections!$H$3,Draft!M6,"")</f>
        <v>Steven Adams</v>
      </c>
      <c r="B128">
        <f>IFERROR(__xludf.DUMMYFUNCTION("""COMPUTED_VALUE"""),128.0)</f>
        <v>128</v>
      </c>
      <c r="C128" t="str">
        <f>IFERROR(__xludf.DUMMYFUNCTION("""COMPUTED_VALUE"""),"Kendrick Nunn")</f>
        <v>Kendrick Nunn</v>
      </c>
      <c r="D128">
        <f>IFERROR(__xludf.DUMMYFUNCTION("""COMPUTED_VALUE"""),70.0)</f>
        <v>70</v>
      </c>
      <c r="E128" t="str">
        <f>IFERROR(__xludf.DUMMYFUNCTION("""COMPUTED_VALUE"""),"SG")</f>
        <v>SG</v>
      </c>
      <c r="F128" s="37">
        <f>IFERROR(__xludf.DUMMYFUNCTION("""COMPUTED_VALUE"""),-2.8448698230497627)</f>
        <v>-2.844869823</v>
      </c>
      <c r="G128" s="37">
        <f>IFERROR(__xludf.DUMMYFUNCTION("""COMPUTED_VALUE"""),-2.6497891012798527)</f>
        <v>-2.649789101</v>
      </c>
      <c r="H128" s="37">
        <f>IFERROR(__xludf.DUMMYFUNCTION("""COMPUTED_VALUE"""),0.19508072176990998)</f>
        <v>0.1950807218</v>
      </c>
      <c r="I128" s="37">
        <f>IFERROR(__xludf.DUMMYFUNCTION("""COMPUTED_VALUE"""),13.6)</f>
        <v>13.6</v>
      </c>
      <c r="J128" s="37">
        <f>IFERROR(__xludf.DUMMYFUNCTION("""COMPUTED_VALUE"""),2.1)</f>
        <v>2.1</v>
      </c>
      <c r="K128" s="37">
        <f>IFERROR(__xludf.DUMMYFUNCTION("""COMPUTED_VALUE"""),3.0)</f>
        <v>3</v>
      </c>
      <c r="L128" s="37">
        <f>IFERROR(__xludf.DUMMYFUNCTION("""COMPUTED_VALUE"""),2.4)</f>
        <v>2.4</v>
      </c>
      <c r="M128" s="37">
        <f>IFERROR(__xludf.DUMMYFUNCTION("""COMPUTED_VALUE"""),0.9)</f>
        <v>0.9</v>
      </c>
      <c r="N128" s="37">
        <f>IFERROR(__xludf.DUMMYFUNCTION("""COMPUTED_VALUE"""),0.3)</f>
        <v>0.3</v>
      </c>
      <c r="O128" s="37">
        <f>IFERROR(__xludf.DUMMYFUNCTION("""COMPUTED_VALUE"""),48.18181818181818)</f>
        <v>48.18181818</v>
      </c>
      <c r="P128" s="37">
        <f>IFERROR(__xludf.DUMMYFUNCTION("""COMPUTED_VALUE"""),90.0)</f>
        <v>90</v>
      </c>
      <c r="Q128" s="37">
        <f>IFERROR(__xludf.DUMMYFUNCTION("""COMPUTED_VALUE"""),1.3)</f>
        <v>1.3</v>
      </c>
      <c r="R128" s="37">
        <f>IFERROR(__xludf.DUMMYFUNCTION("""COMPUTED_VALUE"""),-0.8928584666845878)</f>
        <v>-0.8928584667</v>
      </c>
      <c r="S128" s="37">
        <f>IFERROR(__xludf.DUMMYFUNCTION("""COMPUTED_VALUE"""),0.4865555589582297)</f>
        <v>0.486555559</v>
      </c>
      <c r="T128" s="37">
        <f>IFERROR(__xludf.DUMMYFUNCTION("""COMPUTED_VALUE"""),-1.255056886794104)</f>
        <v>-1.255056887</v>
      </c>
      <c r="U128" s="37">
        <f>IFERROR(__xludf.DUMMYFUNCTION("""COMPUTED_VALUE"""),-0.743050220769851)</f>
        <v>-0.7430502208</v>
      </c>
      <c r="V128" s="37">
        <f>IFERROR(__xludf.DUMMYFUNCTION("""COMPUTED_VALUE"""),-0.42526159822414)</f>
        <v>-0.4252615982</v>
      </c>
      <c r="W128" s="37">
        <f>IFERROR(__xludf.DUMMYFUNCTION("""COMPUTED_VALUE"""),0.0)</f>
        <v>0</v>
      </c>
      <c r="X128" s="37">
        <f>IFERROR(__xludf.DUMMYFUNCTION("""COMPUTED_VALUE"""),0.0)</f>
        <v>0</v>
      </c>
      <c r="Y128" s="37">
        <f>IFERROR(__xludf.DUMMYFUNCTION("""COMPUTED_VALUE"""),0.17988251223460047)</f>
        <v>0.1798825122</v>
      </c>
      <c r="Z128" s="37">
        <f>IFERROR(__xludf.DUMMYFUNCTION("""COMPUTED_VALUE"""),0.0)</f>
        <v>0</v>
      </c>
      <c r="AA128" t="str">
        <f>IFERROR(__xludf.DUMMYFUNCTION("SUBSTITUTE(REGEXREPLACE(REGEXREPLACE(REGEXREPLACE(REGEXREPLACE(REGEXREPLACE(REGEXREPLACE(E128,"","",),IF(Projections!$U$3="""",""PG"",),),IF(Projections!$V$3="""",""SG"",),),IF(Projections!$W$3="""",""SF"",),),IF(Projections!$X$3="""",""PF"",),),IF(Projec"&amp;"tions!$Y$3="""",""C"",),),""/"","""")"),"SG")</f>
        <v>SG</v>
      </c>
    </row>
    <row r="129">
      <c r="A129" s="29" t="str">
        <f>IF(Projections!$H$3,Draft!M7,"")</f>
        <v>Isaiah Stewart</v>
      </c>
      <c r="B129">
        <f>IFERROR(__xludf.DUMMYFUNCTION("""COMPUTED_VALUE"""),127.0)</f>
        <v>127</v>
      </c>
      <c r="C129" t="str">
        <f>IFERROR(__xludf.DUMMYFUNCTION("""COMPUTED_VALUE"""),"Norman Powell")</f>
        <v>Norman Powell</v>
      </c>
      <c r="D129">
        <f>IFERROR(__xludf.DUMMYFUNCTION("""COMPUTED_VALUE"""),76.0)</f>
        <v>76</v>
      </c>
      <c r="E129" t="str">
        <f>IFERROR(__xludf.DUMMYFUNCTION("""COMPUTED_VALUE"""),"SG/SF")</f>
        <v>SG/SF</v>
      </c>
      <c r="F129" s="37">
        <f>IFERROR(__xludf.DUMMYFUNCTION("""COMPUTED_VALUE"""),-2.8278501582441953)</f>
        <v>-2.827850158</v>
      </c>
      <c r="G129" s="37">
        <f>IFERROR(__xludf.DUMMYFUNCTION("""COMPUTED_VALUE"""),-2.681245816852229)</f>
        <v>-2.681245817</v>
      </c>
      <c r="H129" s="37">
        <f>IFERROR(__xludf.DUMMYFUNCTION("""COMPUTED_VALUE"""),0.1466043413919662)</f>
        <v>0.1466043414</v>
      </c>
      <c r="I129" s="37">
        <f>IFERROR(__xludf.DUMMYFUNCTION("""COMPUTED_VALUE"""),16.2)</f>
        <v>16.2</v>
      </c>
      <c r="J129" s="37">
        <f>IFERROR(__xludf.DUMMYFUNCTION("""COMPUTED_VALUE"""),2.1)</f>
        <v>2.1</v>
      </c>
      <c r="K129" s="37">
        <f>IFERROR(__xludf.DUMMYFUNCTION("""COMPUTED_VALUE"""),2.7)</f>
        <v>2.7</v>
      </c>
      <c r="L129" s="37">
        <f>IFERROR(__xludf.DUMMYFUNCTION("""COMPUTED_VALUE"""),1.8)</f>
        <v>1.8</v>
      </c>
      <c r="M129" s="37">
        <f>IFERROR(__xludf.DUMMYFUNCTION("""COMPUTED_VALUE"""),0.8)</f>
        <v>0.8</v>
      </c>
      <c r="N129" s="37">
        <f>IFERROR(__xludf.DUMMYFUNCTION("""COMPUTED_VALUE"""),0.4)</f>
        <v>0.4</v>
      </c>
      <c r="O129" s="37">
        <f>IFERROR(__xludf.DUMMYFUNCTION("""COMPUTED_VALUE"""),46.49122807017543)</f>
        <v>46.49122807</v>
      </c>
      <c r="P129" s="37">
        <f>IFERROR(__xludf.DUMMYFUNCTION("""COMPUTED_VALUE"""),83.72093023255815)</f>
        <v>83.72093023</v>
      </c>
      <c r="Q129" s="37">
        <f>IFERROR(__xludf.DUMMYFUNCTION("""COMPUTED_VALUE"""),1.3)</f>
        <v>1.3</v>
      </c>
      <c r="R129" s="37">
        <f>IFERROR(__xludf.DUMMYFUNCTION("""COMPUTED_VALUE"""),-0.20051785420738652)</f>
        <v>-0.2005178542</v>
      </c>
      <c r="S129" s="37">
        <f>IFERROR(__xludf.DUMMYFUNCTION("""COMPUTED_VALUE"""),0.4865555589582297)</f>
        <v>0.486555559</v>
      </c>
      <c r="T129" s="37">
        <f>IFERROR(__xludf.DUMMYFUNCTION("""COMPUTED_VALUE"""),-1.377521507705906)</f>
        <v>-1.377521508</v>
      </c>
      <c r="U129" s="37">
        <f>IFERROR(__xludf.DUMMYFUNCTION("""COMPUTED_VALUE"""),-1.085466147248329)</f>
        <v>-1.085466147</v>
      </c>
      <c r="V129" s="37">
        <f>IFERROR(__xludf.DUMMYFUNCTION("""COMPUTED_VALUE"""),-0.8340614571621854)</f>
        <v>-0.8340614572</v>
      </c>
      <c r="W129" s="37">
        <f>IFERROR(__xludf.DUMMYFUNCTION("""COMPUTED_VALUE"""),0.0)</f>
        <v>0</v>
      </c>
      <c r="X129" s="37">
        <f>IFERROR(__xludf.DUMMYFUNCTION("""COMPUTED_VALUE"""),0.0)</f>
        <v>0</v>
      </c>
      <c r="Y129" s="37">
        <f>IFERROR(__xludf.DUMMYFUNCTION("""COMPUTED_VALUE"""),0.32976559051334775)</f>
        <v>0.3297655905</v>
      </c>
      <c r="Z129" s="37">
        <f>IFERROR(__xludf.DUMMYFUNCTION("""COMPUTED_VALUE"""),0.0)</f>
        <v>0</v>
      </c>
      <c r="AA129" t="str">
        <f>IFERROR(__xludf.DUMMYFUNCTION("SUBSTITUTE(REGEXREPLACE(REGEXREPLACE(REGEXREPLACE(REGEXREPLACE(REGEXREPLACE(REGEXREPLACE(E129,"","",),IF(Projections!$U$3="""",""PG"",),),IF(Projections!$V$3="""",""SG"",),),IF(Projections!$W$3="""",""SF"",),),IF(Projections!$X$3="""",""PF"",),),IF(Projec"&amp;"tions!$Y$3="""",""C"",),),""/"","""")"),"SGSF")</f>
        <v>SGSF</v>
      </c>
    </row>
    <row r="130">
      <c r="A130" s="29" t="str">
        <f>IF(Projections!$H$3,Draft!M8,"")</f>
        <v>Bobby Portis</v>
      </c>
      <c r="B130">
        <f>IFERROR(__xludf.DUMMYFUNCTION("""COMPUTED_VALUE"""),49.0)</f>
        <v>49</v>
      </c>
      <c r="C130" t="str">
        <f>IFERROR(__xludf.DUMMYFUNCTION("""COMPUTED_VALUE"""),"Jarrett Allen")</f>
        <v>Jarrett Allen</v>
      </c>
      <c r="D130">
        <f>IFERROR(__xludf.DUMMYFUNCTION("""COMPUTED_VALUE"""),74.0)</f>
        <v>74</v>
      </c>
      <c r="E130" t="str">
        <f>IFERROR(__xludf.DUMMYFUNCTION("""COMPUTED_VALUE"""),"C")</f>
        <v>C</v>
      </c>
      <c r="F130" s="37">
        <f>IFERROR(__xludf.DUMMYFUNCTION("""COMPUTED_VALUE"""),0.5126655664760271)</f>
        <v>0.5126655665</v>
      </c>
      <c r="G130" s="37">
        <f>IFERROR(__xludf.DUMMYFUNCTION("""COMPUTED_VALUE"""),-2.688061421872722)</f>
        <v>-2.688061422</v>
      </c>
      <c r="H130" s="37">
        <f>IFERROR(__xludf.DUMMYFUNCTION("""COMPUTED_VALUE"""),-3.200726988348749)</f>
        <v>-3.200726988</v>
      </c>
      <c r="I130" s="37">
        <f>IFERROR(__xludf.DUMMYFUNCTION("""COMPUTED_VALUE"""),15.9)</f>
        <v>15.9</v>
      </c>
      <c r="J130" s="37">
        <f>IFERROR(__xludf.DUMMYFUNCTION("""COMPUTED_VALUE"""),0.0)</f>
        <v>0</v>
      </c>
      <c r="K130" s="37">
        <f>IFERROR(__xludf.DUMMYFUNCTION("""COMPUTED_VALUE"""),10.4)</f>
        <v>10.4</v>
      </c>
      <c r="L130" s="37">
        <f>IFERROR(__xludf.DUMMYFUNCTION("""COMPUTED_VALUE"""),1.6)</f>
        <v>1.6</v>
      </c>
      <c r="M130" s="37">
        <f>IFERROR(__xludf.DUMMYFUNCTION("""COMPUTED_VALUE"""),0.8)</f>
        <v>0.8</v>
      </c>
      <c r="N130" s="37">
        <f>IFERROR(__xludf.DUMMYFUNCTION("""COMPUTED_VALUE"""),1.3)</f>
        <v>1.3</v>
      </c>
      <c r="O130" s="37">
        <f>IFERROR(__xludf.DUMMYFUNCTION("""COMPUTED_VALUE"""),66.3265306122449)</f>
        <v>66.32653061</v>
      </c>
      <c r="P130" s="37">
        <f>IFERROR(__xludf.DUMMYFUNCTION("""COMPUTED_VALUE"""),71.42857142857143)</f>
        <v>71.42857143</v>
      </c>
      <c r="Q130" s="37">
        <f>IFERROR(__xludf.DUMMYFUNCTION("""COMPUTED_VALUE"""),1.7)</f>
        <v>1.7</v>
      </c>
      <c r="R130" s="37">
        <f>IFERROR(__xludf.DUMMYFUNCTION("""COMPUTED_VALUE"""),-0.2804033094932172)</f>
        <v>-0.2804033095</v>
      </c>
      <c r="S130" s="37">
        <f>IFERROR(__xludf.DUMMYFUNCTION("""COMPUTED_VALUE"""),-1.6133511223939103)</f>
        <v>-1.613351122</v>
      </c>
      <c r="T130" s="37">
        <f>IFERROR(__xludf.DUMMYFUNCTION("""COMPUTED_VALUE"""),1.765737095697012)</f>
        <v>1.765737096</v>
      </c>
      <c r="U130" s="37">
        <f>IFERROR(__xludf.DUMMYFUNCTION("""COMPUTED_VALUE"""),-1.1996047894078214)</f>
        <v>-1.199604789</v>
      </c>
      <c r="V130" s="37">
        <f>IFERROR(__xludf.DUMMYFUNCTION("""COMPUTED_VALUE"""),-0.8340614571621854)</f>
        <v>-0.8340614572</v>
      </c>
      <c r="W130" s="37">
        <f>IFERROR(__xludf.DUMMYFUNCTION("""COMPUTED_VALUE"""),0.0)</f>
        <v>0</v>
      </c>
      <c r="X130" s="37">
        <f>IFERROR(__xludf.DUMMYFUNCTION("""COMPUTED_VALUE"""),0.0)</f>
        <v>0</v>
      </c>
      <c r="Y130" s="37">
        <f>IFERROR(__xludf.DUMMYFUNCTION("""COMPUTED_VALUE"""),-0.5263778391125997)</f>
        <v>-0.5263778391</v>
      </c>
      <c r="Z130" s="37">
        <f>IFERROR(__xludf.DUMMYFUNCTION("""COMPUTED_VALUE"""),0.0)</f>
        <v>0</v>
      </c>
      <c r="AA130" t="str">
        <f>IFERROR(__xludf.DUMMYFUNCTION("SUBSTITUTE(REGEXREPLACE(REGEXREPLACE(REGEXREPLACE(REGEXREPLACE(REGEXREPLACE(REGEXREPLACE(E130,"","",),IF(Projections!$U$3="""",""PG"",),),IF(Projections!$V$3="""",""SG"",),),IF(Projections!$W$3="""",""SF"",),),IF(Projections!$X$3="""",""PF"",),),IF(Projec"&amp;"tions!$Y$3="""",""C"",),),""/"","""")"),"C")</f>
        <v>C</v>
      </c>
    </row>
    <row r="131">
      <c r="A131" s="29" t="str">
        <f>IF(Projections!$H$3,Draft!M9,"")</f>
        <v>Ivica Zubac</v>
      </c>
      <c r="B131">
        <f>IFERROR(__xludf.DUMMYFUNCTION("""COMPUTED_VALUE"""),158.0)</f>
        <v>158</v>
      </c>
      <c r="C131" t="str">
        <f>IFERROR(__xludf.DUMMYFUNCTION("""COMPUTED_VALUE"""),"Bojan Bogdanovic")</f>
        <v>Bojan Bogdanovic</v>
      </c>
      <c r="D131">
        <f>IFERROR(__xludf.DUMMYFUNCTION("""COMPUTED_VALUE"""),72.0)</f>
        <v>72</v>
      </c>
      <c r="E131" t="str">
        <f>IFERROR(__xludf.DUMMYFUNCTION("""COMPUTED_VALUE"""),"PF")</f>
        <v>PF</v>
      </c>
      <c r="F131" s="37">
        <f>IFERROR(__xludf.DUMMYFUNCTION("""COMPUTED_VALUE"""),-3.711060298280466)</f>
        <v>-3.711060298</v>
      </c>
      <c r="G131" s="37">
        <f>IFERROR(__xludf.DUMMYFUNCTION("""COMPUTED_VALUE"""),-2.7371072960503917)</f>
        <v>-2.737107296</v>
      </c>
      <c r="H131" s="37">
        <f>IFERROR(__xludf.DUMMYFUNCTION("""COMPUTED_VALUE"""),0.9739530022300742)</f>
        <v>0.9739530022</v>
      </c>
      <c r="I131" s="37">
        <f>IFERROR(__xludf.DUMMYFUNCTION("""COMPUTED_VALUE"""),17.2)</f>
        <v>17.2</v>
      </c>
      <c r="J131" s="37">
        <f>IFERROR(__xludf.DUMMYFUNCTION("""COMPUTED_VALUE"""),2.5)</f>
        <v>2.5</v>
      </c>
      <c r="K131" s="37">
        <f>IFERROR(__xludf.DUMMYFUNCTION("""COMPUTED_VALUE"""),4.0)</f>
        <v>4</v>
      </c>
      <c r="L131" s="37">
        <f>IFERROR(__xludf.DUMMYFUNCTION("""COMPUTED_VALUE"""),1.6)</f>
        <v>1.6</v>
      </c>
      <c r="M131" s="37">
        <f>IFERROR(__xludf.DUMMYFUNCTION("""COMPUTED_VALUE"""),0.5)</f>
        <v>0.5</v>
      </c>
      <c r="N131" s="37">
        <f>IFERROR(__xludf.DUMMYFUNCTION("""COMPUTED_VALUE"""),0.0)</f>
        <v>0</v>
      </c>
      <c r="O131" s="37">
        <f>IFERROR(__xludf.DUMMYFUNCTION("""COMPUTED_VALUE"""),44.961240310077514)</f>
        <v>44.96124031</v>
      </c>
      <c r="P131" s="37">
        <f>IFERROR(__xludf.DUMMYFUNCTION("""COMPUTED_VALUE"""),86.11111111111111)</f>
        <v>86.11111111</v>
      </c>
      <c r="Q131" s="37">
        <f>IFERROR(__xludf.DUMMYFUNCTION("""COMPUTED_VALUE"""),1.6)</f>
        <v>1.6</v>
      </c>
      <c r="R131" s="37">
        <f>IFERROR(__xludf.DUMMYFUNCTION("""COMPUTED_VALUE"""),0.06576699674538325)</f>
        <v>0.06576699675</v>
      </c>
      <c r="S131" s="37">
        <f>IFERROR(__xludf.DUMMYFUNCTION("""COMPUTED_VALUE"""),0.8865377839776849)</f>
        <v>0.886537784</v>
      </c>
      <c r="T131" s="37">
        <f>IFERROR(__xludf.DUMMYFUNCTION("""COMPUTED_VALUE"""),-0.8468414837547641)</f>
        <v>-0.8468414838</v>
      </c>
      <c r="U131" s="37">
        <f>IFERROR(__xludf.DUMMYFUNCTION("""COMPUTED_VALUE"""),-1.1996047894078214)</f>
        <v>-1.199604789</v>
      </c>
      <c r="V131" s="37">
        <f>IFERROR(__xludf.DUMMYFUNCTION("""COMPUTED_VALUE"""),-2.0604610339763223)</f>
        <v>-2.060461034</v>
      </c>
      <c r="W131" s="37">
        <f>IFERROR(__xludf.DUMMYFUNCTION("""COMPUTED_VALUE"""),0.0)</f>
        <v>0</v>
      </c>
      <c r="X131" s="37">
        <f>IFERROR(__xludf.DUMMYFUNCTION("""COMPUTED_VALUE"""),0.0)</f>
        <v>0</v>
      </c>
      <c r="Y131" s="37">
        <f>IFERROR(__xludf.DUMMYFUNCTION("""COMPUTED_VALUE"""),0.4174952303654477)</f>
        <v>0.4174952304</v>
      </c>
      <c r="Z131" s="37">
        <f>IFERROR(__xludf.DUMMYFUNCTION("""COMPUTED_VALUE"""),0.0)</f>
        <v>0</v>
      </c>
      <c r="AA131" t="str">
        <f>IFERROR(__xludf.DUMMYFUNCTION("SUBSTITUTE(REGEXREPLACE(REGEXREPLACE(REGEXREPLACE(REGEXREPLACE(REGEXREPLACE(REGEXREPLACE(E131,"","",),IF(Projections!$U$3="""",""PG"",),),IF(Projections!$V$3="""",""SG"",),),IF(Projections!$W$3="""",""SF"",),),IF(Projections!$X$3="""",""PF"",),),IF(Projec"&amp;"tions!$Y$3="""",""C"",),),""/"","""")"),"PF")</f>
        <v>PF</v>
      </c>
    </row>
    <row r="132">
      <c r="A132" s="29" t="str">
        <f>IF(Projections!$H$3,Draft!M10,"")</f>
        <v>Bojan Bogdanovic</v>
      </c>
      <c r="B132">
        <f>IFERROR(__xludf.DUMMYFUNCTION("""COMPUTED_VALUE"""),132.0)</f>
        <v>132</v>
      </c>
      <c r="C132" t="str">
        <f>IFERROR(__xludf.DUMMYFUNCTION("""COMPUTED_VALUE"""),"Harrison Barnes")</f>
        <v>Harrison Barnes</v>
      </c>
      <c r="D132">
        <f>IFERROR(__xludf.DUMMYFUNCTION("""COMPUTED_VALUE"""),73.0)</f>
        <v>73</v>
      </c>
      <c r="E132" t="str">
        <f>IFERROR(__xludf.DUMMYFUNCTION("""COMPUTED_VALUE"""),"SF/PF")</f>
        <v>SF/PF</v>
      </c>
      <c r="F132" s="37">
        <f>IFERROR(__xludf.DUMMYFUNCTION("""COMPUTED_VALUE"""),-3.04584564820856)</f>
        <v>-3.045845648</v>
      </c>
      <c r="G132" s="37">
        <f>IFERROR(__xludf.DUMMYFUNCTION("""COMPUTED_VALUE"""),-2.760711964505103)</f>
        <v>-2.760711965</v>
      </c>
      <c r="H132" s="37">
        <f>IFERROR(__xludf.DUMMYFUNCTION("""COMPUTED_VALUE"""),0.28513368370345704)</f>
        <v>0.2851336837</v>
      </c>
      <c r="I132" s="37">
        <f>IFERROR(__xludf.DUMMYFUNCTION("""COMPUTED_VALUE"""),14.7)</f>
        <v>14.7</v>
      </c>
      <c r="J132" s="37">
        <f>IFERROR(__xludf.DUMMYFUNCTION("""COMPUTED_VALUE"""),1.7)</f>
        <v>1.7</v>
      </c>
      <c r="K132" s="37">
        <f>IFERROR(__xludf.DUMMYFUNCTION("""COMPUTED_VALUE"""),5.0)</f>
        <v>5</v>
      </c>
      <c r="L132" s="37">
        <f>IFERROR(__xludf.DUMMYFUNCTION("""COMPUTED_VALUE"""),2.3)</f>
        <v>2.3</v>
      </c>
      <c r="M132" s="37">
        <f>IFERROR(__xludf.DUMMYFUNCTION("""COMPUTED_VALUE"""),0.7)</f>
        <v>0.7</v>
      </c>
      <c r="N132" s="37">
        <f>IFERROR(__xludf.DUMMYFUNCTION("""COMPUTED_VALUE"""),0.2)</f>
        <v>0.2</v>
      </c>
      <c r="O132" s="37">
        <f>IFERROR(__xludf.DUMMYFUNCTION("""COMPUTED_VALUE"""),47.95918367346938)</f>
        <v>47.95918367</v>
      </c>
      <c r="P132" s="37">
        <f>IFERROR(__xludf.DUMMYFUNCTION("""COMPUTED_VALUE"""),82.22222222222223)</f>
        <v>82.22222222</v>
      </c>
      <c r="Q132" s="37">
        <f>IFERROR(__xludf.DUMMYFUNCTION("""COMPUTED_VALUE"""),1.4)</f>
        <v>1.4</v>
      </c>
      <c r="R132" s="37">
        <f>IFERROR(__xludf.DUMMYFUNCTION("""COMPUTED_VALUE"""),-0.5999451306365412)</f>
        <v>-0.5999451306</v>
      </c>
      <c r="S132" s="37">
        <f>IFERROR(__xludf.DUMMYFUNCTION("""COMPUTED_VALUE"""),0.08657333393877437)</f>
        <v>0.08657333394</v>
      </c>
      <c r="T132" s="37">
        <f>IFERROR(__xludf.DUMMYFUNCTION("""COMPUTED_VALUE"""),-0.43862608071542414)</f>
        <v>-0.4386260807</v>
      </c>
      <c r="U132" s="37">
        <f>IFERROR(__xludf.DUMMYFUNCTION("""COMPUTED_VALUE"""),-0.8001195418495975)</f>
        <v>-0.8001195418</v>
      </c>
      <c r="V132" s="37">
        <f>IFERROR(__xludf.DUMMYFUNCTION("""COMPUTED_VALUE"""),-1.2428613161002313)</f>
        <v>-1.242861316</v>
      </c>
      <c r="W132" s="37">
        <f>IFERROR(__xludf.DUMMYFUNCTION("""COMPUTED_VALUE"""),0.0)</f>
        <v>0</v>
      </c>
      <c r="X132" s="37">
        <f>IFERROR(__xludf.DUMMYFUNCTION("""COMPUTED_VALUE"""),0.0)</f>
        <v>0</v>
      </c>
      <c r="Y132" s="37">
        <f>IFERROR(__xludf.DUMMYFUNCTION("""COMPUTED_VALUE"""),0.23426677085791714)</f>
        <v>0.2342667709</v>
      </c>
      <c r="Z132" s="37">
        <f>IFERROR(__xludf.DUMMYFUNCTION("""COMPUTED_VALUE"""),0.0)</f>
        <v>0</v>
      </c>
      <c r="AA132" t="str">
        <f>IFERROR(__xludf.DUMMYFUNCTION("SUBSTITUTE(REGEXREPLACE(REGEXREPLACE(REGEXREPLACE(REGEXREPLACE(REGEXREPLACE(REGEXREPLACE(E132,"","",),IF(Projections!$U$3="""",""PG"",),),IF(Projections!$V$3="""",""SG"",),),IF(Projections!$W$3="""",""SF"",),),IF(Projections!$X$3="""",""PF"",),),IF(Projec"&amp;"tions!$Y$3="""",""C"",),),""/"","""")"),"SFPF")</f>
        <v>SFPF</v>
      </c>
    </row>
    <row r="133">
      <c r="A133" s="29" t="str">
        <f>IF(Projections!$H$3,Draft!M11,"")</f>
        <v>Isaiah Hartenstein</v>
      </c>
      <c r="B133">
        <f>IFERROR(__xludf.DUMMYFUNCTION("""COMPUTED_VALUE"""),106.0)</f>
        <v>106</v>
      </c>
      <c r="C133" t="str">
        <f>IFERROR(__xludf.DUMMYFUNCTION("""COMPUTED_VALUE"""),"Jarred Vanderbilt")</f>
        <v>Jarred Vanderbilt</v>
      </c>
      <c r="D133">
        <f>IFERROR(__xludf.DUMMYFUNCTION("""COMPUTED_VALUE"""),72.0)</f>
        <v>72</v>
      </c>
      <c r="E133" t="str">
        <f>IFERROR(__xludf.DUMMYFUNCTION("""COMPUTED_VALUE"""),"PF")</f>
        <v>PF</v>
      </c>
      <c r="F133" s="37">
        <f>IFERROR(__xludf.DUMMYFUNCTION("""COMPUTED_VALUE"""),-1.97434751335555)</f>
        <v>-1.974347513</v>
      </c>
      <c r="G133" s="37">
        <f>IFERROR(__xludf.DUMMYFUNCTION("""COMPUTED_VALUE"""),-2.9089187075288625)</f>
        <v>-2.908918708</v>
      </c>
      <c r="H133" s="37">
        <f>IFERROR(__xludf.DUMMYFUNCTION("""COMPUTED_VALUE"""),-0.9345711941733126)</f>
        <v>-0.9345711942</v>
      </c>
      <c r="I133" s="37">
        <f>IFERROR(__xludf.DUMMYFUNCTION("""COMPUTED_VALUE"""),8.9)</f>
        <v>8.9</v>
      </c>
      <c r="J133" s="37">
        <f>IFERROR(__xludf.DUMMYFUNCTION("""COMPUTED_VALUE"""),0.0)</f>
        <v>0</v>
      </c>
      <c r="K133" s="37">
        <f>IFERROR(__xludf.DUMMYFUNCTION("""COMPUTED_VALUE"""),9.4)</f>
        <v>9.4</v>
      </c>
      <c r="L133" s="37">
        <f>IFERROR(__xludf.DUMMYFUNCTION("""COMPUTED_VALUE"""),1.5)</f>
        <v>1.5</v>
      </c>
      <c r="M133" s="37">
        <f>IFERROR(__xludf.DUMMYFUNCTION("""COMPUTED_VALUE"""),1.3)</f>
        <v>1.3</v>
      </c>
      <c r="N133" s="37">
        <f>IFERROR(__xludf.DUMMYFUNCTION("""COMPUTED_VALUE"""),0.7)</f>
        <v>0.7</v>
      </c>
      <c r="O133" s="37">
        <f>IFERROR(__xludf.DUMMYFUNCTION("""COMPUTED_VALUE"""),57.57575757575758)</f>
        <v>57.57575758</v>
      </c>
      <c r="P133" s="37">
        <f>IFERROR(__xludf.DUMMYFUNCTION("""COMPUTED_VALUE"""),65.0)</f>
        <v>65</v>
      </c>
      <c r="Q133" s="37">
        <f>IFERROR(__xludf.DUMMYFUNCTION("""COMPUTED_VALUE"""),1.1)</f>
        <v>1.1</v>
      </c>
      <c r="R133" s="37">
        <f>IFERROR(__xludf.DUMMYFUNCTION("""COMPUTED_VALUE"""),-2.144397266162606)</f>
        <v>-2.144397266</v>
      </c>
      <c r="S133" s="37">
        <f>IFERROR(__xludf.DUMMYFUNCTION("""COMPUTED_VALUE"""),-1.6133511223939103)</f>
        <v>-1.613351122</v>
      </c>
      <c r="T133" s="37">
        <f>IFERROR(__xludf.DUMMYFUNCTION("""COMPUTED_VALUE"""),1.357521692657672)</f>
        <v>1.357521693</v>
      </c>
      <c r="U133" s="37">
        <f>IFERROR(__xludf.DUMMYFUNCTION("""COMPUTED_VALUE"""),-1.2566741104875678)</f>
        <v>-1.25667411</v>
      </c>
      <c r="V133" s="37">
        <f>IFERROR(__xludf.DUMMYFUNCTION("""COMPUTED_VALUE"""),1.209937837528042)</f>
        <v>1.209937838</v>
      </c>
      <c r="W133" s="37">
        <f>IFERROR(__xludf.DUMMYFUNCTION("""COMPUTED_VALUE"""),0.0)</f>
        <v>0</v>
      </c>
      <c r="X133" s="37">
        <f>IFERROR(__xludf.DUMMYFUNCTION("""COMPUTED_VALUE"""),0.0)</f>
        <v>0</v>
      </c>
      <c r="Y133" s="37">
        <f>IFERROR(__xludf.DUMMYFUNCTION("""COMPUTED_VALUE"""),-0.46195573867049244)</f>
        <v>-0.4619557387</v>
      </c>
      <c r="Z133" s="37">
        <f>IFERROR(__xludf.DUMMYFUNCTION("""COMPUTED_VALUE"""),0.0)</f>
        <v>0</v>
      </c>
      <c r="AA133" t="str">
        <f>IFERROR(__xludf.DUMMYFUNCTION("SUBSTITUTE(REGEXREPLACE(REGEXREPLACE(REGEXREPLACE(REGEXREPLACE(REGEXREPLACE(REGEXREPLACE(E133,"","",),IF(Projections!$U$3="""",""PG"",),),IF(Projections!$V$3="""",""SG"",),),IF(Projections!$W$3="""",""SF"",),),IF(Projections!$X$3="""",""PF"",),),IF(Projec"&amp;"tions!$Y$3="""",""C"",),),""/"","""")"),"PF")</f>
        <v>PF</v>
      </c>
    </row>
    <row r="134">
      <c r="A134" s="29" t="str">
        <f>IF(Projections!$H$3,Draft!M12,"")</f>
        <v>Cole Anthony</v>
      </c>
      <c r="B134">
        <f>IFERROR(__xludf.DUMMYFUNCTION("""COMPUTED_VALUE"""),173.0)</f>
        <v>173</v>
      </c>
      <c r="C134" t="str">
        <f>IFERROR(__xludf.DUMMYFUNCTION("""COMPUTED_VALUE"""),"Immanuel Quickley")</f>
        <v>Immanuel Quickley</v>
      </c>
      <c r="D134">
        <f>IFERROR(__xludf.DUMMYFUNCTION("""COMPUTED_VALUE"""),76.0)</f>
        <v>76</v>
      </c>
      <c r="E134" t="str">
        <f>IFERROR(__xludf.DUMMYFUNCTION("""COMPUTED_VALUE"""),"PG")</f>
        <v>PG</v>
      </c>
      <c r="F134" s="37">
        <f>IFERROR(__xludf.DUMMYFUNCTION("""COMPUTED_VALUE"""),-4.079061846098121)</f>
        <v>-4.079061846</v>
      </c>
      <c r="G134" s="37">
        <f>IFERROR(__xludf.DUMMYFUNCTION("""COMPUTED_VALUE"""),-2.949756739025076)</f>
        <v>-2.949756739</v>
      </c>
      <c r="H134" s="37">
        <f>IFERROR(__xludf.DUMMYFUNCTION("""COMPUTED_VALUE"""),1.1293051070730447)</f>
        <v>1.129305107</v>
      </c>
      <c r="I134" s="37">
        <f>IFERROR(__xludf.DUMMYFUNCTION("""COMPUTED_VALUE"""),12.3)</f>
        <v>12.3</v>
      </c>
      <c r="J134" s="37">
        <f>IFERROR(__xludf.DUMMYFUNCTION("""COMPUTED_VALUE"""),1.9)</f>
        <v>1.9</v>
      </c>
      <c r="K134" s="37">
        <f>IFERROR(__xludf.DUMMYFUNCTION("""COMPUTED_VALUE"""),3.3)</f>
        <v>3.3</v>
      </c>
      <c r="L134" s="37">
        <f>IFERROR(__xludf.DUMMYFUNCTION("""COMPUTED_VALUE"""),3.6)</f>
        <v>3.6</v>
      </c>
      <c r="M134" s="37">
        <f>IFERROR(__xludf.DUMMYFUNCTION("""COMPUTED_VALUE"""),0.7)</f>
        <v>0.7</v>
      </c>
      <c r="N134" s="37">
        <f>IFERROR(__xludf.DUMMYFUNCTION("""COMPUTED_VALUE"""),0.0)</f>
        <v>0</v>
      </c>
      <c r="O134" s="37">
        <f>IFERROR(__xludf.DUMMYFUNCTION("""COMPUTED_VALUE"""),41.66666666666667)</f>
        <v>41.66666667</v>
      </c>
      <c r="P134" s="37">
        <f>IFERROR(__xludf.DUMMYFUNCTION("""COMPUTED_VALUE"""),88.88888888888889)</f>
        <v>88.88888889</v>
      </c>
      <c r="Q134" s="37">
        <f>IFERROR(__xludf.DUMMYFUNCTION("""COMPUTED_VALUE"""),1.3)</f>
        <v>1.3</v>
      </c>
      <c r="R134" s="37">
        <f>IFERROR(__xludf.DUMMYFUNCTION("""COMPUTED_VALUE"""),-1.2390287729231884)</f>
        <v>-1.239028773</v>
      </c>
      <c r="S134" s="37">
        <f>IFERROR(__xludf.DUMMYFUNCTION("""COMPUTED_VALUE"""),0.28656444644850193)</f>
        <v>0.2865644464</v>
      </c>
      <c r="T134" s="37">
        <f>IFERROR(__xludf.DUMMYFUNCTION("""COMPUTED_VALUE"""),-1.1325922658823022)</f>
        <v>-1.132592266</v>
      </c>
      <c r="U134" s="37">
        <f>IFERROR(__xludf.DUMMYFUNCTION("""COMPUTED_VALUE"""),-0.058218367812895515)</f>
        <v>-0.05821836781</v>
      </c>
      <c r="V134" s="37">
        <f>IFERROR(__xludf.DUMMYFUNCTION("""COMPUTED_VALUE"""),-1.2428613161002313)</f>
        <v>-1.242861316</v>
      </c>
      <c r="W134" s="37">
        <f>IFERROR(__xludf.DUMMYFUNCTION("""COMPUTED_VALUE"""),0.0)</f>
        <v>0</v>
      </c>
      <c r="X134" s="37">
        <f>IFERROR(__xludf.DUMMYFUNCTION("""COMPUTED_VALUE"""),0.0)</f>
        <v>0</v>
      </c>
      <c r="Y134" s="37">
        <f>IFERROR(__xludf.DUMMYFUNCTION("""COMPUTED_VALUE"""),0.43637953724503936)</f>
        <v>0.4363795372</v>
      </c>
      <c r="Z134" s="37">
        <f>IFERROR(__xludf.DUMMYFUNCTION("""COMPUTED_VALUE"""),0.0)</f>
        <v>0</v>
      </c>
      <c r="AA134" t="str">
        <f>IFERROR(__xludf.DUMMYFUNCTION("SUBSTITUTE(REGEXREPLACE(REGEXREPLACE(REGEXREPLACE(REGEXREPLACE(REGEXREPLACE(REGEXREPLACE(E134,"","",),IF(Projections!$U$3="""",""PG"",),),IF(Projections!$V$3="""",""SG"",),),IF(Projections!$W$3="""",""SF"",),),IF(Projections!$X$3="""",""PF"",),),IF(Projec"&amp;"tions!$Y$3="""",""C"",),),""/"","""")"),"PG")</f>
        <v>PG</v>
      </c>
    </row>
    <row r="135">
      <c r="A135" s="29" t="str">
        <f>IF(Projections!$H$3,Draft!M13,"")</f>
        <v>Harrison Barnes</v>
      </c>
      <c r="B135">
        <f>IFERROR(__xludf.DUMMYFUNCTION("""COMPUTED_VALUE"""),139.0)</f>
        <v>139</v>
      </c>
      <c r="C135" t="str">
        <f>IFERROR(__xludf.DUMMYFUNCTION("""COMPUTED_VALUE"""),"Chuma Okeke")</f>
        <v>Chuma Okeke</v>
      </c>
      <c r="D135">
        <f>IFERROR(__xludf.DUMMYFUNCTION("""COMPUTED_VALUE"""),67.0)</f>
        <v>67</v>
      </c>
      <c r="E135" t="str">
        <f>IFERROR(__xludf.DUMMYFUNCTION("""COMPUTED_VALUE"""),"PF")</f>
        <v>PF</v>
      </c>
      <c r="F135" s="37">
        <f>IFERROR(__xludf.DUMMYFUNCTION("""COMPUTED_VALUE"""),-3.1729721277845986)</f>
        <v>-3.172972128</v>
      </c>
      <c r="G135" s="37">
        <f>IFERROR(__xludf.DUMMYFUNCTION("""COMPUTED_VALUE"""),-3.034567840121997)</f>
        <v>-3.03456784</v>
      </c>
      <c r="H135" s="37">
        <f>IFERROR(__xludf.DUMMYFUNCTION("""COMPUTED_VALUE"""),0.1384042876626017)</f>
        <v>0.1384042877</v>
      </c>
      <c r="I135" s="37">
        <f>IFERROR(__xludf.DUMMYFUNCTION("""COMPUTED_VALUE"""),7.9)</f>
        <v>7.9</v>
      </c>
      <c r="J135" s="37">
        <f>IFERROR(__xludf.DUMMYFUNCTION("""COMPUTED_VALUE"""),1.6)</f>
        <v>1.6</v>
      </c>
      <c r="K135" s="37">
        <f>IFERROR(__xludf.DUMMYFUNCTION("""COMPUTED_VALUE"""),4.6)</f>
        <v>4.6</v>
      </c>
      <c r="L135" s="37">
        <f>IFERROR(__xludf.DUMMYFUNCTION("""COMPUTED_VALUE"""),1.6)</f>
        <v>1.6</v>
      </c>
      <c r="M135" s="37">
        <f>IFERROR(__xludf.DUMMYFUNCTION("""COMPUTED_VALUE"""),1.3)</f>
        <v>1.3</v>
      </c>
      <c r="N135" s="37">
        <f>IFERROR(__xludf.DUMMYFUNCTION("""COMPUTED_VALUE"""),0.6)</f>
        <v>0.6</v>
      </c>
      <c r="O135" s="37">
        <f>IFERROR(__xludf.DUMMYFUNCTION("""COMPUTED_VALUE"""),40.0)</f>
        <v>40</v>
      </c>
      <c r="P135" s="37">
        <f>IFERROR(__xludf.DUMMYFUNCTION("""COMPUTED_VALUE"""),77.77777777777777)</f>
        <v>77.77777778</v>
      </c>
      <c r="Q135" s="37">
        <f>IFERROR(__xludf.DUMMYFUNCTION("""COMPUTED_VALUE"""),0.7)</f>
        <v>0.7</v>
      </c>
      <c r="R135" s="37">
        <f>IFERROR(__xludf.DUMMYFUNCTION("""COMPUTED_VALUE"""),-2.4106821171153756)</f>
        <v>-2.410682117</v>
      </c>
      <c r="S135" s="37">
        <f>IFERROR(__xludf.DUMMYFUNCTION("""COMPUTED_VALUE"""),-0.013422222316089305)</f>
        <v>-0.01342222232</v>
      </c>
      <c r="T135" s="37">
        <f>IFERROR(__xludf.DUMMYFUNCTION("""COMPUTED_VALUE"""),-0.6019122419311602)</f>
        <v>-0.6019122419</v>
      </c>
      <c r="U135" s="37">
        <f>IFERROR(__xludf.DUMMYFUNCTION("""COMPUTED_VALUE"""),-1.1996047894078214)</f>
        <v>-1.199604789</v>
      </c>
      <c r="V135" s="37">
        <f>IFERROR(__xludf.DUMMYFUNCTION("""COMPUTED_VALUE"""),1.209937837528042)</f>
        <v>1.209937838</v>
      </c>
      <c r="W135" s="37">
        <f>IFERROR(__xludf.DUMMYFUNCTION("""COMPUTED_VALUE"""),0.0)</f>
        <v>0</v>
      </c>
      <c r="X135" s="37">
        <f>IFERROR(__xludf.DUMMYFUNCTION("""COMPUTED_VALUE"""),0.0)</f>
        <v>0</v>
      </c>
      <c r="Y135" s="37">
        <f>IFERROR(__xludf.DUMMYFUNCTION("""COMPUTED_VALUE"""),-0.0188843068795923)</f>
        <v>-0.01888430688</v>
      </c>
      <c r="Z135" s="37">
        <f>IFERROR(__xludf.DUMMYFUNCTION("""COMPUTED_VALUE"""),0.0)</f>
        <v>0</v>
      </c>
      <c r="AA135" t="str">
        <f>IFERROR(__xludf.DUMMYFUNCTION("SUBSTITUTE(REGEXREPLACE(REGEXREPLACE(REGEXREPLACE(REGEXREPLACE(REGEXREPLACE(REGEXREPLACE(E135,"","",),IF(Projections!$U$3="""",""PG"",),),IF(Projections!$V$3="""",""SG"",),),IF(Projections!$W$3="""",""SF"",),),IF(Projections!$X$3="""",""PF"",),),IF(Projec"&amp;"tions!$Y$3="""",""C"",),),""/"","""")"),"PF")</f>
        <v>PF</v>
      </c>
    </row>
    <row r="136">
      <c r="A136" s="29" t="str">
        <f>IF(Projections!$H$3,Draft!N3,"")</f>
        <v/>
      </c>
      <c r="B136">
        <f>IFERROR(__xludf.DUMMYFUNCTION("""COMPUTED_VALUE"""),165.0)</f>
        <v>165</v>
      </c>
      <c r="C136" t="str">
        <f>IFERROR(__xludf.DUMMYFUNCTION("""COMPUTED_VALUE"""),"Will Barton")</f>
        <v>Will Barton</v>
      </c>
      <c r="D136">
        <f>IFERROR(__xludf.DUMMYFUNCTION("""COMPUTED_VALUE"""),60.0)</f>
        <v>60</v>
      </c>
      <c r="E136" t="str">
        <f>IFERROR(__xludf.DUMMYFUNCTION("""COMPUTED_VALUE"""),"PG/SG")</f>
        <v>PG/SG</v>
      </c>
      <c r="F136" s="37">
        <f>IFERROR(__xludf.DUMMYFUNCTION("""COMPUTED_VALUE"""),-3.884669330997389)</f>
        <v>-3.884669331</v>
      </c>
      <c r="G136" s="37">
        <f>IFERROR(__xludf.DUMMYFUNCTION("""COMPUTED_VALUE"""),-3.0971380863975897)</f>
        <v>-3.097138086</v>
      </c>
      <c r="H136" s="37">
        <f>IFERROR(__xludf.DUMMYFUNCTION("""COMPUTED_VALUE"""),0.7875312445997995)</f>
        <v>0.7875312446</v>
      </c>
      <c r="I136" s="37">
        <f>IFERROR(__xludf.DUMMYFUNCTION("""COMPUTED_VALUE"""),12.5)</f>
        <v>12.5</v>
      </c>
      <c r="J136" s="37">
        <f>IFERROR(__xludf.DUMMYFUNCTION("""COMPUTED_VALUE"""),1.9)</f>
        <v>1.9</v>
      </c>
      <c r="K136" s="37">
        <f>IFERROR(__xludf.DUMMYFUNCTION("""COMPUTED_VALUE"""),4.1)</f>
        <v>4.1</v>
      </c>
      <c r="L136" s="37">
        <f>IFERROR(__xludf.DUMMYFUNCTION("""COMPUTED_VALUE"""),3.4)</f>
        <v>3.4</v>
      </c>
      <c r="M136" s="37">
        <f>IFERROR(__xludf.DUMMYFUNCTION("""COMPUTED_VALUE"""),0.7)</f>
        <v>0.7</v>
      </c>
      <c r="N136" s="37">
        <f>IFERROR(__xludf.DUMMYFUNCTION("""COMPUTED_VALUE"""),0.3)</f>
        <v>0.3</v>
      </c>
      <c r="O136" s="37">
        <f>IFERROR(__xludf.DUMMYFUNCTION("""COMPUTED_VALUE"""),43.51851851851852)</f>
        <v>43.51851852</v>
      </c>
      <c r="P136" s="37">
        <f>IFERROR(__xludf.DUMMYFUNCTION("""COMPUTED_VALUE"""),80.0)</f>
        <v>80</v>
      </c>
      <c r="Q136" s="37">
        <f>IFERROR(__xludf.DUMMYFUNCTION("""COMPUTED_VALUE"""),1.6)</f>
        <v>1.6</v>
      </c>
      <c r="R136" s="37">
        <f>IFERROR(__xludf.DUMMYFUNCTION("""COMPUTED_VALUE"""),-1.1857718027326345)</f>
        <v>-1.185771803</v>
      </c>
      <c r="S136" s="37">
        <f>IFERROR(__xludf.DUMMYFUNCTION("""COMPUTED_VALUE"""),0.28656444644850193)</f>
        <v>0.2865644464</v>
      </c>
      <c r="T136" s="37">
        <f>IFERROR(__xludf.DUMMYFUNCTION("""COMPUTED_VALUE"""),-0.8060199434508303)</f>
        <v>-0.8060199435</v>
      </c>
      <c r="U136" s="37">
        <f>IFERROR(__xludf.DUMMYFUNCTION("""COMPUTED_VALUE"""),-0.17235700997238818)</f>
        <v>-0.17235701</v>
      </c>
      <c r="V136" s="37">
        <f>IFERROR(__xludf.DUMMYFUNCTION("""COMPUTED_VALUE"""),-1.2428613161002313)</f>
        <v>-1.242861316</v>
      </c>
      <c r="W136" s="37">
        <f>IFERROR(__xludf.DUMMYFUNCTION("""COMPUTED_VALUE"""),0.0)</f>
        <v>0</v>
      </c>
      <c r="X136" s="37">
        <f>IFERROR(__xludf.DUMMYFUNCTION("""COMPUTED_VALUE"""),0.0)</f>
        <v>0</v>
      </c>
      <c r="Y136" s="37">
        <f>IFERROR(__xludf.DUMMYFUNCTION("""COMPUTED_VALUE"""),0.023307539409992476)</f>
        <v>0.02330753941</v>
      </c>
      <c r="Z136" s="37">
        <f>IFERROR(__xludf.DUMMYFUNCTION("""COMPUTED_VALUE"""),0.0)</f>
        <v>0</v>
      </c>
      <c r="AA136" t="str">
        <f>IFERROR(__xludf.DUMMYFUNCTION("SUBSTITUTE(REGEXREPLACE(REGEXREPLACE(REGEXREPLACE(REGEXREPLACE(REGEXREPLACE(REGEXREPLACE(E136,"","",),IF(Projections!$U$3="""",""PG"",),),IF(Projections!$V$3="""",""SG"",),),IF(Projections!$W$3="""",""SF"",),),IF(Projections!$X$3="""",""PF"",),),IF(Projec"&amp;"tions!$Y$3="""",""C"",),),""/"","""")"),"PGSG")</f>
        <v>PGSG</v>
      </c>
    </row>
    <row r="137">
      <c r="A137" s="29" t="str">
        <f>IF(Projections!$H$3,Draft!N4,"")</f>
        <v/>
      </c>
      <c r="B137">
        <f>IFERROR(__xludf.DUMMYFUNCTION("""COMPUTED_VALUE"""),170.0)</f>
        <v>170</v>
      </c>
      <c r="C137" t="str">
        <f>IFERROR(__xludf.DUMMYFUNCTION("""COMPUTED_VALUE"""),"Bennedict Mathurin")</f>
        <v>Bennedict Mathurin</v>
      </c>
      <c r="D137">
        <f>IFERROR(__xludf.DUMMYFUNCTION("""COMPUTED_VALUE"""),77.0)</f>
        <v>77</v>
      </c>
      <c r="E137" t="str">
        <f>IFERROR(__xludf.DUMMYFUNCTION("""COMPUTED_VALUE"""),"SF")</f>
        <v>SF</v>
      </c>
      <c r="F137" s="37">
        <f>IFERROR(__xludf.DUMMYFUNCTION("""COMPUTED_VALUE"""),-4.023659401206252)</f>
        <v>-4.023659401</v>
      </c>
      <c r="G137" s="37">
        <f>IFERROR(__xludf.DUMMYFUNCTION("""COMPUTED_VALUE"""),-3.132123762245191)</f>
        <v>-3.132123762</v>
      </c>
      <c r="H137" s="37">
        <f>IFERROR(__xludf.DUMMYFUNCTION("""COMPUTED_VALUE"""),0.8915356389610607)</f>
        <v>0.891535639</v>
      </c>
      <c r="I137" s="37">
        <f>IFERROR(__xludf.DUMMYFUNCTION("""COMPUTED_VALUE"""),15.2)</f>
        <v>15.2</v>
      </c>
      <c r="J137" s="37">
        <f>IFERROR(__xludf.DUMMYFUNCTION("""COMPUTED_VALUE"""),1.9)</f>
        <v>1.9</v>
      </c>
      <c r="K137" s="37">
        <f>IFERROR(__xludf.DUMMYFUNCTION("""COMPUTED_VALUE"""),3.6)</f>
        <v>3.6</v>
      </c>
      <c r="L137" s="37">
        <f>IFERROR(__xludf.DUMMYFUNCTION("""COMPUTED_VALUE"""),1.8)</f>
        <v>1.8</v>
      </c>
      <c r="M137" s="37">
        <f>IFERROR(__xludf.DUMMYFUNCTION("""COMPUTED_VALUE"""),0.8)</f>
        <v>0.8</v>
      </c>
      <c r="N137" s="37">
        <f>IFERROR(__xludf.DUMMYFUNCTION("""COMPUTED_VALUE"""),0.3)</f>
        <v>0.3</v>
      </c>
      <c r="O137" s="37">
        <f>IFERROR(__xludf.DUMMYFUNCTION("""COMPUTED_VALUE"""),44.8)</f>
        <v>44.8</v>
      </c>
      <c r="P137" s="37">
        <f>IFERROR(__xludf.DUMMYFUNCTION("""COMPUTED_VALUE"""),78.57142857142858)</f>
        <v>78.57142857</v>
      </c>
      <c r="Q137" s="37">
        <f>IFERROR(__xludf.DUMMYFUNCTION("""COMPUTED_VALUE"""),1.6)</f>
        <v>1.6</v>
      </c>
      <c r="R137" s="37">
        <f>IFERROR(__xludf.DUMMYFUNCTION("""COMPUTED_VALUE"""),-0.4668027051601563)</f>
        <v>-0.4668027052</v>
      </c>
      <c r="S137" s="37">
        <f>IFERROR(__xludf.DUMMYFUNCTION("""COMPUTED_VALUE"""),0.28656444644850193)</f>
        <v>0.2865644464</v>
      </c>
      <c r="T137" s="37">
        <f>IFERROR(__xludf.DUMMYFUNCTION("""COMPUTED_VALUE"""),-1.0101276449705001)</f>
        <v>-1.010127645</v>
      </c>
      <c r="U137" s="37">
        <f>IFERROR(__xludf.DUMMYFUNCTION("""COMPUTED_VALUE"""),-1.085466147248329)</f>
        <v>-1.085466147</v>
      </c>
      <c r="V137" s="37">
        <f>IFERROR(__xludf.DUMMYFUNCTION("""COMPUTED_VALUE"""),-0.8340614571621854)</f>
        <v>-0.8340614572</v>
      </c>
      <c r="W137" s="37">
        <f>IFERROR(__xludf.DUMMYFUNCTION("""COMPUTED_VALUE"""),0.0)</f>
        <v>0</v>
      </c>
      <c r="X137" s="37">
        <f>IFERROR(__xludf.DUMMYFUNCTION("""COMPUTED_VALUE"""),0.0)</f>
        <v>0</v>
      </c>
      <c r="Y137" s="37">
        <f>IFERROR(__xludf.DUMMYFUNCTION("""COMPUTED_VALUE"""),-0.022230254152522107)</f>
        <v>-0.02223025415</v>
      </c>
      <c r="Z137" s="37">
        <f>IFERROR(__xludf.DUMMYFUNCTION("""COMPUTED_VALUE"""),0.0)</f>
        <v>0</v>
      </c>
      <c r="AA137" t="str">
        <f>IFERROR(__xludf.DUMMYFUNCTION("SUBSTITUTE(REGEXREPLACE(REGEXREPLACE(REGEXREPLACE(REGEXREPLACE(REGEXREPLACE(REGEXREPLACE(E137,"","",),IF(Projections!$U$3="""",""PG"",),),IF(Projections!$V$3="""",""SG"",),),IF(Projections!$W$3="""",""SF"",),),IF(Projections!$X$3="""",""PF"",),),IF(Projec"&amp;"tions!$Y$3="""",""C"",),),""/"","""")"),"SF")</f>
        <v>SF</v>
      </c>
    </row>
    <row r="138">
      <c r="A138" s="29" t="str">
        <f>IF(Projections!$H$3,Draft!N5,"")</f>
        <v/>
      </c>
      <c r="B138">
        <f>IFERROR(__xludf.DUMMYFUNCTION("""COMPUTED_VALUE"""),35.0)</f>
        <v>35</v>
      </c>
      <c r="C138" t="str">
        <f>IFERROR(__xludf.DUMMYFUNCTION("""COMPUTED_VALUE"""),"Myles Turner")</f>
        <v>Myles Turner</v>
      </c>
      <c r="D138">
        <f>IFERROR(__xludf.DUMMYFUNCTION("""COMPUTED_VALUE"""),67.0)</f>
        <v>67</v>
      </c>
      <c r="E138" t="str">
        <f>IFERROR(__xludf.DUMMYFUNCTION("""COMPUTED_VALUE"""),"PF/C")</f>
        <v>PF/C</v>
      </c>
      <c r="F138" s="37">
        <f>IFERROR(__xludf.DUMMYFUNCTION("""COMPUTED_VALUE"""),1.7134805660239676)</f>
        <v>1.713480566</v>
      </c>
      <c r="G138" s="37">
        <f>IFERROR(__xludf.DUMMYFUNCTION("""COMPUTED_VALUE"""),-3.1453112857167214)</f>
        <v>-3.145311286</v>
      </c>
      <c r="H138" s="37">
        <f>IFERROR(__xludf.DUMMYFUNCTION("""COMPUTED_VALUE"""),-4.858791851740689)</f>
        <v>-4.858791852</v>
      </c>
      <c r="I138" s="37">
        <f>IFERROR(__xludf.DUMMYFUNCTION("""COMPUTED_VALUE"""),13.5)</f>
        <v>13.5</v>
      </c>
      <c r="J138" s="37">
        <f>IFERROR(__xludf.DUMMYFUNCTION("""COMPUTED_VALUE"""),1.6)</f>
        <v>1.6</v>
      </c>
      <c r="K138" s="37">
        <f>IFERROR(__xludf.DUMMYFUNCTION("""COMPUTED_VALUE"""),7.7)</f>
        <v>7.7</v>
      </c>
      <c r="L138" s="37">
        <f>IFERROR(__xludf.DUMMYFUNCTION("""COMPUTED_VALUE"""),1.0)</f>
        <v>1</v>
      </c>
      <c r="M138" s="37">
        <f>IFERROR(__xludf.DUMMYFUNCTION("""COMPUTED_VALUE"""),0.7)</f>
        <v>0.7</v>
      </c>
      <c r="N138" s="37">
        <f>IFERROR(__xludf.DUMMYFUNCTION("""COMPUTED_VALUE"""),2.7)</f>
        <v>2.7</v>
      </c>
      <c r="O138" s="37">
        <f>IFERROR(__xludf.DUMMYFUNCTION("""COMPUTED_VALUE"""),48.543689320388346)</f>
        <v>48.54368932</v>
      </c>
      <c r="P138" s="37">
        <f>IFERROR(__xludf.DUMMYFUNCTION("""COMPUTED_VALUE"""),76.92307692307692)</f>
        <v>76.92307692</v>
      </c>
      <c r="Q138" s="37">
        <f>IFERROR(__xludf.DUMMYFUNCTION("""COMPUTED_VALUE"""),1.4)</f>
        <v>1.4</v>
      </c>
      <c r="R138" s="37">
        <f>IFERROR(__xludf.DUMMYFUNCTION("""COMPUTED_VALUE"""),-0.9194869517798647)</f>
        <v>-0.9194869518</v>
      </c>
      <c r="S138" s="37">
        <f>IFERROR(__xludf.DUMMYFUNCTION("""COMPUTED_VALUE"""),-0.013422222316089305)</f>
        <v>-0.01342222232</v>
      </c>
      <c r="T138" s="37">
        <f>IFERROR(__xludf.DUMMYFUNCTION("""COMPUTED_VALUE"""),0.663555507490794)</f>
        <v>0.6635555075</v>
      </c>
      <c r="U138" s="37">
        <f>IFERROR(__xludf.DUMMYFUNCTION("""COMPUTED_VALUE"""),-1.542020715886299)</f>
        <v>-1.542020716</v>
      </c>
      <c r="V138" s="37">
        <f>IFERROR(__xludf.DUMMYFUNCTION("""COMPUTED_VALUE"""),-1.2428613161002313)</f>
        <v>-1.242861316</v>
      </c>
      <c r="W138" s="37">
        <f>IFERROR(__xludf.DUMMYFUNCTION("""COMPUTED_VALUE"""),0.0)</f>
        <v>0</v>
      </c>
      <c r="X138" s="37">
        <f>IFERROR(__xludf.DUMMYFUNCTION("""COMPUTED_VALUE"""),0.0)</f>
        <v>0</v>
      </c>
      <c r="Y138" s="37">
        <f>IFERROR(__xludf.DUMMYFUNCTION("""COMPUTED_VALUE"""),-0.09107558712503065)</f>
        <v>-0.09107558713</v>
      </c>
      <c r="Z138" s="37">
        <f>IFERROR(__xludf.DUMMYFUNCTION("""COMPUTED_VALUE"""),0.0)</f>
        <v>0</v>
      </c>
      <c r="AA138" t="str">
        <f>IFERROR(__xludf.DUMMYFUNCTION("SUBSTITUTE(REGEXREPLACE(REGEXREPLACE(REGEXREPLACE(REGEXREPLACE(REGEXREPLACE(REGEXREPLACE(E138,"","",),IF(Projections!$U$3="""",""PG"",),),IF(Projections!$V$3="""",""SG"",),),IF(Projections!$W$3="""",""SF"",),),IF(Projections!$X$3="""",""PF"",),),IF(Projec"&amp;"tions!$Y$3="""",""C"",),),""/"","""")"),"PFC")</f>
        <v>PFC</v>
      </c>
    </row>
    <row r="139">
      <c r="A139" s="29" t="str">
        <f>IF(Projections!$H$3,Draft!N6,"")</f>
        <v/>
      </c>
      <c r="B139">
        <f>IFERROR(__xludf.DUMMYFUNCTION("""COMPUTED_VALUE"""),135.0)</f>
        <v>135</v>
      </c>
      <c r="C139" t="str">
        <f>IFERROR(__xludf.DUMMYFUNCTION("""COMPUTED_VALUE"""),"Patrick Beverley")</f>
        <v>Patrick Beverley</v>
      </c>
      <c r="D139">
        <f>IFERROR(__xludf.DUMMYFUNCTION("""COMPUTED_VALUE"""),68.0)</f>
        <v>68</v>
      </c>
      <c r="E139" t="str">
        <f>IFERROR(__xludf.DUMMYFUNCTION("""COMPUTED_VALUE"""),"PG")</f>
        <v>PG</v>
      </c>
      <c r="F139" s="37">
        <f>IFERROR(__xludf.DUMMYFUNCTION("""COMPUTED_VALUE"""),-3.1476955341449813)</f>
        <v>-3.147695534</v>
      </c>
      <c r="G139" s="37">
        <f>IFERROR(__xludf.DUMMYFUNCTION("""COMPUTED_VALUE"""),-3.1897841944960934)</f>
        <v>-3.189784194</v>
      </c>
      <c r="H139" s="37">
        <f>IFERROR(__xludf.DUMMYFUNCTION("""COMPUTED_VALUE"""),-0.04208866035111214)</f>
        <v>-0.04208866035</v>
      </c>
      <c r="I139" s="37">
        <f>IFERROR(__xludf.DUMMYFUNCTION("""COMPUTED_VALUE"""),8.3)</f>
        <v>8.3</v>
      </c>
      <c r="J139" s="37">
        <f>IFERROR(__xludf.DUMMYFUNCTION("""COMPUTED_VALUE"""),1.3)</f>
        <v>1.3</v>
      </c>
      <c r="K139" s="37">
        <f>IFERROR(__xludf.DUMMYFUNCTION("""COMPUTED_VALUE"""),3.8)</f>
        <v>3.8</v>
      </c>
      <c r="L139" s="37">
        <f>IFERROR(__xludf.DUMMYFUNCTION("""COMPUTED_VALUE"""),4.1)</f>
        <v>4.1</v>
      </c>
      <c r="M139" s="37">
        <f>IFERROR(__xludf.DUMMYFUNCTION("""COMPUTED_VALUE"""),1.1)</f>
        <v>1.1</v>
      </c>
      <c r="N139" s="37">
        <f>IFERROR(__xludf.DUMMYFUNCTION("""COMPUTED_VALUE"""),0.8)</f>
        <v>0.8</v>
      </c>
      <c r="O139" s="37">
        <f>IFERROR(__xludf.DUMMYFUNCTION("""COMPUTED_VALUE"""),41.7910447761194)</f>
        <v>41.79104478</v>
      </c>
      <c r="P139" s="37">
        <f>IFERROR(__xludf.DUMMYFUNCTION("""COMPUTED_VALUE"""),71.42857142857143)</f>
        <v>71.42857143</v>
      </c>
      <c r="Q139" s="37">
        <f>IFERROR(__xludf.DUMMYFUNCTION("""COMPUTED_VALUE"""),1.2)</f>
        <v>1.2</v>
      </c>
      <c r="R139" s="37">
        <f>IFERROR(__xludf.DUMMYFUNCTION("""COMPUTED_VALUE"""),-2.3041681767342674)</f>
        <v>-2.304168177</v>
      </c>
      <c r="S139" s="37">
        <f>IFERROR(__xludf.DUMMYFUNCTION("""COMPUTED_VALUE"""),-0.31340889108068076)</f>
        <v>-0.3134088911</v>
      </c>
      <c r="T139" s="37">
        <f>IFERROR(__xludf.DUMMYFUNCTION("""COMPUTED_VALUE"""),-0.9284845643626322)</f>
        <v>-0.9284845644</v>
      </c>
      <c r="U139" s="37">
        <f>IFERROR(__xludf.DUMMYFUNCTION("""COMPUTED_VALUE"""),0.22712823758583572)</f>
        <v>0.2271282376</v>
      </c>
      <c r="V139" s="37">
        <f>IFERROR(__xludf.DUMMYFUNCTION("""COMPUTED_VALUE"""),0.39233811965195126)</f>
        <v>0.3923381197</v>
      </c>
      <c r="W139" s="37">
        <f>IFERROR(__xludf.DUMMYFUNCTION("""COMPUTED_VALUE"""),0.0)</f>
        <v>0</v>
      </c>
      <c r="X139" s="37">
        <f>IFERROR(__xludf.DUMMYFUNCTION("""COMPUTED_VALUE"""),0.0)</f>
        <v>0</v>
      </c>
      <c r="Y139" s="37">
        <f>IFERROR(__xludf.DUMMYFUNCTION("""COMPUTED_VALUE"""),-0.26318891955629986)</f>
        <v>-0.2631889196</v>
      </c>
      <c r="Z139" s="37">
        <f>IFERROR(__xludf.DUMMYFUNCTION("""COMPUTED_VALUE"""),0.0)</f>
        <v>0</v>
      </c>
      <c r="AA139" t="str">
        <f>IFERROR(__xludf.DUMMYFUNCTION("SUBSTITUTE(REGEXREPLACE(REGEXREPLACE(REGEXREPLACE(REGEXREPLACE(REGEXREPLACE(REGEXREPLACE(E139,"","",),IF(Projections!$U$3="""",""PG"",),),IF(Projections!$V$3="""",""SG"",),),IF(Projections!$W$3="""",""SF"",),),IF(Projections!$X$3="""",""PF"",),),IF(Projec"&amp;"tions!$Y$3="""",""C"",),),""/"","""")"),"PG")</f>
        <v>PG</v>
      </c>
    </row>
    <row r="140">
      <c r="A140" s="29" t="str">
        <f>IF(Projections!$H$3,Draft!N7,"")</f>
        <v/>
      </c>
      <c r="B140">
        <f>IFERROR(__xludf.DUMMYFUNCTION("""COMPUTED_VALUE"""),179.0)</f>
        <v>179</v>
      </c>
      <c r="C140" t="str">
        <f>IFERROR(__xludf.DUMMYFUNCTION("""COMPUTED_VALUE"""),"Quentin Grimes")</f>
        <v>Quentin Grimes</v>
      </c>
      <c r="D140">
        <f>IFERROR(__xludf.DUMMYFUNCTION("""COMPUTED_VALUE"""),69.0)</f>
        <v>69</v>
      </c>
      <c r="E140" t="str">
        <f>IFERROR(__xludf.DUMMYFUNCTION("""COMPUTED_VALUE"""),"SG")</f>
        <v>SG</v>
      </c>
      <c r="F140" s="37">
        <f>IFERROR(__xludf.DUMMYFUNCTION("""COMPUTED_VALUE"""),-4.242830850978957)</f>
        <v>-4.242830851</v>
      </c>
      <c r="G140" s="37">
        <f>IFERROR(__xludf.DUMMYFUNCTION("""COMPUTED_VALUE"""),-3.214061781746177)</f>
        <v>-3.214061782</v>
      </c>
      <c r="H140" s="37">
        <f>IFERROR(__xludf.DUMMYFUNCTION("""COMPUTED_VALUE"""),1.02876906923278)</f>
        <v>1.028769069</v>
      </c>
      <c r="I140" s="37">
        <f>IFERROR(__xludf.DUMMYFUNCTION("""COMPUTED_VALUE"""),11.9)</f>
        <v>11.9</v>
      </c>
      <c r="J140" s="37">
        <f>IFERROR(__xludf.DUMMYFUNCTION("""COMPUTED_VALUE"""),2.4)</f>
        <v>2.4</v>
      </c>
      <c r="K140" s="37">
        <f>IFERROR(__xludf.DUMMYFUNCTION("""COMPUTED_VALUE"""),3.1)</f>
        <v>3.1</v>
      </c>
      <c r="L140" s="37">
        <f>IFERROR(__xludf.DUMMYFUNCTION("""COMPUTED_VALUE"""),1.5)</f>
        <v>1.5</v>
      </c>
      <c r="M140" s="37">
        <f>IFERROR(__xludf.DUMMYFUNCTION("""COMPUTED_VALUE"""),1.0)</f>
        <v>1</v>
      </c>
      <c r="N140" s="37">
        <f>IFERROR(__xludf.DUMMYFUNCTION("""COMPUTED_VALUE"""),0.3)</f>
        <v>0.3</v>
      </c>
      <c r="O140" s="37">
        <f>IFERROR(__xludf.DUMMYFUNCTION("""COMPUTED_VALUE"""),42.10526315789473)</f>
        <v>42.10526316</v>
      </c>
      <c r="P140" s="37">
        <f>IFERROR(__xludf.DUMMYFUNCTION("""COMPUTED_VALUE"""),73.68421052631578)</f>
        <v>73.68421053</v>
      </c>
      <c r="Q140" s="37">
        <f>IFERROR(__xludf.DUMMYFUNCTION("""COMPUTED_VALUE"""),0.9)</f>
        <v>0.9</v>
      </c>
      <c r="R140" s="37">
        <f>IFERROR(__xludf.DUMMYFUNCTION("""COMPUTED_VALUE"""),-1.3455427133042963)</f>
        <v>-1.345542713</v>
      </c>
      <c r="S140" s="37">
        <f>IFERROR(__xludf.DUMMYFUNCTION("""COMPUTED_VALUE"""),0.786542227722821)</f>
        <v>0.7865422277</v>
      </c>
      <c r="T140" s="37">
        <f>IFERROR(__xludf.DUMMYFUNCTION("""COMPUTED_VALUE"""),-1.21423534649017)</f>
        <v>-1.214235346</v>
      </c>
      <c r="U140" s="37">
        <f>IFERROR(__xludf.DUMMYFUNCTION("""COMPUTED_VALUE"""),-1.2566741104875678)</f>
        <v>-1.25667411</v>
      </c>
      <c r="V140" s="37">
        <f>IFERROR(__xludf.DUMMYFUNCTION("""COMPUTED_VALUE"""),-0.01646173928609459)</f>
        <v>-0.01646173929</v>
      </c>
      <c r="W140" s="37">
        <f>IFERROR(__xludf.DUMMYFUNCTION("""COMPUTED_VALUE"""),0.0)</f>
        <v>0</v>
      </c>
      <c r="X140" s="37">
        <f>IFERROR(__xludf.DUMMYFUNCTION("""COMPUTED_VALUE"""),0.0)</f>
        <v>0</v>
      </c>
      <c r="Y140" s="37">
        <f>IFERROR(__xludf.DUMMYFUNCTION("""COMPUTED_VALUE"""),-0.1676900999008692)</f>
        <v>-0.1676900999</v>
      </c>
      <c r="Z140" s="37">
        <f>IFERROR(__xludf.DUMMYFUNCTION("""COMPUTED_VALUE"""),0.0)</f>
        <v>0</v>
      </c>
      <c r="AA140" t="str">
        <f>IFERROR(__xludf.DUMMYFUNCTION("SUBSTITUTE(REGEXREPLACE(REGEXREPLACE(REGEXREPLACE(REGEXREPLACE(REGEXREPLACE(REGEXREPLACE(E140,"","",),IF(Projections!$U$3="""",""PG"",),),IF(Projections!$V$3="""",""SG"",),),IF(Projections!$W$3="""",""SF"",),),IF(Projections!$X$3="""",""PF"",),),IF(Projec"&amp;"tions!$Y$3="""",""C"",),),""/"","""")"),"SG")</f>
        <v>SG</v>
      </c>
    </row>
    <row r="141">
      <c r="A141" s="29" t="str">
        <f>IF(Projections!$H$3,Draft!N8,"")</f>
        <v/>
      </c>
      <c r="B141">
        <f>IFERROR(__xludf.DUMMYFUNCTION("""COMPUTED_VALUE"""),163.0)</f>
        <v>163</v>
      </c>
      <c r="C141" t="str">
        <f>IFERROR(__xludf.DUMMYFUNCTION("""COMPUTED_VALUE"""),"Killian Hayes")</f>
        <v>Killian Hayes</v>
      </c>
      <c r="D141">
        <f>IFERROR(__xludf.DUMMYFUNCTION("""COMPUTED_VALUE"""),67.0)</f>
        <v>67</v>
      </c>
      <c r="E141" t="str">
        <f>IFERROR(__xludf.DUMMYFUNCTION("""COMPUTED_VALUE"""),"PG")</f>
        <v>PG</v>
      </c>
      <c r="F141" s="37">
        <f>IFERROR(__xludf.DUMMYFUNCTION("""COMPUTED_VALUE"""),-3.8169585361562657)</f>
        <v>-3.816958536</v>
      </c>
      <c r="G141" s="37">
        <f>IFERROR(__xludf.DUMMYFUNCTION("""COMPUTED_VALUE"""),-3.3317407525785128)</f>
        <v>-3.331740753</v>
      </c>
      <c r="H141" s="37">
        <f>IFERROR(__xludf.DUMMYFUNCTION("""COMPUTED_VALUE"""),0.4852177835777529)</f>
        <v>0.4852177836</v>
      </c>
      <c r="I141" s="37">
        <f>IFERROR(__xludf.DUMMYFUNCTION("""COMPUTED_VALUE"""),7.8)</f>
        <v>7.8</v>
      </c>
      <c r="J141" s="37">
        <f>IFERROR(__xludf.DUMMYFUNCTION("""COMPUTED_VALUE"""),0.7)</f>
        <v>0.7</v>
      </c>
      <c r="K141" s="37">
        <f>IFERROR(__xludf.DUMMYFUNCTION("""COMPUTED_VALUE"""),3.2)</f>
        <v>3.2</v>
      </c>
      <c r="L141" s="37">
        <f>IFERROR(__xludf.DUMMYFUNCTION("""COMPUTED_VALUE"""),4.3)</f>
        <v>4.3</v>
      </c>
      <c r="M141" s="37">
        <f>IFERROR(__xludf.DUMMYFUNCTION("""COMPUTED_VALUE"""),1.2)</f>
        <v>1.2</v>
      </c>
      <c r="N141" s="37">
        <f>IFERROR(__xludf.DUMMYFUNCTION("""COMPUTED_VALUE"""),0.5)</f>
        <v>0.5</v>
      </c>
      <c r="O141" s="37">
        <f>IFERROR(__xludf.DUMMYFUNCTION("""COMPUTED_VALUE"""),40.789473684210535)</f>
        <v>40.78947368</v>
      </c>
      <c r="P141" s="37">
        <f>IFERROR(__xludf.DUMMYFUNCTION("""COMPUTED_VALUE"""),81.81818181818181)</f>
        <v>81.81818182</v>
      </c>
      <c r="Q141" s="37">
        <f>IFERROR(__xludf.DUMMYFUNCTION("""COMPUTED_VALUE"""),1.7)</f>
        <v>1.7</v>
      </c>
      <c r="R141" s="37">
        <f>IFERROR(__xludf.DUMMYFUNCTION("""COMPUTED_VALUE"""),-2.4373106022106525)</f>
        <v>-2.437310602</v>
      </c>
      <c r="S141" s="37">
        <f>IFERROR(__xludf.DUMMYFUNCTION("""COMPUTED_VALUE"""),-0.9133822286098637)</f>
        <v>-0.9133822286</v>
      </c>
      <c r="T141" s="37">
        <f>IFERROR(__xludf.DUMMYFUNCTION("""COMPUTED_VALUE"""),-1.173413806186236)</f>
        <v>-1.173413806</v>
      </c>
      <c r="U141" s="37">
        <f>IFERROR(__xludf.DUMMYFUNCTION("""COMPUTED_VALUE"""),0.3412668797453284)</f>
        <v>0.3412668797</v>
      </c>
      <c r="V141" s="37">
        <f>IFERROR(__xludf.DUMMYFUNCTION("""COMPUTED_VALUE"""),0.8011379785899962)</f>
        <v>0.8011379786</v>
      </c>
      <c r="W141" s="37">
        <f>IFERROR(__xludf.DUMMYFUNCTION("""COMPUTED_VALUE"""),0.0)</f>
        <v>0</v>
      </c>
      <c r="X141" s="37">
        <f>IFERROR(__xludf.DUMMYFUNCTION("""COMPUTED_VALUE"""),0.0)</f>
        <v>0</v>
      </c>
      <c r="Y141" s="37">
        <f>IFERROR(__xludf.DUMMYFUNCTION("""COMPUTED_VALUE"""),0.04996102609291556)</f>
        <v>0.04996102609</v>
      </c>
      <c r="Z141" s="37">
        <f>IFERROR(__xludf.DUMMYFUNCTION("""COMPUTED_VALUE"""),0.0)</f>
        <v>0</v>
      </c>
      <c r="AA141" t="str">
        <f>IFERROR(__xludf.DUMMYFUNCTION("SUBSTITUTE(REGEXREPLACE(REGEXREPLACE(REGEXREPLACE(REGEXREPLACE(REGEXREPLACE(REGEXREPLACE(E141,"","",),IF(Projections!$U$3="""",""PG"",),),IF(Projections!$V$3="""",""SG"",),),IF(Projections!$W$3="""",""SF"",),),IF(Projections!$X$3="""",""PF"",),),IF(Projec"&amp;"tions!$Y$3="""",""C"",),),""/"","""")"),"PG")</f>
        <v>PG</v>
      </c>
    </row>
    <row r="142">
      <c r="A142" s="29" t="str">
        <f>IF(Projections!$H$3,Draft!N9,"")</f>
        <v/>
      </c>
      <c r="B142">
        <f>IFERROR(__xludf.DUMMYFUNCTION("""COMPUTED_VALUE"""),189.0)</f>
        <v>189</v>
      </c>
      <c r="C142" t="str">
        <f>IFERROR(__xludf.DUMMYFUNCTION("""COMPUTED_VALUE"""),"Jaden Ivey")</f>
        <v>Jaden Ivey</v>
      </c>
      <c r="D142">
        <f>IFERROR(__xludf.DUMMYFUNCTION("""COMPUTED_VALUE"""),72.0)</f>
        <v>72</v>
      </c>
      <c r="E142" t="str">
        <f>IFERROR(__xludf.DUMMYFUNCTION("""COMPUTED_VALUE"""),"PG")</f>
        <v>PG</v>
      </c>
      <c r="F142" s="37">
        <f>IFERROR(__xludf.DUMMYFUNCTION("""COMPUTED_VALUE"""),-4.705814899117969)</f>
        <v>-4.705814899</v>
      </c>
      <c r="G142" s="37">
        <f>IFERROR(__xludf.DUMMYFUNCTION("""COMPUTED_VALUE"""),-3.4522017413043806)</f>
        <v>-3.452201741</v>
      </c>
      <c r="H142" s="37">
        <f>IFERROR(__xludf.DUMMYFUNCTION("""COMPUTED_VALUE"""),1.253613157813588)</f>
        <v>1.253613158</v>
      </c>
      <c r="I142" s="37">
        <f>IFERROR(__xludf.DUMMYFUNCTION("""COMPUTED_VALUE"""),16.0)</f>
        <v>16</v>
      </c>
      <c r="J142" s="37">
        <f>IFERROR(__xludf.DUMMYFUNCTION("""COMPUTED_VALUE"""),1.7)</f>
        <v>1.7</v>
      </c>
      <c r="K142" s="37">
        <f>IFERROR(__xludf.DUMMYFUNCTION("""COMPUTED_VALUE"""),3.5)</f>
        <v>3.5</v>
      </c>
      <c r="L142" s="37">
        <f>IFERROR(__xludf.DUMMYFUNCTION("""COMPUTED_VALUE"""),2.8)</f>
        <v>2.8</v>
      </c>
      <c r="M142" s="37">
        <f>IFERROR(__xludf.DUMMYFUNCTION("""COMPUTED_VALUE"""),0.7)</f>
        <v>0.7</v>
      </c>
      <c r="N142" s="37">
        <f>IFERROR(__xludf.DUMMYFUNCTION("""COMPUTED_VALUE"""),0.4)</f>
        <v>0.4</v>
      </c>
      <c r="O142" s="37">
        <f>IFERROR(__xludf.DUMMYFUNCTION("""COMPUTED_VALUE"""),44.44444444444445)</f>
        <v>44.44444444</v>
      </c>
      <c r="P142" s="37">
        <f>IFERROR(__xludf.DUMMYFUNCTION("""COMPUTED_VALUE"""),73.58490566037736)</f>
        <v>73.58490566</v>
      </c>
      <c r="Q142" s="37">
        <f>IFERROR(__xludf.DUMMYFUNCTION("""COMPUTED_VALUE"""),2.4)</f>
        <v>2.4</v>
      </c>
      <c r="R142" s="37">
        <f>IFERROR(__xludf.DUMMYFUNCTION("""COMPUTED_VALUE"""),-0.2537748243979403)</f>
        <v>-0.2537748244</v>
      </c>
      <c r="S142" s="37">
        <f>IFERROR(__xludf.DUMMYFUNCTION("""COMPUTED_VALUE"""),0.08657333393877437)</f>
        <v>0.08657333394</v>
      </c>
      <c r="T142" s="37">
        <f>IFERROR(__xludf.DUMMYFUNCTION("""COMPUTED_VALUE"""),-1.0509491852744342)</f>
        <v>-1.050949185</v>
      </c>
      <c r="U142" s="37">
        <f>IFERROR(__xludf.DUMMYFUNCTION("""COMPUTED_VALUE"""),-0.514772936450866)</f>
        <v>-0.5147729365</v>
      </c>
      <c r="V142" s="37">
        <f>IFERROR(__xludf.DUMMYFUNCTION("""COMPUTED_VALUE"""),-1.2428613161002313)</f>
        <v>-1.242861316</v>
      </c>
      <c r="W142" s="37">
        <f>IFERROR(__xludf.DUMMYFUNCTION("""COMPUTED_VALUE"""),0.0)</f>
        <v>0</v>
      </c>
      <c r="X142" s="37">
        <f>IFERROR(__xludf.DUMMYFUNCTION("""COMPUTED_VALUE"""),0.0)</f>
        <v>0</v>
      </c>
      <c r="Y142" s="37">
        <f>IFERROR(__xludf.DUMMYFUNCTION("""COMPUTED_VALUE"""),-0.4764168130196837)</f>
        <v>-0.476416813</v>
      </c>
      <c r="Z142" s="37">
        <f>IFERROR(__xludf.DUMMYFUNCTION("""COMPUTED_VALUE"""),0.0)</f>
        <v>0</v>
      </c>
      <c r="AA142" t="str">
        <f>IFERROR(__xludf.DUMMYFUNCTION("SUBSTITUTE(REGEXREPLACE(REGEXREPLACE(REGEXREPLACE(REGEXREPLACE(REGEXREPLACE(REGEXREPLACE(E142,"","",),IF(Projections!$U$3="""",""PG"",),),IF(Projections!$V$3="""",""SG"",),),IF(Projections!$W$3="""",""SF"",),),IF(Projections!$X$3="""",""PF"",),),IF(Projec"&amp;"tions!$Y$3="""",""C"",),),""/"","""")"),"PG")</f>
        <v>PG</v>
      </c>
    </row>
    <row r="143">
      <c r="A143" s="29" t="str">
        <f>IF(Projections!$H$3,Draft!N10,"")</f>
        <v/>
      </c>
      <c r="B143">
        <f>IFERROR(__xludf.DUMMYFUNCTION("""COMPUTED_VALUE"""),131.0)</f>
        <v>131</v>
      </c>
      <c r="C143" t="str">
        <f>IFERROR(__xludf.DUMMYFUNCTION("""COMPUTED_VALUE"""),"Otto Porter Jr.")</f>
        <v>Otto Porter Jr.</v>
      </c>
      <c r="D143">
        <f>IFERROR(__xludf.DUMMYFUNCTION("""COMPUTED_VALUE"""),63.0)</f>
        <v>63</v>
      </c>
      <c r="E143" t="str">
        <f>IFERROR(__xludf.DUMMYFUNCTION("""COMPUTED_VALUE"""),"SF")</f>
        <v>SF</v>
      </c>
      <c r="F143" s="37">
        <f>IFERROR(__xludf.DUMMYFUNCTION("""COMPUTED_VALUE"""),-3.0382835634253063)</f>
        <v>-3.038283563</v>
      </c>
      <c r="G143" s="37">
        <f>IFERROR(__xludf.DUMMYFUNCTION("""COMPUTED_VALUE"""),-3.484349946833367)</f>
        <v>-3.484349947</v>
      </c>
      <c r="H143" s="37">
        <f>IFERROR(__xludf.DUMMYFUNCTION("""COMPUTED_VALUE"""),-0.44606638340806093)</f>
        <v>-0.4460663834</v>
      </c>
      <c r="I143" s="37">
        <f>IFERROR(__xludf.DUMMYFUNCTION("""COMPUTED_VALUE"""),8.5)</f>
        <v>8.5</v>
      </c>
      <c r="J143" s="37">
        <f>IFERROR(__xludf.DUMMYFUNCTION("""COMPUTED_VALUE"""),1.3)</f>
        <v>1.3</v>
      </c>
      <c r="K143" s="37">
        <f>IFERROR(__xludf.DUMMYFUNCTION("""COMPUTED_VALUE"""),5.9)</f>
        <v>5.9</v>
      </c>
      <c r="L143" s="37">
        <f>IFERROR(__xludf.DUMMYFUNCTION("""COMPUTED_VALUE"""),1.5)</f>
        <v>1.5</v>
      </c>
      <c r="M143" s="37">
        <f>IFERROR(__xludf.DUMMYFUNCTION("""COMPUTED_VALUE"""),1.1)</f>
        <v>1.1</v>
      </c>
      <c r="N143" s="37">
        <f>IFERROR(__xludf.DUMMYFUNCTION("""COMPUTED_VALUE"""),0.5)</f>
        <v>0.5</v>
      </c>
      <c r="O143" s="37">
        <f>IFERROR(__xludf.DUMMYFUNCTION("""COMPUTED_VALUE"""),47.76119402985074)</f>
        <v>47.76119403</v>
      </c>
      <c r="P143" s="37">
        <f>IFERROR(__xludf.DUMMYFUNCTION("""COMPUTED_VALUE"""),80.0)</f>
        <v>80</v>
      </c>
      <c r="Q143" s="37">
        <f>IFERROR(__xludf.DUMMYFUNCTION("""COMPUTED_VALUE"""),0.6)</f>
        <v>0.6</v>
      </c>
      <c r="R143" s="37">
        <f>IFERROR(__xludf.DUMMYFUNCTION("""COMPUTED_VALUE"""),-2.2509112065437136)</f>
        <v>-2.250911207</v>
      </c>
      <c r="S143" s="37">
        <f>IFERROR(__xludf.DUMMYFUNCTION("""COMPUTED_VALUE"""),-0.31340889108068076)</f>
        <v>-0.3134088911</v>
      </c>
      <c r="T143" s="37">
        <f>IFERROR(__xludf.DUMMYFUNCTION("""COMPUTED_VALUE"""),-0.07123221798001796)</f>
        <v>-0.07123221798</v>
      </c>
      <c r="U143" s="37">
        <f>IFERROR(__xludf.DUMMYFUNCTION("""COMPUTED_VALUE"""),-1.2566741104875678)</f>
        <v>-1.25667411</v>
      </c>
      <c r="V143" s="37">
        <f>IFERROR(__xludf.DUMMYFUNCTION("""COMPUTED_VALUE"""),0.39233811965195126)</f>
        <v>0.3923381197</v>
      </c>
      <c r="W143" s="37">
        <f>IFERROR(__xludf.DUMMYFUNCTION("""COMPUTED_VALUE"""),0.0)</f>
        <v>0</v>
      </c>
      <c r="X143" s="37">
        <f>IFERROR(__xludf.DUMMYFUNCTION("""COMPUTED_VALUE"""),0.0)</f>
        <v>0</v>
      </c>
      <c r="Y143" s="37">
        <f>IFERROR(__xludf.DUMMYFUNCTION("""COMPUTED_VALUE"""),0.015538359606661832)</f>
        <v>0.01553835961</v>
      </c>
      <c r="Z143" s="37">
        <f>IFERROR(__xludf.DUMMYFUNCTION("""COMPUTED_VALUE"""),0.0)</f>
        <v>0</v>
      </c>
      <c r="AA143" t="str">
        <f>IFERROR(__xludf.DUMMYFUNCTION("SUBSTITUTE(REGEXREPLACE(REGEXREPLACE(REGEXREPLACE(REGEXREPLACE(REGEXREPLACE(REGEXREPLACE(E143,"","",),IF(Projections!$U$3="""",""PG"",),),IF(Projections!$V$3="""",""SG"",),),IF(Projections!$W$3="""",""SF"",),),IF(Projections!$X$3="""",""PF"",),),IF(Projec"&amp;"tions!$Y$3="""",""C"",),),""/"","""")"),"SF")</f>
        <v>SF</v>
      </c>
    </row>
    <row r="144">
      <c r="A144" s="29" t="str">
        <f>IF(Projections!$H$3,Draft!N11,"")</f>
        <v/>
      </c>
      <c r="B144">
        <f>IFERROR(__xludf.DUMMYFUNCTION("""COMPUTED_VALUE"""),181.0)</f>
        <v>181</v>
      </c>
      <c r="C144" t="str">
        <f>IFERROR(__xludf.DUMMYFUNCTION("""COMPUTED_VALUE"""),"Josh Hart")</f>
        <v>Josh Hart</v>
      </c>
      <c r="D144">
        <f>IFERROR(__xludf.DUMMYFUNCTION("""COMPUTED_VALUE"""),68.0)</f>
        <v>68</v>
      </c>
      <c r="E144" t="str">
        <f>IFERROR(__xludf.DUMMYFUNCTION("""COMPUTED_VALUE"""),"SG/SF")</f>
        <v>SG/SF</v>
      </c>
      <c r="F144" s="37">
        <f>IFERROR(__xludf.DUMMYFUNCTION("""COMPUTED_VALUE"""),-4.308329282566006)</f>
        <v>-4.308329283</v>
      </c>
      <c r="G144" s="37">
        <f>IFERROR(__xludf.DUMMYFUNCTION("""COMPUTED_VALUE"""),-3.521113261953217)</f>
        <v>-3.521113262</v>
      </c>
      <c r="H144" s="37">
        <f>IFERROR(__xludf.DUMMYFUNCTION("""COMPUTED_VALUE"""),0.7872160206127887)</f>
        <v>0.7872160206</v>
      </c>
      <c r="I144" s="37">
        <f>IFERROR(__xludf.DUMMYFUNCTION("""COMPUTED_VALUE"""),11.8)</f>
        <v>11.8</v>
      </c>
      <c r="J144" s="37">
        <f>IFERROR(__xludf.DUMMYFUNCTION("""COMPUTED_VALUE"""),1.2)</f>
        <v>1.2</v>
      </c>
      <c r="K144" s="37">
        <f>IFERROR(__xludf.DUMMYFUNCTION("""COMPUTED_VALUE"""),5.0)</f>
        <v>5</v>
      </c>
      <c r="L144" s="37">
        <f>IFERROR(__xludf.DUMMYFUNCTION("""COMPUTED_VALUE"""),2.2)</f>
        <v>2.2</v>
      </c>
      <c r="M144" s="37">
        <f>IFERROR(__xludf.DUMMYFUNCTION("""COMPUTED_VALUE"""),0.9)</f>
        <v>0.9</v>
      </c>
      <c r="N144" s="37">
        <f>IFERROR(__xludf.DUMMYFUNCTION("""COMPUTED_VALUE"""),0.2)</f>
        <v>0.2</v>
      </c>
      <c r="O144" s="37">
        <f>IFERROR(__xludf.DUMMYFUNCTION("""COMPUTED_VALUE"""),44.44444444444444)</f>
        <v>44.44444444</v>
      </c>
      <c r="P144" s="37">
        <f>IFERROR(__xludf.DUMMYFUNCTION("""COMPUTED_VALUE"""),78.7878787878788)</f>
        <v>78.78787879</v>
      </c>
      <c r="Q144" s="37">
        <f>IFERROR(__xludf.DUMMYFUNCTION("""COMPUTED_VALUE"""),1.8)</f>
        <v>1.8</v>
      </c>
      <c r="R144" s="37">
        <f>IFERROR(__xludf.DUMMYFUNCTION("""COMPUTED_VALUE"""),-1.3721711983995732)</f>
        <v>-1.372171198</v>
      </c>
      <c r="S144" s="37">
        <f>IFERROR(__xludf.DUMMYFUNCTION("""COMPUTED_VALUE"""),-0.41340444733554466)</f>
        <v>-0.4134044473</v>
      </c>
      <c r="T144" s="37">
        <f>IFERROR(__xludf.DUMMYFUNCTION("""COMPUTED_VALUE"""),-0.43862608071542414)</f>
        <v>-0.4386260807</v>
      </c>
      <c r="U144" s="37">
        <f>IFERROR(__xludf.DUMMYFUNCTION("""COMPUTED_VALUE"""),-0.8571888629293436)</f>
        <v>-0.8571888629</v>
      </c>
      <c r="V144" s="37">
        <f>IFERROR(__xludf.DUMMYFUNCTION("""COMPUTED_VALUE"""),-0.42526159822414)</f>
        <v>-0.4252615982</v>
      </c>
      <c r="W144" s="37">
        <f>IFERROR(__xludf.DUMMYFUNCTION("""COMPUTED_VALUE"""),0.0)</f>
        <v>0</v>
      </c>
      <c r="X144" s="37">
        <f>IFERROR(__xludf.DUMMYFUNCTION("""COMPUTED_VALUE"""),0.0)</f>
        <v>0</v>
      </c>
      <c r="Y144" s="37">
        <f>IFERROR(__xludf.DUMMYFUNCTION("""COMPUTED_VALUE"""),-0.014461074349191244)</f>
        <v>-0.01446107435</v>
      </c>
      <c r="Z144" s="37">
        <f>IFERROR(__xludf.DUMMYFUNCTION("""COMPUTED_VALUE"""),0.0)</f>
        <v>0</v>
      </c>
      <c r="AA144" t="str">
        <f>IFERROR(__xludf.DUMMYFUNCTION("SUBSTITUTE(REGEXREPLACE(REGEXREPLACE(REGEXREPLACE(REGEXREPLACE(REGEXREPLACE(REGEXREPLACE(E144,"","",),IF(Projections!$U$3="""",""PG"",),),IF(Projections!$V$3="""",""SG"",),),IF(Projections!$W$3="""",""SF"",),),IF(Projections!$X$3="""",""PF"",),),IF(Projec"&amp;"tions!$Y$3="""",""C"",),),""/"","""")"),"SGSF")</f>
        <v>SGSF</v>
      </c>
    </row>
    <row r="145">
      <c r="A145" s="29" t="str">
        <f>IF(Projections!$H$3,Draft!N12,"")</f>
        <v/>
      </c>
      <c r="B145">
        <f>IFERROR(__xludf.DUMMYFUNCTION("""COMPUTED_VALUE"""),104.0)</f>
        <v>104</v>
      </c>
      <c r="C145" t="str">
        <f>IFERROR(__xludf.DUMMYFUNCTION("""COMPUTED_VALUE"""),"Al Horford")</f>
        <v>Al Horford</v>
      </c>
      <c r="D145">
        <f>IFERROR(__xludf.DUMMYFUNCTION("""COMPUTED_VALUE"""),61.0)</f>
        <v>61</v>
      </c>
      <c r="E145" t="str">
        <f>IFERROR(__xludf.DUMMYFUNCTION("""COMPUTED_VALUE"""),"PF/C")</f>
        <v>PF/C</v>
      </c>
      <c r="F145" s="37">
        <f>IFERROR(__xludf.DUMMYFUNCTION("""COMPUTED_VALUE"""),-1.9489707079538987)</f>
        <v>-1.948970708</v>
      </c>
      <c r="G145" s="37">
        <f>IFERROR(__xludf.DUMMYFUNCTION("""COMPUTED_VALUE"""),-3.521634257889708)</f>
        <v>-3.521634258</v>
      </c>
      <c r="H145" s="37">
        <f>IFERROR(__xludf.DUMMYFUNCTION("""COMPUTED_VALUE"""),-1.5726635499358093)</f>
        <v>-1.57266355</v>
      </c>
      <c r="I145" s="37">
        <f>IFERROR(__xludf.DUMMYFUNCTION("""COMPUTED_VALUE"""),9.8)</f>
        <v>9.8</v>
      </c>
      <c r="J145" s="37">
        <f>IFERROR(__xludf.DUMMYFUNCTION("""COMPUTED_VALUE"""),1.2)</f>
        <v>1.2</v>
      </c>
      <c r="K145" s="37">
        <f>IFERROR(__xludf.DUMMYFUNCTION("""COMPUTED_VALUE"""),6.9)</f>
        <v>6.9</v>
      </c>
      <c r="L145" s="37">
        <f>IFERROR(__xludf.DUMMYFUNCTION("""COMPUTED_VALUE"""),3.2)</f>
        <v>3.2</v>
      </c>
      <c r="M145" s="37">
        <f>IFERROR(__xludf.DUMMYFUNCTION("""COMPUTED_VALUE"""),0.7)</f>
        <v>0.7</v>
      </c>
      <c r="N145" s="37">
        <f>IFERROR(__xludf.DUMMYFUNCTION("""COMPUTED_VALUE"""),1.1)</f>
        <v>1.1</v>
      </c>
      <c r="O145" s="37">
        <f>IFERROR(__xludf.DUMMYFUNCTION("""COMPUTED_VALUE"""),46.835443037974684)</f>
        <v>46.83544304</v>
      </c>
      <c r="P145" s="37">
        <f>IFERROR(__xludf.DUMMYFUNCTION("""COMPUTED_VALUE"""),78.57142857142858)</f>
        <v>78.57142857</v>
      </c>
      <c r="Q145" s="37">
        <f>IFERROR(__xludf.DUMMYFUNCTION("""COMPUTED_VALUE"""),0.9)</f>
        <v>0.9</v>
      </c>
      <c r="R145" s="37">
        <f>IFERROR(__xludf.DUMMYFUNCTION("""COMPUTED_VALUE"""),-1.9047409003051128)</f>
        <v>-1.9047409</v>
      </c>
      <c r="S145" s="37">
        <f>IFERROR(__xludf.DUMMYFUNCTION("""COMPUTED_VALUE"""),-0.41340444733554466)</f>
        <v>-0.4134044473</v>
      </c>
      <c r="T145" s="37">
        <f>IFERROR(__xludf.DUMMYFUNCTION("""COMPUTED_VALUE"""),0.33698318505932207)</f>
        <v>0.3369831851</v>
      </c>
      <c r="U145" s="37">
        <f>IFERROR(__xludf.DUMMYFUNCTION("""COMPUTED_VALUE"""),-0.2864956521318806)</f>
        <v>-0.2864956521</v>
      </c>
      <c r="V145" s="37">
        <f>IFERROR(__xludf.DUMMYFUNCTION("""COMPUTED_VALUE"""),-1.2428613161002313)</f>
        <v>-1.242861316</v>
      </c>
      <c r="W145" s="37">
        <f>IFERROR(__xludf.DUMMYFUNCTION("""COMPUTED_VALUE"""),0.0)</f>
        <v>0</v>
      </c>
      <c r="X145" s="37">
        <f>IFERROR(__xludf.DUMMYFUNCTION("""COMPUTED_VALUE"""),0.0)</f>
        <v>0</v>
      </c>
      <c r="Y145" s="37">
        <f>IFERROR(__xludf.DUMMYFUNCTION("""COMPUTED_VALUE"""),-0.011115127076261054)</f>
        <v>-0.01111512708</v>
      </c>
      <c r="Z145" s="37">
        <f>IFERROR(__xludf.DUMMYFUNCTION("""COMPUTED_VALUE"""),0.0)</f>
        <v>0</v>
      </c>
      <c r="AA145" t="str">
        <f>IFERROR(__xludf.DUMMYFUNCTION("SUBSTITUTE(REGEXREPLACE(REGEXREPLACE(REGEXREPLACE(REGEXREPLACE(REGEXREPLACE(REGEXREPLACE(E145,"","",),IF(Projections!$U$3="""",""PG"",),),IF(Projections!$V$3="""",""SG"",),),IF(Projections!$W$3="""",""SF"",),),IF(Projections!$X$3="""",""PF"",),),IF(Projec"&amp;"tions!$Y$3="""",""C"",),),""/"","""")"),"PFC")</f>
        <v>PFC</v>
      </c>
    </row>
    <row r="146">
      <c r="A146" s="29" t="str">
        <f>IF(Projections!$H$3,Draft!N13,"")</f>
        <v>Markelle Fultz</v>
      </c>
      <c r="B146">
        <f>IFERROR(__xludf.DUMMYFUNCTION("""COMPUTED_VALUE"""),112.0)</f>
        <v>112</v>
      </c>
      <c r="C146" t="str">
        <f>IFERROR(__xludf.DUMMYFUNCTION("""COMPUTED_VALUE"""),"Keegan Murray")</f>
        <v>Keegan Murray</v>
      </c>
      <c r="D146">
        <f>IFERROR(__xludf.DUMMYFUNCTION("""COMPUTED_VALUE"""),66.0)</f>
        <v>66</v>
      </c>
      <c r="E146" t="str">
        <f>IFERROR(__xludf.DUMMYFUNCTION("""COMPUTED_VALUE"""),"PF")</f>
        <v>PF</v>
      </c>
      <c r="F146" s="37">
        <f>IFERROR(__xludf.DUMMYFUNCTION("""COMPUTED_VALUE"""),-2.1652533722162226)</f>
        <v>-2.165253372</v>
      </c>
      <c r="G146" s="37">
        <f>IFERROR(__xludf.DUMMYFUNCTION("""COMPUTED_VALUE"""),-3.5346781686107356)</f>
        <v>-3.534678169</v>
      </c>
      <c r="H146" s="37">
        <f>IFERROR(__xludf.DUMMYFUNCTION("""COMPUTED_VALUE"""),-1.369424796394513)</f>
        <v>-1.369424796</v>
      </c>
      <c r="I146" s="37">
        <f>IFERROR(__xludf.DUMMYFUNCTION("""COMPUTED_VALUE"""),16.2)</f>
        <v>16.2</v>
      </c>
      <c r="J146" s="37">
        <f>IFERROR(__xludf.DUMMYFUNCTION("""COMPUTED_VALUE"""),1.3)</f>
        <v>1.3</v>
      </c>
      <c r="K146" s="37">
        <f>IFERROR(__xludf.DUMMYFUNCTION("""COMPUTED_VALUE"""),6.0)</f>
        <v>6</v>
      </c>
      <c r="L146" s="37">
        <f>IFERROR(__xludf.DUMMYFUNCTION("""COMPUTED_VALUE"""),1.0)</f>
        <v>1</v>
      </c>
      <c r="M146" s="37">
        <f>IFERROR(__xludf.DUMMYFUNCTION("""COMPUTED_VALUE"""),0.7)</f>
        <v>0.7</v>
      </c>
      <c r="N146" s="37">
        <f>IFERROR(__xludf.DUMMYFUNCTION("""COMPUTED_VALUE"""),1.0)</f>
        <v>1</v>
      </c>
      <c r="O146" s="37">
        <f>IFERROR(__xludf.DUMMYFUNCTION("""COMPUTED_VALUE"""),51.28205128205129)</f>
        <v>51.28205128</v>
      </c>
      <c r="P146" s="37">
        <f>IFERROR(__xludf.DUMMYFUNCTION("""COMPUTED_VALUE"""),75.67567567567566)</f>
        <v>75.67567568</v>
      </c>
      <c r="Q146" s="37">
        <f>IFERROR(__xludf.DUMMYFUNCTION("""COMPUTED_VALUE"""),1.0)</f>
        <v>1</v>
      </c>
      <c r="R146" s="37">
        <f>IFERROR(__xludf.DUMMYFUNCTION("""COMPUTED_VALUE"""),-0.20051785420738652)</f>
        <v>-0.2005178542</v>
      </c>
      <c r="S146" s="37">
        <f>IFERROR(__xludf.DUMMYFUNCTION("""COMPUTED_VALUE"""),-0.31340889108068076)</f>
        <v>-0.3134088911</v>
      </c>
      <c r="T146" s="37">
        <f>IFERROR(__xludf.DUMMYFUNCTION("""COMPUTED_VALUE"""),-0.030410677676084106)</f>
        <v>-0.03041067768</v>
      </c>
      <c r="U146" s="37">
        <f>IFERROR(__xludf.DUMMYFUNCTION("""COMPUTED_VALUE"""),-1.542020715886299)</f>
        <v>-1.542020716</v>
      </c>
      <c r="V146" s="37">
        <f>IFERROR(__xludf.DUMMYFUNCTION("""COMPUTED_VALUE"""),-1.2428613161002313)</f>
        <v>-1.242861316</v>
      </c>
      <c r="W146" s="37">
        <f>IFERROR(__xludf.DUMMYFUNCTION("""COMPUTED_VALUE"""),0.0)</f>
        <v>0</v>
      </c>
      <c r="X146" s="37">
        <f>IFERROR(__xludf.DUMMYFUNCTION("""COMPUTED_VALUE"""),0.0)</f>
        <v>0</v>
      </c>
      <c r="Y146" s="37">
        <f>IFERROR(__xludf.DUMMYFUNCTION("""COMPUTED_VALUE"""),-0.2054587136600538)</f>
        <v>-0.2054587137</v>
      </c>
      <c r="Z146" s="37">
        <f>IFERROR(__xludf.DUMMYFUNCTION("""COMPUTED_VALUE"""),0.0)</f>
        <v>0</v>
      </c>
      <c r="AA146" t="str">
        <f>IFERROR(__xludf.DUMMYFUNCTION("SUBSTITUTE(REGEXREPLACE(REGEXREPLACE(REGEXREPLACE(REGEXREPLACE(REGEXREPLACE(REGEXREPLACE(E146,"","",),IF(Projections!$U$3="""",""PG"",),),IF(Projections!$V$3="""",""SG"",),),IF(Projections!$W$3="""",""SF"",),),IF(Projections!$X$3="""",""PF"",),),IF(Projec"&amp;"tions!$Y$3="""",""C"",),),""/"","""")"),"PF")</f>
        <v>PF</v>
      </c>
    </row>
    <row r="147">
      <c r="A147" s="29" t="str">
        <f>IF(Projections!$H$3,Draft!N14,"")</f>
        <v>Alex Caruso</v>
      </c>
      <c r="B147">
        <f>IFERROR(__xludf.DUMMYFUNCTION("""COMPUTED_VALUE"""),164.0)</f>
        <v>164</v>
      </c>
      <c r="C147" t="str">
        <f>IFERROR(__xludf.DUMMYFUNCTION("""COMPUTED_VALUE"""),"Pat Connaughton")</f>
        <v>Pat Connaughton</v>
      </c>
      <c r="D147">
        <f>IFERROR(__xludf.DUMMYFUNCTION("""COMPUTED_VALUE"""),66.0)</f>
        <v>66</v>
      </c>
      <c r="E147" t="str">
        <f>IFERROR(__xludf.DUMMYFUNCTION("""COMPUTED_VALUE"""),"SG/SF")</f>
        <v>SG/SF</v>
      </c>
      <c r="F147" s="37">
        <f>IFERROR(__xludf.DUMMYFUNCTION("""COMPUTED_VALUE"""),-3.8815494860208117)</f>
        <v>-3.881549486</v>
      </c>
      <c r="G147" s="37">
        <f>IFERROR(__xludf.DUMMYFUNCTION("""COMPUTED_VALUE"""),-3.551020252794939)</f>
        <v>-3.551020253</v>
      </c>
      <c r="H147" s="37">
        <f>IFERROR(__xludf.DUMMYFUNCTION("""COMPUTED_VALUE"""),0.3305292332258727)</f>
        <v>0.3305292332</v>
      </c>
      <c r="I147" s="37">
        <f>IFERROR(__xludf.DUMMYFUNCTION("""COMPUTED_VALUE"""),10.2)</f>
        <v>10.2</v>
      </c>
      <c r="J147" s="37">
        <f>IFERROR(__xludf.DUMMYFUNCTION("""COMPUTED_VALUE"""),2.4)</f>
        <v>2.4</v>
      </c>
      <c r="K147" s="37">
        <f>IFERROR(__xludf.DUMMYFUNCTION("""COMPUTED_VALUE"""),4.3)</f>
        <v>4.3</v>
      </c>
      <c r="L147" s="37">
        <f>IFERROR(__xludf.DUMMYFUNCTION("""COMPUTED_VALUE"""),1.3)</f>
        <v>1.3</v>
      </c>
      <c r="M147" s="37">
        <f>IFERROR(__xludf.DUMMYFUNCTION("""COMPUTED_VALUE"""),0.9)</f>
        <v>0.9</v>
      </c>
      <c r="N147" s="37">
        <f>IFERROR(__xludf.DUMMYFUNCTION("""COMPUTED_VALUE"""),0.2)</f>
        <v>0.2</v>
      </c>
      <c r="O147" s="37">
        <f>IFERROR(__xludf.DUMMYFUNCTION("""COMPUTED_VALUE"""),46.15384615384615)</f>
        <v>46.15384615</v>
      </c>
      <c r="P147" s="37">
        <f>IFERROR(__xludf.DUMMYFUNCTION("""COMPUTED_VALUE"""),77.77777777777777)</f>
        <v>77.77777778</v>
      </c>
      <c r="Q147" s="37">
        <f>IFERROR(__xludf.DUMMYFUNCTION("""COMPUTED_VALUE"""),0.5)</f>
        <v>0.5</v>
      </c>
      <c r="R147" s="37">
        <f>IFERROR(__xludf.DUMMYFUNCTION("""COMPUTED_VALUE"""),-1.7982269599240053)</f>
        <v>-1.79822696</v>
      </c>
      <c r="S147" s="37">
        <f>IFERROR(__xludf.DUMMYFUNCTION("""COMPUTED_VALUE"""),0.786542227722821)</f>
        <v>0.7865422277</v>
      </c>
      <c r="T147" s="37">
        <f>IFERROR(__xludf.DUMMYFUNCTION("""COMPUTED_VALUE"""),-0.7243768628429622)</f>
        <v>-0.7243768628</v>
      </c>
      <c r="U147" s="37">
        <f>IFERROR(__xludf.DUMMYFUNCTION("""COMPUTED_VALUE"""),-1.3708127526470602)</f>
        <v>-1.370812753</v>
      </c>
      <c r="V147" s="37">
        <f>IFERROR(__xludf.DUMMYFUNCTION("""COMPUTED_VALUE"""),-0.42526159822414)</f>
        <v>-0.4252615982</v>
      </c>
      <c r="W147" s="37">
        <f>IFERROR(__xludf.DUMMYFUNCTION("""COMPUTED_VALUE"""),0.0)</f>
        <v>0</v>
      </c>
      <c r="X147" s="37">
        <f>IFERROR(__xludf.DUMMYFUNCTION("""COMPUTED_VALUE"""),0.0)</f>
        <v>0</v>
      </c>
      <c r="Y147" s="37">
        <f>IFERROR(__xludf.DUMMYFUNCTION("""COMPUTED_VALUE"""),-0.0188843068795923)</f>
        <v>-0.01888430688</v>
      </c>
      <c r="Z147" s="37">
        <f>IFERROR(__xludf.DUMMYFUNCTION("""COMPUTED_VALUE"""),0.0)</f>
        <v>0</v>
      </c>
      <c r="AA147" t="str">
        <f>IFERROR(__xludf.DUMMYFUNCTION("SUBSTITUTE(REGEXREPLACE(REGEXREPLACE(REGEXREPLACE(REGEXREPLACE(REGEXREPLACE(REGEXREPLACE(E147,"","",),IF(Projections!$U$3="""",""PG"",),),IF(Projections!$V$3="""",""SG"",),),IF(Projections!$W$3="""",""SF"",),),IF(Projections!$X$3="""",""PF"",),),IF(Projec"&amp;"tions!$Y$3="""",""C"",),),""/"","""")"),"SGSF")</f>
        <v>SGSF</v>
      </c>
    </row>
    <row r="148">
      <c r="A148" s="29" t="str">
        <f>IF(Projections!$H$3,Draft!N15,"")</f>
        <v/>
      </c>
      <c r="B148">
        <f>IFERROR(__xludf.DUMMYFUNCTION("""COMPUTED_VALUE"""),46.0)</f>
        <v>46</v>
      </c>
      <c r="C148" t="str">
        <f>IFERROR(__xludf.DUMMYFUNCTION("""COMPUTED_VALUE"""),"Rudy Gobert")</f>
        <v>Rudy Gobert</v>
      </c>
      <c r="D148">
        <f>IFERROR(__xludf.DUMMYFUNCTION("""COMPUTED_VALUE"""),44.0)</f>
        <v>44</v>
      </c>
      <c r="E148" t="str">
        <f>IFERROR(__xludf.DUMMYFUNCTION("""COMPUTED_VALUE"""),"C")</f>
        <v>C</v>
      </c>
      <c r="F148" s="37">
        <f>IFERROR(__xludf.DUMMYFUNCTION("""COMPUTED_VALUE"""),0.9045867888688548)</f>
        <v>0.9045867889</v>
      </c>
      <c r="G148" s="37">
        <f>IFERROR(__xludf.DUMMYFUNCTION("""COMPUTED_VALUE"""),-3.5533621049363093)</f>
        <v>-3.553362105</v>
      </c>
      <c r="H148" s="37">
        <f>IFERROR(__xludf.DUMMYFUNCTION("""COMPUTED_VALUE"""),-4.457948893805164)</f>
        <v>-4.457948894</v>
      </c>
      <c r="I148" s="37">
        <f>IFERROR(__xludf.DUMMYFUNCTION("""COMPUTED_VALUE"""),14.8)</f>
        <v>14.8</v>
      </c>
      <c r="J148" s="37">
        <f>IFERROR(__xludf.DUMMYFUNCTION("""COMPUTED_VALUE"""),0.0)</f>
        <v>0</v>
      </c>
      <c r="K148" s="37">
        <f>IFERROR(__xludf.DUMMYFUNCTION("""COMPUTED_VALUE"""),13.0)</f>
        <v>13</v>
      </c>
      <c r="L148" s="37">
        <f>IFERROR(__xludf.DUMMYFUNCTION("""COMPUTED_VALUE"""),1.1)</f>
        <v>1.1</v>
      </c>
      <c r="M148" s="37">
        <f>IFERROR(__xludf.DUMMYFUNCTION("""COMPUTED_VALUE"""),0.6)</f>
        <v>0.6</v>
      </c>
      <c r="N148" s="37">
        <f>IFERROR(__xludf.DUMMYFUNCTION("""COMPUTED_VALUE"""),2.0)</f>
        <v>2</v>
      </c>
      <c r="O148" s="37">
        <f>IFERROR(__xludf.DUMMYFUNCTION("""COMPUTED_VALUE"""),72.00000000000001)</f>
        <v>72</v>
      </c>
      <c r="P148" s="37">
        <f>IFERROR(__xludf.DUMMYFUNCTION("""COMPUTED_VALUE"""),68.33333333333333)</f>
        <v>68.33333333</v>
      </c>
      <c r="Q148" s="37">
        <f>IFERROR(__xludf.DUMMYFUNCTION("""COMPUTED_VALUE"""),1.8)</f>
        <v>1.8</v>
      </c>
      <c r="R148" s="37">
        <f>IFERROR(__xludf.DUMMYFUNCTION("""COMPUTED_VALUE"""),-0.5733166455412638)</f>
        <v>-0.5733166455</v>
      </c>
      <c r="S148" s="37">
        <f>IFERROR(__xludf.DUMMYFUNCTION("""COMPUTED_VALUE"""),-1.6133511223939103)</f>
        <v>-1.613351122</v>
      </c>
      <c r="T148" s="37">
        <f>IFERROR(__xludf.DUMMYFUNCTION("""COMPUTED_VALUE"""),2.8270971435992958)</f>
        <v>2.827097144</v>
      </c>
      <c r="U148" s="37">
        <f>IFERROR(__xludf.DUMMYFUNCTION("""COMPUTED_VALUE"""),-1.484951394806553)</f>
        <v>-1.484951395</v>
      </c>
      <c r="V148" s="37">
        <f>IFERROR(__xludf.DUMMYFUNCTION("""COMPUTED_VALUE"""),-1.6516611750382768)</f>
        <v>-1.651661175</v>
      </c>
      <c r="W148" s="37">
        <f>IFERROR(__xludf.DUMMYFUNCTION("""COMPUTED_VALUE"""),0.0)</f>
        <v>0</v>
      </c>
      <c r="X148" s="37">
        <f>IFERROR(__xludf.DUMMYFUNCTION("""COMPUTED_VALUE"""),0.0)</f>
        <v>0</v>
      </c>
      <c r="Y148" s="37">
        <f>IFERROR(__xludf.DUMMYFUNCTION("""COMPUTED_VALUE"""),-1.057178910755601)</f>
        <v>-1.057178911</v>
      </c>
      <c r="Z148" s="37">
        <f>IFERROR(__xludf.DUMMYFUNCTION("""COMPUTED_VALUE"""),0.0)</f>
        <v>0</v>
      </c>
      <c r="AA148" t="str">
        <f>IFERROR(__xludf.DUMMYFUNCTION("SUBSTITUTE(REGEXREPLACE(REGEXREPLACE(REGEXREPLACE(REGEXREPLACE(REGEXREPLACE(REGEXREPLACE(E148,"","",),IF(Projections!$U$3="""",""PG"",),),IF(Projections!$V$3="""",""SG"",),),IF(Projections!$W$3="""",""SF"",),),IF(Projections!$X$3="""",""PF"",),),IF(Projec"&amp;"tions!$Y$3="""",""C"",),),""/"","""")"),"C")</f>
        <v>C</v>
      </c>
    </row>
    <row r="149">
      <c r="B149">
        <f>IFERROR(__xludf.DUMMYFUNCTION("""COMPUTED_VALUE"""),159.0)</f>
        <v>159</v>
      </c>
      <c r="C149" t="str">
        <f>IFERROR(__xludf.DUMMYFUNCTION("""COMPUTED_VALUE"""),"Kevin Huerter")</f>
        <v>Kevin Huerter</v>
      </c>
      <c r="D149">
        <f>IFERROR(__xludf.DUMMYFUNCTION("""COMPUTED_VALUE"""),72.0)</f>
        <v>72</v>
      </c>
      <c r="E149" t="str">
        <f>IFERROR(__xludf.DUMMYFUNCTION("""COMPUTED_VALUE"""),"SG")</f>
        <v>SG</v>
      </c>
      <c r="F149" s="37">
        <f>IFERROR(__xludf.DUMMYFUNCTION("""COMPUTED_VALUE"""),-3.741940281902594)</f>
        <v>-3.741940282</v>
      </c>
      <c r="G149" s="37">
        <f>IFERROR(__xludf.DUMMYFUNCTION("""COMPUTED_VALUE"""),-3.5622228994292984)</f>
        <v>-3.562222899</v>
      </c>
      <c r="H149" s="37">
        <f>IFERROR(__xludf.DUMMYFUNCTION("""COMPUTED_VALUE"""),0.17971738247329583)</f>
        <v>0.1797173825</v>
      </c>
      <c r="I149" s="37">
        <f>IFERROR(__xludf.DUMMYFUNCTION("""COMPUTED_VALUE"""),12.0)</f>
        <v>12</v>
      </c>
      <c r="J149" s="37">
        <f>IFERROR(__xludf.DUMMYFUNCTION("""COMPUTED_VALUE"""),2.2)</f>
        <v>2.2</v>
      </c>
      <c r="K149" s="37">
        <f>IFERROR(__xludf.DUMMYFUNCTION("""COMPUTED_VALUE"""),3.4)</f>
        <v>3.4</v>
      </c>
      <c r="L149" s="37">
        <f>IFERROR(__xludf.DUMMYFUNCTION("""COMPUTED_VALUE"""),2.7)</f>
        <v>2.7</v>
      </c>
      <c r="M149" s="37">
        <f>IFERROR(__xludf.DUMMYFUNCTION("""COMPUTED_VALUE"""),0.7)</f>
        <v>0.7</v>
      </c>
      <c r="N149" s="37">
        <f>IFERROR(__xludf.DUMMYFUNCTION("""COMPUTED_VALUE"""),0.4)</f>
        <v>0.4</v>
      </c>
      <c r="O149" s="37">
        <f>IFERROR(__xludf.DUMMYFUNCTION("""COMPUTED_VALUE"""),45.09803921568628)</f>
        <v>45.09803922</v>
      </c>
      <c r="P149" s="37">
        <f>IFERROR(__xludf.DUMMYFUNCTION("""COMPUTED_VALUE"""),85.71428571428572)</f>
        <v>85.71428571</v>
      </c>
      <c r="Q149" s="37">
        <f>IFERROR(__xludf.DUMMYFUNCTION("""COMPUTED_VALUE"""),1.2)</f>
        <v>1.2</v>
      </c>
      <c r="R149" s="37">
        <f>IFERROR(__xludf.DUMMYFUNCTION("""COMPUTED_VALUE"""),-1.3189142282090194)</f>
        <v>-1.318914228</v>
      </c>
      <c r="S149" s="37">
        <f>IFERROR(__xludf.DUMMYFUNCTION("""COMPUTED_VALUE"""),0.5865511152130937)</f>
        <v>0.5865511152</v>
      </c>
      <c r="T149" s="37">
        <f>IFERROR(__xludf.DUMMYFUNCTION("""COMPUTED_VALUE"""),-1.0917707255783682)</f>
        <v>-1.091770726</v>
      </c>
      <c r="U149" s="37">
        <f>IFERROR(__xludf.DUMMYFUNCTION("""COMPUTED_VALUE"""),-0.5718422575306121)</f>
        <v>-0.5718422575</v>
      </c>
      <c r="V149" s="37">
        <f>IFERROR(__xludf.DUMMYFUNCTION("""COMPUTED_VALUE"""),-1.2428613161002313)</f>
        <v>-1.242861316</v>
      </c>
      <c r="W149" s="37">
        <f>IFERROR(__xludf.DUMMYFUNCTION("""COMPUTED_VALUE"""),0.0)</f>
        <v>0</v>
      </c>
      <c r="X149" s="37">
        <f>IFERROR(__xludf.DUMMYFUNCTION("""COMPUTED_VALUE"""),0.0)</f>
        <v>0</v>
      </c>
      <c r="Y149" s="37">
        <f>IFERROR(__xludf.DUMMYFUNCTION("""COMPUTED_VALUE"""),0.07661451277583878)</f>
        <v>0.07661451278</v>
      </c>
      <c r="Z149" s="37">
        <f>IFERROR(__xludf.DUMMYFUNCTION("""COMPUTED_VALUE"""),0.0)</f>
        <v>0</v>
      </c>
      <c r="AA149" t="str">
        <f>IFERROR(__xludf.DUMMYFUNCTION("SUBSTITUTE(REGEXREPLACE(REGEXREPLACE(REGEXREPLACE(REGEXREPLACE(REGEXREPLACE(REGEXREPLACE(E149,"","",),IF(Projections!$U$3="""",""PG"",),),IF(Projections!$V$3="""",""SG"",),),IF(Projections!$W$3="""",""SF"",),),IF(Projections!$X$3="""",""PF"",),),IF(Projec"&amp;"tions!$Y$3="""",""C"",),),""/"","""")"),"SG")</f>
        <v>SG</v>
      </c>
    </row>
    <row r="150">
      <c r="B150">
        <f>IFERROR(__xludf.DUMMYFUNCTION("""COMPUTED_VALUE"""),169.0)</f>
        <v>169</v>
      </c>
      <c r="C150" t="str">
        <f>IFERROR(__xludf.DUMMYFUNCTION("""COMPUTED_VALUE"""),"Kevin Love")</f>
        <v>Kevin Love</v>
      </c>
      <c r="D150">
        <f>IFERROR(__xludf.DUMMYFUNCTION("""COMPUTED_VALUE"""),68.0)</f>
        <v>68</v>
      </c>
      <c r="E150" t="str">
        <f>IFERROR(__xludf.DUMMYFUNCTION("""COMPUTED_VALUE"""),"PF")</f>
        <v>PF</v>
      </c>
      <c r="F150" s="37">
        <f>IFERROR(__xludf.DUMMYFUNCTION("""COMPUTED_VALUE"""),-4.014423520583521)</f>
        <v>-4.014423521</v>
      </c>
      <c r="G150" s="37">
        <f>IFERROR(__xludf.DUMMYFUNCTION("""COMPUTED_VALUE"""),-3.636413035247853)</f>
        <v>-3.636413035</v>
      </c>
      <c r="H150" s="37">
        <f>IFERROR(__xludf.DUMMYFUNCTION("""COMPUTED_VALUE"""),0.37801048533566783)</f>
        <v>0.3780104853</v>
      </c>
      <c r="I150" s="37">
        <f>IFERROR(__xludf.DUMMYFUNCTION("""COMPUTED_VALUE"""),12.2)</f>
        <v>12.2</v>
      </c>
      <c r="J150" s="37">
        <f>IFERROR(__xludf.DUMMYFUNCTION("""COMPUTED_VALUE"""),2.3)</f>
        <v>2.3</v>
      </c>
      <c r="K150" s="37">
        <f>IFERROR(__xludf.DUMMYFUNCTION("""COMPUTED_VALUE"""),6.6)</f>
        <v>6.6</v>
      </c>
      <c r="L150" s="37">
        <f>IFERROR(__xludf.DUMMYFUNCTION("""COMPUTED_VALUE"""),2.0)</f>
        <v>2</v>
      </c>
      <c r="M150" s="37">
        <f>IFERROR(__xludf.DUMMYFUNCTION("""COMPUTED_VALUE"""),0.4)</f>
        <v>0.4</v>
      </c>
      <c r="N150" s="37">
        <f>IFERROR(__xludf.DUMMYFUNCTION("""COMPUTED_VALUE"""),0.2)</f>
        <v>0.2</v>
      </c>
      <c r="O150" s="37">
        <f>IFERROR(__xludf.DUMMYFUNCTION("""COMPUTED_VALUE"""),43.01075268817204)</f>
        <v>43.01075269</v>
      </c>
      <c r="P150" s="37">
        <f>IFERROR(__xludf.DUMMYFUNCTION("""COMPUTED_VALUE"""),83.33333333333334)</f>
        <v>83.33333333</v>
      </c>
      <c r="Q150" s="37">
        <f>IFERROR(__xludf.DUMMYFUNCTION("""COMPUTED_VALUE"""),1.2)</f>
        <v>1.2</v>
      </c>
      <c r="R150" s="37">
        <f>IFERROR(__xludf.DUMMYFUNCTION("""COMPUTED_VALUE"""),-1.2656572580184657)</f>
        <v>-1.265657258</v>
      </c>
      <c r="S150" s="37">
        <f>IFERROR(__xludf.DUMMYFUNCTION("""COMPUTED_VALUE"""),0.6865466714679571)</f>
        <v>0.6865466715</v>
      </c>
      <c r="T150" s="37">
        <f>IFERROR(__xludf.DUMMYFUNCTION("""COMPUTED_VALUE"""),0.21451856414751977)</f>
        <v>0.2145185641</v>
      </c>
      <c r="U150" s="37">
        <f>IFERROR(__xludf.DUMMYFUNCTION("""COMPUTED_VALUE"""),-0.9713275050888364)</f>
        <v>-0.9713275051</v>
      </c>
      <c r="V150" s="37">
        <f>IFERROR(__xludf.DUMMYFUNCTION("""COMPUTED_VALUE"""),-2.4692608929143676)</f>
        <v>-2.469260893</v>
      </c>
      <c r="W150" s="37">
        <f>IFERROR(__xludf.DUMMYFUNCTION("""COMPUTED_VALUE"""),0.0)</f>
        <v>0</v>
      </c>
      <c r="X150" s="37">
        <f>IFERROR(__xludf.DUMMYFUNCTION("""COMPUTED_VALUE"""),0.0)</f>
        <v>0</v>
      </c>
      <c r="Y150" s="37">
        <f>IFERROR(__xludf.DUMMYFUNCTION("""COMPUTED_VALUE"""),0.16876738515833928)</f>
        <v>0.1687673852</v>
      </c>
      <c r="Z150" s="37">
        <f>IFERROR(__xludf.DUMMYFUNCTION("""COMPUTED_VALUE"""),0.0)</f>
        <v>0</v>
      </c>
      <c r="AA150" t="str">
        <f>IFERROR(__xludf.DUMMYFUNCTION("SUBSTITUTE(REGEXREPLACE(REGEXREPLACE(REGEXREPLACE(REGEXREPLACE(REGEXREPLACE(REGEXREPLACE(E150,"","",),IF(Projections!$U$3="""",""PG"",),),IF(Projections!$V$3="""",""SG"",),),IF(Projections!$W$3="""",""SF"",),),IF(Projections!$X$3="""",""PF"",),),IF(Projec"&amp;"tions!$Y$3="""",""C"",),),""/"","""")"),"PF")</f>
        <v>PF</v>
      </c>
    </row>
    <row r="151">
      <c r="B151">
        <f>IFERROR(__xludf.DUMMYFUNCTION("""COMPUTED_VALUE"""),162.0)</f>
        <v>162</v>
      </c>
      <c r="C151" t="str">
        <f>IFERROR(__xludf.DUMMYFUNCTION("""COMPUTED_VALUE"""),"Seth Curry")</f>
        <v>Seth Curry</v>
      </c>
      <c r="D151">
        <f>IFERROR(__xludf.DUMMYFUNCTION("""COMPUTED_VALUE"""),38.0)</f>
        <v>38</v>
      </c>
      <c r="E151" t="str">
        <f>IFERROR(__xludf.DUMMYFUNCTION("""COMPUTED_VALUE"""),"PG/SF")</f>
        <v>PG/SF</v>
      </c>
      <c r="F151" s="37">
        <f>IFERROR(__xludf.DUMMYFUNCTION("""COMPUTED_VALUE"""),-3.814033554214889)</f>
        <v>-3.814033554</v>
      </c>
      <c r="G151" s="37">
        <f>IFERROR(__xludf.DUMMYFUNCTION("""COMPUTED_VALUE"""),-3.642248543110426)</f>
        <v>-3.642248543</v>
      </c>
      <c r="H151" s="37">
        <f>IFERROR(__xludf.DUMMYFUNCTION("""COMPUTED_VALUE"""),0.17178501110446298)</f>
        <v>0.1717850111</v>
      </c>
      <c r="I151" s="37">
        <f>IFERROR(__xludf.DUMMYFUNCTION("""COMPUTED_VALUE"""),12.5)</f>
        <v>12.5</v>
      </c>
      <c r="J151" s="37">
        <f>IFERROR(__xludf.DUMMYFUNCTION("""COMPUTED_VALUE"""),2.1)</f>
        <v>2.1</v>
      </c>
      <c r="K151" s="37">
        <f>IFERROR(__xludf.DUMMYFUNCTION("""COMPUTED_VALUE"""),2.6)</f>
        <v>2.6</v>
      </c>
      <c r="L151" s="37">
        <f>IFERROR(__xludf.DUMMYFUNCTION("""COMPUTED_VALUE"""),3.0)</f>
        <v>3</v>
      </c>
      <c r="M151" s="37">
        <f>IFERROR(__xludf.DUMMYFUNCTION("""COMPUTED_VALUE"""),0.7)</f>
        <v>0.7</v>
      </c>
      <c r="N151" s="37">
        <f>IFERROR(__xludf.DUMMYFUNCTION("""COMPUTED_VALUE"""),0.2)</f>
        <v>0.2</v>
      </c>
      <c r="O151" s="37">
        <f>IFERROR(__xludf.DUMMYFUNCTION("""COMPUTED_VALUE"""),48.958333333333336)</f>
        <v>48.95833333</v>
      </c>
      <c r="P151" s="37">
        <f>IFERROR(__xludf.DUMMYFUNCTION("""COMPUTED_VALUE"""),84.61538461538461)</f>
        <v>84.61538462</v>
      </c>
      <c r="Q151" s="37">
        <f>IFERROR(__xludf.DUMMYFUNCTION("""COMPUTED_VALUE"""),1.4)</f>
        <v>1.4</v>
      </c>
      <c r="R151" s="37">
        <f>IFERROR(__xludf.DUMMYFUNCTION("""COMPUTED_VALUE"""),-1.1857718027326345)</f>
        <v>-1.185771803</v>
      </c>
      <c r="S151" s="37">
        <f>IFERROR(__xludf.DUMMYFUNCTION("""COMPUTED_VALUE"""),0.4865555589582297)</f>
        <v>0.486555559</v>
      </c>
      <c r="T151" s="37">
        <f>IFERROR(__xludf.DUMMYFUNCTION("""COMPUTED_VALUE"""),-1.41834304800984)</f>
        <v>-1.418343048</v>
      </c>
      <c r="U151" s="37">
        <f>IFERROR(__xludf.DUMMYFUNCTION("""COMPUTED_VALUE"""),-0.4006342942913733)</f>
        <v>-0.4006342943</v>
      </c>
      <c r="V151" s="37">
        <f>IFERROR(__xludf.DUMMYFUNCTION("""COMPUTED_VALUE"""),-1.2428613161002313)</f>
        <v>-1.242861316</v>
      </c>
      <c r="W151" s="37">
        <f>IFERROR(__xludf.DUMMYFUNCTION("""COMPUTED_VALUE"""),0.0)</f>
        <v>0</v>
      </c>
      <c r="X151" s="37">
        <f>IFERROR(__xludf.DUMMYFUNCTION("""COMPUTED_VALUE"""),0.0)</f>
        <v>0</v>
      </c>
      <c r="Y151" s="37">
        <f>IFERROR(__xludf.DUMMYFUNCTION("""COMPUTED_VALUE"""),0.1188063590654235)</f>
        <v>0.1188063591</v>
      </c>
      <c r="Z151" s="37">
        <f>IFERROR(__xludf.DUMMYFUNCTION("""COMPUTED_VALUE"""),0.0)</f>
        <v>0</v>
      </c>
      <c r="AA151" t="str">
        <f>IFERROR(__xludf.DUMMYFUNCTION("SUBSTITUTE(REGEXREPLACE(REGEXREPLACE(REGEXREPLACE(REGEXREPLACE(REGEXREPLACE(REGEXREPLACE(E151,"","",),IF(Projections!$U$3="""",""PG"",),),IF(Projections!$V$3="""",""SG"",),),IF(Projections!$W$3="""",""SF"",),),IF(Projections!$X$3="""",""PF"",),),IF(Projec"&amp;"tions!$Y$3="""",""C"",),),""/"","""")"),"PGSF")</f>
        <v>PGSF</v>
      </c>
    </row>
    <row r="152">
      <c r="B152">
        <f>IFERROR(__xludf.DUMMYFUNCTION("""COMPUTED_VALUE"""),161.0)</f>
        <v>161</v>
      </c>
      <c r="C152" t="str">
        <f>IFERROR(__xludf.DUMMYFUNCTION("""COMPUTED_VALUE"""),"Jae'Sean Tate")</f>
        <v>Jae'Sean Tate</v>
      </c>
      <c r="D152">
        <f>IFERROR(__xludf.DUMMYFUNCTION("""COMPUTED_VALUE"""),68.0)</f>
        <v>68</v>
      </c>
      <c r="E152" t="str">
        <f>IFERROR(__xludf.DUMMYFUNCTION("""COMPUTED_VALUE"""),"SF/PF")</f>
        <v>SF/PF</v>
      </c>
      <c r="F152" s="37">
        <f>IFERROR(__xludf.DUMMYFUNCTION("""COMPUTED_VALUE"""),-3.8046932208711444)</f>
        <v>-3.804693221</v>
      </c>
      <c r="G152" s="37">
        <f>IFERROR(__xludf.DUMMYFUNCTION("""COMPUTED_VALUE"""),-3.6773425671269178)</f>
        <v>-3.677342567</v>
      </c>
      <c r="H152" s="37">
        <f>IFERROR(__xludf.DUMMYFUNCTION("""COMPUTED_VALUE"""),0.1273506537442266)</f>
        <v>0.1273506537</v>
      </c>
      <c r="I152" s="37">
        <f>IFERROR(__xludf.DUMMYFUNCTION("""COMPUTED_VALUE"""),12.1)</f>
        <v>12.1</v>
      </c>
      <c r="J152" s="37">
        <f>IFERROR(__xludf.DUMMYFUNCTION("""COMPUTED_VALUE"""),0.8)</f>
        <v>0.8</v>
      </c>
      <c r="K152" s="37">
        <f>IFERROR(__xludf.DUMMYFUNCTION("""COMPUTED_VALUE"""),5.5)</f>
        <v>5.5</v>
      </c>
      <c r="L152" s="37">
        <f>IFERROR(__xludf.DUMMYFUNCTION("""COMPUTED_VALUE"""),2.9)</f>
        <v>2.9</v>
      </c>
      <c r="M152" s="37">
        <f>IFERROR(__xludf.DUMMYFUNCTION("""COMPUTED_VALUE"""),0.9)</f>
        <v>0.9</v>
      </c>
      <c r="N152" s="37">
        <f>IFERROR(__xludf.DUMMYFUNCTION("""COMPUTED_VALUE"""),0.5)</f>
        <v>0.5</v>
      </c>
      <c r="O152" s="37">
        <f>IFERROR(__xludf.DUMMYFUNCTION("""COMPUTED_VALUE"""),50.0)</f>
        <v>50</v>
      </c>
      <c r="P152" s="37">
        <f>IFERROR(__xludf.DUMMYFUNCTION("""COMPUTED_VALUE"""),68.0)</f>
        <v>68</v>
      </c>
      <c r="Q152" s="37">
        <f>IFERROR(__xludf.DUMMYFUNCTION("""COMPUTED_VALUE"""),1.8)</f>
        <v>1.8</v>
      </c>
      <c r="R152" s="37">
        <f>IFERROR(__xludf.DUMMYFUNCTION("""COMPUTED_VALUE"""),-1.2922857431137424)</f>
        <v>-1.292285743</v>
      </c>
      <c r="S152" s="37">
        <f>IFERROR(__xludf.DUMMYFUNCTION("""COMPUTED_VALUE"""),-0.8133866723549998)</f>
        <v>-0.8133866724</v>
      </c>
      <c r="T152" s="37">
        <f>IFERROR(__xludf.DUMMYFUNCTION("""COMPUTED_VALUE"""),-0.2345183791957541)</f>
        <v>-0.2345183792</v>
      </c>
      <c r="U152" s="37">
        <f>IFERROR(__xludf.DUMMYFUNCTION("""COMPUTED_VALUE"""),-0.4577036153711197)</f>
        <v>-0.4577036154</v>
      </c>
      <c r="V152" s="37">
        <f>IFERROR(__xludf.DUMMYFUNCTION("""COMPUTED_VALUE"""),-0.42526159822414)</f>
        <v>-0.4252615982</v>
      </c>
      <c r="W152" s="37">
        <f>IFERROR(__xludf.DUMMYFUNCTION("""COMPUTED_VALUE"""),0.0)</f>
        <v>0</v>
      </c>
      <c r="X152" s="37">
        <f>IFERROR(__xludf.DUMMYFUNCTION("""COMPUTED_VALUE"""),0.0)</f>
        <v>0</v>
      </c>
      <c r="Y152" s="37">
        <f>IFERROR(__xludf.DUMMYFUNCTION("""COMPUTED_VALUE"""),-0.4541865588671619)</f>
        <v>-0.4541865589</v>
      </c>
      <c r="Z152" s="37">
        <f>IFERROR(__xludf.DUMMYFUNCTION("""COMPUTED_VALUE"""),0.0)</f>
        <v>0</v>
      </c>
      <c r="AA152" t="str">
        <f>IFERROR(__xludf.DUMMYFUNCTION("SUBSTITUTE(REGEXREPLACE(REGEXREPLACE(REGEXREPLACE(REGEXREPLACE(REGEXREPLACE(REGEXREPLACE(E152,"","",),IF(Projections!$U$3="""",""PG"",),),IF(Projections!$V$3="""",""SG"",),),IF(Projections!$W$3="""",""SF"",),),IF(Projections!$X$3="""",""PF"",),),IF(Projec"&amp;"tions!$Y$3="""",""C"",),),""/"","""")"),"SFPF")</f>
        <v>SFPF</v>
      </c>
    </row>
    <row r="153">
      <c r="A153" s="29" t="str">
        <f>Draft!N19</f>
        <v/>
      </c>
      <c r="B153">
        <f>IFERROR(__xludf.DUMMYFUNCTION("""COMPUTED_VALUE"""),140.0)</f>
        <v>140</v>
      </c>
      <c r="C153" t="str">
        <f>IFERROR(__xludf.DUMMYFUNCTION("""COMPUTED_VALUE"""),"Aaron Gordon")</f>
        <v>Aaron Gordon</v>
      </c>
      <c r="D153">
        <f>IFERROR(__xludf.DUMMYFUNCTION("""COMPUTED_VALUE"""),72.0)</f>
        <v>72</v>
      </c>
      <c r="E153" t="str">
        <f>IFERROR(__xludf.DUMMYFUNCTION("""COMPUTED_VALUE"""),"PF")</f>
        <v>PF</v>
      </c>
      <c r="F153" s="37">
        <f>IFERROR(__xludf.DUMMYFUNCTION("""COMPUTED_VALUE"""),-3.1824749973452904)</f>
        <v>-3.182474997</v>
      </c>
      <c r="G153" s="37">
        <f>IFERROR(__xludf.DUMMYFUNCTION("""COMPUTED_VALUE"""),-3.7029017895430814)</f>
        <v>-3.70290179</v>
      </c>
      <c r="H153" s="37">
        <f>IFERROR(__xludf.DUMMYFUNCTION("""COMPUTED_VALUE"""),-0.520426792197791)</f>
        <v>-0.5204267922</v>
      </c>
      <c r="I153" s="37">
        <f>IFERROR(__xludf.DUMMYFUNCTION("""COMPUTED_VALUE"""),14.6)</f>
        <v>14.6</v>
      </c>
      <c r="J153" s="37">
        <f>IFERROR(__xludf.DUMMYFUNCTION("""COMPUTED_VALUE"""),1.2)</f>
        <v>1.2</v>
      </c>
      <c r="K153" s="37">
        <f>IFERROR(__xludf.DUMMYFUNCTION("""COMPUTED_VALUE"""),5.8)</f>
        <v>5.8</v>
      </c>
      <c r="L153" s="37">
        <f>IFERROR(__xludf.DUMMYFUNCTION("""COMPUTED_VALUE"""),2.5)</f>
        <v>2.5</v>
      </c>
      <c r="M153" s="37">
        <f>IFERROR(__xludf.DUMMYFUNCTION("""COMPUTED_VALUE"""),0.6)</f>
        <v>0.6</v>
      </c>
      <c r="N153" s="37">
        <f>IFERROR(__xludf.DUMMYFUNCTION("""COMPUTED_VALUE"""),0.6)</f>
        <v>0.6</v>
      </c>
      <c r="O153" s="37">
        <f>IFERROR(__xludf.DUMMYFUNCTION("""COMPUTED_VALUE"""),50.92592592592592)</f>
        <v>50.92592593</v>
      </c>
      <c r="P153" s="37">
        <f>IFERROR(__xludf.DUMMYFUNCTION("""COMPUTED_VALUE"""),74.99999999999999)</f>
        <v>75</v>
      </c>
      <c r="Q153" s="37">
        <f>IFERROR(__xludf.DUMMYFUNCTION("""COMPUTED_VALUE"""),1.8)</f>
        <v>1.8</v>
      </c>
      <c r="R153" s="37">
        <f>IFERROR(__xludf.DUMMYFUNCTION("""COMPUTED_VALUE"""),-0.6265736157318181)</f>
        <v>-0.6265736157</v>
      </c>
      <c r="S153" s="37">
        <f>IFERROR(__xludf.DUMMYFUNCTION("""COMPUTED_VALUE"""),-0.41340444733554466)</f>
        <v>-0.4134044473</v>
      </c>
      <c r="T153" s="37">
        <f>IFERROR(__xludf.DUMMYFUNCTION("""COMPUTED_VALUE"""),-0.11205375828395218)</f>
        <v>-0.1120537583</v>
      </c>
      <c r="U153" s="37">
        <f>IFERROR(__xludf.DUMMYFUNCTION("""COMPUTED_VALUE"""),-0.6859808996901049)</f>
        <v>-0.6859808997</v>
      </c>
      <c r="V153" s="37">
        <f>IFERROR(__xludf.DUMMYFUNCTION("""COMPUTED_VALUE"""),-1.6516611750382768)</f>
        <v>-1.651661175</v>
      </c>
      <c r="W153" s="37">
        <f>IFERROR(__xludf.DUMMYFUNCTION("""COMPUTED_VALUE"""),0.0)</f>
        <v>0</v>
      </c>
      <c r="X153" s="37">
        <f>IFERROR(__xludf.DUMMYFUNCTION("""COMPUTED_VALUE"""),0.0)</f>
        <v>0</v>
      </c>
      <c r="Y153" s="37">
        <f>IFERROR(__xludf.DUMMYFUNCTION("""COMPUTED_VALUE"""),-0.21322789346338486)</f>
        <v>-0.2132278935</v>
      </c>
      <c r="Z153" s="37">
        <f>IFERROR(__xludf.DUMMYFUNCTION("""COMPUTED_VALUE"""),0.0)</f>
        <v>0</v>
      </c>
      <c r="AA153" t="str">
        <f>IFERROR(__xludf.DUMMYFUNCTION("SUBSTITUTE(REGEXREPLACE(REGEXREPLACE(REGEXREPLACE(REGEXREPLACE(REGEXREPLACE(REGEXREPLACE(E153,"","",),IF(Projections!$U$3="""",""PG"",),),IF(Projections!$V$3="""",""SG"",),),IF(Projections!$W$3="""",""SF"",),),IF(Projections!$X$3="""",""PF"",),),IF(Projec"&amp;"tions!$Y$3="""",""C"",),),""/"","""")"),"PF")</f>
        <v>PF</v>
      </c>
    </row>
    <row r="154">
      <c r="A154" s="29" t="str">
        <f>Draft!N20</f>
        <v/>
      </c>
      <c r="B154">
        <f>IFERROR(__xludf.DUMMYFUNCTION("""COMPUTED_VALUE"""),145.0)</f>
        <v>145</v>
      </c>
      <c r="C154" t="str">
        <f>IFERROR(__xludf.DUMMYFUNCTION("""COMPUTED_VALUE"""),"Aleksej Pokusevski")</f>
        <v>Aleksej Pokusevski</v>
      </c>
      <c r="D154">
        <f>IFERROR(__xludf.DUMMYFUNCTION("""COMPUTED_VALUE"""),69.0)</f>
        <v>69</v>
      </c>
      <c r="E154" t="str">
        <f>IFERROR(__xludf.DUMMYFUNCTION("""COMPUTED_VALUE"""),"PF")</f>
        <v>PF</v>
      </c>
      <c r="F154" s="37">
        <f>IFERROR(__xludf.DUMMYFUNCTION("""COMPUTED_VALUE"""),-3.360186058058762)</f>
        <v>-3.360186058</v>
      </c>
      <c r="G154" s="37">
        <f>IFERROR(__xludf.DUMMYFUNCTION("""COMPUTED_VALUE"""),-3.7185070413130945)</f>
        <v>-3.718507041</v>
      </c>
      <c r="H154" s="37">
        <f>IFERROR(__xludf.DUMMYFUNCTION("""COMPUTED_VALUE"""),-0.3583209832543326)</f>
        <v>-0.3583209833</v>
      </c>
      <c r="I154" s="37">
        <f>IFERROR(__xludf.DUMMYFUNCTION("""COMPUTED_VALUE"""),9.7)</f>
        <v>9.7</v>
      </c>
      <c r="J154" s="37">
        <f>IFERROR(__xludf.DUMMYFUNCTION("""COMPUTED_VALUE"""),1.1)</f>
        <v>1.1</v>
      </c>
      <c r="K154" s="37">
        <f>IFERROR(__xludf.DUMMYFUNCTION("""COMPUTED_VALUE"""),6.5)</f>
        <v>6.5</v>
      </c>
      <c r="L154" s="37">
        <f>IFERROR(__xludf.DUMMYFUNCTION("""COMPUTED_VALUE"""),2.6)</f>
        <v>2.6</v>
      </c>
      <c r="M154" s="37">
        <f>IFERROR(__xludf.DUMMYFUNCTION("""COMPUTED_VALUE"""),0.8)</f>
        <v>0.8</v>
      </c>
      <c r="N154" s="37">
        <f>IFERROR(__xludf.DUMMYFUNCTION("""COMPUTED_VALUE"""),0.8)</f>
        <v>0.8</v>
      </c>
      <c r="O154" s="37">
        <f>IFERROR(__xludf.DUMMYFUNCTION("""COMPUTED_VALUE"""),41.48936170212766)</f>
        <v>41.4893617</v>
      </c>
      <c r="P154" s="37">
        <f>IFERROR(__xludf.DUMMYFUNCTION("""COMPUTED_VALUE"""),80.0)</f>
        <v>80</v>
      </c>
      <c r="Q154" s="37">
        <f>IFERROR(__xludf.DUMMYFUNCTION("""COMPUTED_VALUE"""),1.9)</f>
        <v>1.9</v>
      </c>
      <c r="R154" s="37">
        <f>IFERROR(__xludf.DUMMYFUNCTION("""COMPUTED_VALUE"""),-1.93136938540039)</f>
        <v>-1.931369385</v>
      </c>
      <c r="S154" s="37">
        <f>IFERROR(__xludf.DUMMYFUNCTION("""COMPUTED_VALUE"""),-0.5134000035904084)</f>
        <v>-0.5134000036</v>
      </c>
      <c r="T154" s="37">
        <f>IFERROR(__xludf.DUMMYFUNCTION("""COMPUTED_VALUE"""),0.1736970238435859)</f>
        <v>0.1736970238</v>
      </c>
      <c r="U154" s="37">
        <f>IFERROR(__xludf.DUMMYFUNCTION("""COMPUTED_VALUE"""),-0.6289115786103584)</f>
        <v>-0.6289115786</v>
      </c>
      <c r="V154" s="37">
        <f>IFERROR(__xludf.DUMMYFUNCTION("""COMPUTED_VALUE"""),-0.8340614571621854)</f>
        <v>-0.8340614572</v>
      </c>
      <c r="W154" s="37">
        <f>IFERROR(__xludf.DUMMYFUNCTION("""COMPUTED_VALUE"""),0.0)</f>
        <v>0</v>
      </c>
      <c r="X154" s="37">
        <f>IFERROR(__xludf.DUMMYFUNCTION("""COMPUTED_VALUE"""),0.0)</f>
        <v>0</v>
      </c>
      <c r="Y154" s="37">
        <f>IFERROR(__xludf.DUMMYFUNCTION("""COMPUTED_VALUE"""),0.015538359606661832)</f>
        <v>0.01553835961</v>
      </c>
      <c r="Z154" s="37">
        <f>IFERROR(__xludf.DUMMYFUNCTION("""COMPUTED_VALUE"""),0.0)</f>
        <v>0</v>
      </c>
      <c r="AA154" t="str">
        <f>IFERROR(__xludf.DUMMYFUNCTION("SUBSTITUTE(REGEXREPLACE(REGEXREPLACE(REGEXREPLACE(REGEXREPLACE(REGEXREPLACE(REGEXREPLACE(E154,"","",),IF(Projections!$U$3="""",""PG"",),),IF(Projections!$V$3="""",""SG"",),),IF(Projections!$W$3="""",""SF"",),),IF(Projections!$X$3="""",""PF"",),),IF(Projec"&amp;"tions!$Y$3="""",""C"",),),""/"","""")"),"PF")</f>
        <v>PF</v>
      </c>
    </row>
    <row r="155">
      <c r="A155" s="29" t="str">
        <f>Draft!N21</f>
        <v/>
      </c>
      <c r="B155">
        <f>IFERROR(__xludf.DUMMYFUNCTION("""COMPUTED_VALUE"""),149.0)</f>
        <v>149</v>
      </c>
      <c r="C155" t="str">
        <f>IFERROR(__xludf.DUMMYFUNCTION("""COMPUTED_VALUE"""),"Derrick White")</f>
        <v>Derrick White</v>
      </c>
      <c r="D155">
        <f>IFERROR(__xludf.DUMMYFUNCTION("""COMPUTED_VALUE"""),78.0)</f>
        <v>78</v>
      </c>
      <c r="E155" t="str">
        <f>IFERROR(__xludf.DUMMYFUNCTION("""COMPUTED_VALUE"""),"PG/SG")</f>
        <v>PG/SG</v>
      </c>
      <c r="F155" s="37">
        <f>IFERROR(__xludf.DUMMYFUNCTION("""COMPUTED_VALUE"""),-3.5249035126876263)</f>
        <v>-3.524903513</v>
      </c>
      <c r="G155" s="37">
        <f>IFERROR(__xludf.DUMMYFUNCTION("""COMPUTED_VALUE"""),-3.7445248097581976)</f>
        <v>-3.74452481</v>
      </c>
      <c r="H155" s="37">
        <f>IFERROR(__xludf.DUMMYFUNCTION("""COMPUTED_VALUE"""),-0.21962129707057132)</f>
        <v>-0.2196212971</v>
      </c>
      <c r="I155" s="37">
        <f>IFERROR(__xludf.DUMMYFUNCTION("""COMPUTED_VALUE"""),11.6)</f>
        <v>11.6</v>
      </c>
      <c r="J155" s="37">
        <f>IFERROR(__xludf.DUMMYFUNCTION("""COMPUTED_VALUE"""),1.3)</f>
        <v>1.3</v>
      </c>
      <c r="K155" s="37">
        <f>IFERROR(__xludf.DUMMYFUNCTION("""COMPUTED_VALUE"""),3.1)</f>
        <v>3.1</v>
      </c>
      <c r="L155" s="37">
        <f>IFERROR(__xludf.DUMMYFUNCTION("""COMPUTED_VALUE"""),3.3)</f>
        <v>3.3</v>
      </c>
      <c r="M155" s="37">
        <f>IFERROR(__xludf.DUMMYFUNCTION("""COMPUTED_VALUE"""),0.8)</f>
        <v>0.8</v>
      </c>
      <c r="N155" s="37">
        <f>IFERROR(__xludf.DUMMYFUNCTION("""COMPUTED_VALUE"""),0.7)</f>
        <v>0.7</v>
      </c>
      <c r="O155" s="37">
        <f>IFERROR(__xludf.DUMMYFUNCTION("""COMPUTED_VALUE"""),42.10526315789473)</f>
        <v>42.10526316</v>
      </c>
      <c r="P155" s="37">
        <f>IFERROR(__xludf.DUMMYFUNCTION("""COMPUTED_VALUE"""),85.18518518518518)</f>
        <v>85.18518519</v>
      </c>
      <c r="Q155" s="37">
        <f>IFERROR(__xludf.DUMMYFUNCTION("""COMPUTED_VALUE"""),1.4)</f>
        <v>1.4</v>
      </c>
      <c r="R155" s="37">
        <f>IFERROR(__xludf.DUMMYFUNCTION("""COMPUTED_VALUE"""),-1.4254281685901276)</f>
        <v>-1.425428169</v>
      </c>
      <c r="S155" s="37">
        <f>IFERROR(__xludf.DUMMYFUNCTION("""COMPUTED_VALUE"""),-0.31340889108068076)</f>
        <v>-0.3134088911</v>
      </c>
      <c r="T155" s="37">
        <f>IFERROR(__xludf.DUMMYFUNCTION("""COMPUTED_VALUE"""),-1.21423534649017)</f>
        <v>-1.214235346</v>
      </c>
      <c r="U155" s="37">
        <f>IFERROR(__xludf.DUMMYFUNCTION("""COMPUTED_VALUE"""),-0.22942633105213456)</f>
        <v>-0.2294263311</v>
      </c>
      <c r="V155" s="37">
        <f>IFERROR(__xludf.DUMMYFUNCTION("""COMPUTED_VALUE"""),-0.8340614571621854)</f>
        <v>-0.8340614572</v>
      </c>
      <c r="W155" s="37">
        <f>IFERROR(__xludf.DUMMYFUNCTION("""COMPUTED_VALUE"""),0.0)</f>
        <v>0</v>
      </c>
      <c r="X155" s="37">
        <f>IFERROR(__xludf.DUMMYFUNCTION("""COMPUTED_VALUE"""),0.0)</f>
        <v>0</v>
      </c>
      <c r="Y155" s="37">
        <f>IFERROR(__xludf.DUMMYFUNCTION("""COMPUTED_VALUE"""),0.2720353846171005)</f>
        <v>0.2720353846</v>
      </c>
      <c r="Z155" s="37">
        <f>IFERROR(__xludf.DUMMYFUNCTION("""COMPUTED_VALUE"""),0.0)</f>
        <v>0</v>
      </c>
      <c r="AA155" t="str">
        <f>IFERROR(__xludf.DUMMYFUNCTION("SUBSTITUTE(REGEXREPLACE(REGEXREPLACE(REGEXREPLACE(REGEXREPLACE(REGEXREPLACE(REGEXREPLACE(E155,"","",),IF(Projections!$U$3="""",""PG"",),),IF(Projections!$V$3="""",""SG"",),),IF(Projections!$W$3="""",""SF"",),),IF(Projections!$X$3="""",""PF"",),),IF(Projec"&amp;"tions!$Y$3="""",""C"",),),""/"","""")"),"PGSG")</f>
        <v>PGSG</v>
      </c>
    </row>
    <row r="156">
      <c r="A156" s="29" t="str">
        <f>Draft!N22</f>
        <v/>
      </c>
      <c r="B156">
        <f>IFERROR(__xludf.DUMMYFUNCTION("""COMPUTED_VALUE"""),183.0)</f>
        <v>183</v>
      </c>
      <c r="C156" t="str">
        <f>IFERROR(__xludf.DUMMYFUNCTION("""COMPUTED_VALUE"""),"Cameron Payne")</f>
        <v>Cameron Payne</v>
      </c>
      <c r="D156">
        <f>IFERROR(__xludf.DUMMYFUNCTION("""COMPUTED_VALUE"""),74.0)</f>
        <v>74</v>
      </c>
      <c r="E156" t="str">
        <f>IFERROR(__xludf.DUMMYFUNCTION("""COMPUTED_VALUE"""),"PG")</f>
        <v>PG</v>
      </c>
      <c r="F156" s="37">
        <f>IFERROR(__xludf.DUMMYFUNCTION("""COMPUTED_VALUE"""),-4.413455137394668)</f>
        <v>-4.413455137</v>
      </c>
      <c r="G156" s="37">
        <f>IFERROR(__xludf.DUMMYFUNCTION("""COMPUTED_VALUE"""),-3.7822021391605136)</f>
        <v>-3.782202139</v>
      </c>
      <c r="H156" s="37">
        <f>IFERROR(__xludf.DUMMYFUNCTION("""COMPUTED_VALUE"""),0.6312529982341544)</f>
        <v>0.6312529982</v>
      </c>
      <c r="I156" s="37">
        <f>IFERROR(__xludf.DUMMYFUNCTION("""COMPUTED_VALUE"""),10.9)</f>
        <v>10.9</v>
      </c>
      <c r="J156" s="37">
        <f>IFERROR(__xludf.DUMMYFUNCTION("""COMPUTED_VALUE"""),1.2)</f>
        <v>1.2</v>
      </c>
      <c r="K156" s="37">
        <f>IFERROR(__xludf.DUMMYFUNCTION("""COMPUTED_VALUE"""),3.1)</f>
        <v>3.1</v>
      </c>
      <c r="L156" s="37">
        <f>IFERROR(__xludf.DUMMYFUNCTION("""COMPUTED_VALUE"""),4.6)</f>
        <v>4.6</v>
      </c>
      <c r="M156" s="37">
        <f>IFERROR(__xludf.DUMMYFUNCTION("""COMPUTED_VALUE"""),0.7)</f>
        <v>0.7</v>
      </c>
      <c r="N156" s="37">
        <f>IFERROR(__xludf.DUMMYFUNCTION("""COMPUTED_VALUE"""),0.3)</f>
        <v>0.3</v>
      </c>
      <c r="O156" s="37">
        <f>IFERROR(__xludf.DUMMYFUNCTION("""COMPUTED_VALUE"""),42.857142857142854)</f>
        <v>42.85714286</v>
      </c>
      <c r="P156" s="37">
        <f>IFERROR(__xludf.DUMMYFUNCTION("""COMPUTED_VALUE"""),86.66666666666667)</f>
        <v>86.66666667</v>
      </c>
      <c r="Q156" s="37">
        <f>IFERROR(__xludf.DUMMYFUNCTION("""COMPUTED_VALUE"""),1.8)</f>
        <v>1.8</v>
      </c>
      <c r="R156" s="37">
        <f>IFERROR(__xludf.DUMMYFUNCTION("""COMPUTED_VALUE"""),-1.6118275642570663)</f>
        <v>-1.611827564</v>
      </c>
      <c r="S156" s="37">
        <f>IFERROR(__xludf.DUMMYFUNCTION("""COMPUTED_VALUE"""),-0.41340444733554466)</f>
        <v>-0.4134044473</v>
      </c>
      <c r="T156" s="37">
        <f>IFERROR(__xludf.DUMMYFUNCTION("""COMPUTED_VALUE"""),-1.21423534649017)</f>
        <v>-1.214235346</v>
      </c>
      <c r="U156" s="37">
        <f>IFERROR(__xludf.DUMMYFUNCTION("""COMPUTED_VALUE"""),0.5124748429845672)</f>
        <v>0.512474843</v>
      </c>
      <c r="V156" s="37">
        <f>IFERROR(__xludf.DUMMYFUNCTION("""COMPUTED_VALUE"""),-1.2428613161002313)</f>
        <v>-1.242861316</v>
      </c>
      <c r="W156" s="37">
        <f>IFERROR(__xludf.DUMMYFUNCTION("""COMPUTED_VALUE"""),0.0)</f>
        <v>0</v>
      </c>
      <c r="X156" s="37">
        <f>IFERROR(__xludf.DUMMYFUNCTION("""COMPUTED_VALUE"""),0.0)</f>
        <v>0</v>
      </c>
      <c r="Y156" s="37">
        <f>IFERROR(__xludf.DUMMYFUNCTION("""COMPUTED_VALUE"""),0.1876516920379314)</f>
        <v>0.187651692</v>
      </c>
      <c r="Z156" s="37">
        <f>IFERROR(__xludf.DUMMYFUNCTION("""COMPUTED_VALUE"""),0.0)</f>
        <v>0</v>
      </c>
      <c r="AA156" t="str">
        <f>IFERROR(__xludf.DUMMYFUNCTION("SUBSTITUTE(REGEXREPLACE(REGEXREPLACE(REGEXREPLACE(REGEXREPLACE(REGEXREPLACE(REGEXREPLACE(E156,"","",),IF(Projections!$U$3="""",""PG"",),),IF(Projections!$V$3="""",""SG"",),),IF(Projections!$W$3="""",""SF"",),),IF(Projections!$X$3="""",""PF"",),),IF(Projec"&amp;"tions!$Y$3="""",""C"",),),""/"","""")"),"PG")</f>
        <v>PG</v>
      </c>
    </row>
    <row r="157">
      <c r="B157">
        <f>IFERROR(__xludf.DUMMYFUNCTION("""COMPUTED_VALUE"""),134.0)</f>
        <v>134</v>
      </c>
      <c r="C157" t="str">
        <f>IFERROR(__xludf.DUMMYFUNCTION("""COMPUTED_VALUE"""),"Patrick Williams")</f>
        <v>Patrick Williams</v>
      </c>
      <c r="D157">
        <f>IFERROR(__xludf.DUMMYFUNCTION("""COMPUTED_VALUE"""),73.0)</f>
        <v>73</v>
      </c>
      <c r="E157" t="str">
        <f>IFERROR(__xludf.DUMMYFUNCTION("""COMPUTED_VALUE"""),"SF/PF")</f>
        <v>SF/PF</v>
      </c>
      <c r="F157" s="37">
        <f>IFERROR(__xludf.DUMMYFUNCTION("""COMPUTED_VALUE"""),-3.138080020795908)</f>
        <v>-3.138080021</v>
      </c>
      <c r="G157" s="37">
        <f>IFERROR(__xludf.DUMMYFUNCTION("""COMPUTED_VALUE"""),-3.787164759338576)</f>
        <v>-3.787164759</v>
      </c>
      <c r="H157" s="37">
        <f>IFERROR(__xludf.DUMMYFUNCTION("""COMPUTED_VALUE"""),-0.6490847385426681)</f>
        <v>-0.6490847385</v>
      </c>
      <c r="I157" s="37">
        <f>IFERROR(__xludf.DUMMYFUNCTION("""COMPUTED_VALUE"""),11.0)</f>
        <v>11</v>
      </c>
      <c r="J157" s="37">
        <f>IFERROR(__xludf.DUMMYFUNCTION("""COMPUTED_VALUE"""),1.3)</f>
        <v>1.3</v>
      </c>
      <c r="K157" s="37">
        <f>IFERROR(__xludf.DUMMYFUNCTION("""COMPUTED_VALUE"""),4.9)</f>
        <v>4.9</v>
      </c>
      <c r="L157" s="37">
        <f>IFERROR(__xludf.DUMMYFUNCTION("""COMPUTED_VALUE"""),1.1)</f>
        <v>1.1</v>
      </c>
      <c r="M157" s="37">
        <f>IFERROR(__xludf.DUMMYFUNCTION("""COMPUTED_VALUE"""),1.1)</f>
        <v>1.1</v>
      </c>
      <c r="N157" s="37">
        <f>IFERROR(__xludf.DUMMYFUNCTION("""COMPUTED_VALUE"""),0.7)</f>
        <v>0.7</v>
      </c>
      <c r="O157" s="37">
        <f>IFERROR(__xludf.DUMMYFUNCTION("""COMPUTED_VALUE"""),51.35135135135135)</f>
        <v>51.35135135</v>
      </c>
      <c r="P157" s="37">
        <f>IFERROR(__xludf.DUMMYFUNCTION("""COMPUTED_VALUE"""),72.41379310344827)</f>
        <v>72.4137931</v>
      </c>
      <c r="Q157" s="37">
        <f>IFERROR(__xludf.DUMMYFUNCTION("""COMPUTED_VALUE"""),1.1)</f>
        <v>1.1</v>
      </c>
      <c r="R157" s="37">
        <f>IFERROR(__xludf.DUMMYFUNCTION("""COMPUTED_VALUE"""),-1.5851990791617894)</f>
        <v>-1.585199079</v>
      </c>
      <c r="S157" s="37">
        <f>IFERROR(__xludf.DUMMYFUNCTION("""COMPUTED_VALUE"""),-0.31340889108068076)</f>
        <v>-0.3134088911</v>
      </c>
      <c r="T157" s="37">
        <f>IFERROR(__xludf.DUMMYFUNCTION("""COMPUTED_VALUE"""),-0.47944762101935795)</f>
        <v>-0.479447621</v>
      </c>
      <c r="U157" s="37">
        <f>IFERROR(__xludf.DUMMYFUNCTION("""COMPUTED_VALUE"""),-1.484951394806553)</f>
        <v>-1.484951395</v>
      </c>
      <c r="V157" s="37">
        <f>IFERROR(__xludf.DUMMYFUNCTION("""COMPUTED_VALUE"""),0.39233811965195126)</f>
        <v>0.3923381197</v>
      </c>
      <c r="W157" s="37">
        <f>IFERROR(__xludf.DUMMYFUNCTION("""COMPUTED_VALUE"""),0.0)</f>
        <v>0</v>
      </c>
      <c r="X157" s="37">
        <f>IFERROR(__xludf.DUMMYFUNCTION("""COMPUTED_VALUE"""),0.0)</f>
        <v>0</v>
      </c>
      <c r="Y157" s="37">
        <f>IFERROR(__xludf.DUMMYFUNCTION("""COMPUTED_VALUE"""),-0.316495892922146)</f>
        <v>-0.3164958929</v>
      </c>
      <c r="Z157" s="37">
        <f>IFERROR(__xludf.DUMMYFUNCTION("""COMPUTED_VALUE"""),0.0)</f>
        <v>0</v>
      </c>
      <c r="AA157" t="str">
        <f>IFERROR(__xludf.DUMMYFUNCTION("SUBSTITUTE(REGEXREPLACE(REGEXREPLACE(REGEXREPLACE(REGEXREPLACE(REGEXREPLACE(REGEXREPLACE(E157,"","",),IF(Projections!$U$3="""",""PG"",),),IF(Projections!$V$3="""",""SG"",),),IF(Projections!$W$3="""",""SF"",),),IF(Projections!$X$3="""",""PF"",),),IF(Projec"&amp;"tions!$Y$3="""",""C"",),),""/"","""")"),"SFPF")</f>
        <v>SFPF</v>
      </c>
    </row>
    <row r="158">
      <c r="B158">
        <f>IFERROR(__xludf.DUMMYFUNCTION("""COMPUTED_VALUE"""),166.0)</f>
        <v>166</v>
      </c>
      <c r="C158" t="str">
        <f>IFERROR(__xludf.DUMMYFUNCTION("""COMPUTED_VALUE"""),"Grayson Allen")</f>
        <v>Grayson Allen</v>
      </c>
      <c r="D158">
        <f>IFERROR(__xludf.DUMMYFUNCTION("""COMPUTED_VALUE"""),77.0)</f>
        <v>77</v>
      </c>
      <c r="E158" t="str">
        <f>IFERROR(__xludf.DUMMYFUNCTION("""COMPUTED_VALUE"""),"SG")</f>
        <v>SG</v>
      </c>
      <c r="F158" s="37">
        <f>IFERROR(__xludf.DUMMYFUNCTION("""COMPUTED_VALUE"""),-3.9152657569866998)</f>
        <v>-3.915265757</v>
      </c>
      <c r="G158" s="37">
        <f>IFERROR(__xludf.DUMMYFUNCTION("""COMPUTED_VALUE"""),-3.8672756363628444)</f>
        <v>-3.867275636</v>
      </c>
      <c r="H158" s="37">
        <f>IFERROR(__xludf.DUMMYFUNCTION("""COMPUTED_VALUE"""),0.047990120623855326)</f>
        <v>0.04799012062</v>
      </c>
      <c r="I158" s="37">
        <f>IFERROR(__xludf.DUMMYFUNCTION("""COMPUTED_VALUE"""),11.5)</f>
        <v>11.5</v>
      </c>
      <c r="J158" s="37">
        <f>IFERROR(__xludf.DUMMYFUNCTION("""COMPUTED_VALUE"""),2.5)</f>
        <v>2.5</v>
      </c>
      <c r="K158" s="37">
        <f>IFERROR(__xludf.DUMMYFUNCTION("""COMPUTED_VALUE"""),3.5)</f>
        <v>3.5</v>
      </c>
      <c r="L158" s="37">
        <f>IFERROR(__xludf.DUMMYFUNCTION("""COMPUTED_VALUE"""),1.5)</f>
        <v>1.5</v>
      </c>
      <c r="M158" s="37">
        <f>IFERROR(__xludf.DUMMYFUNCTION("""COMPUTED_VALUE"""),0.7)</f>
        <v>0.7</v>
      </c>
      <c r="N158" s="37">
        <f>IFERROR(__xludf.DUMMYFUNCTION("""COMPUTED_VALUE"""),0.3)</f>
        <v>0.3</v>
      </c>
      <c r="O158" s="37">
        <f>IFERROR(__xludf.DUMMYFUNCTION("""COMPUTED_VALUE"""),44.44444444444444)</f>
        <v>44.44444444</v>
      </c>
      <c r="P158" s="37">
        <f>IFERROR(__xludf.DUMMYFUNCTION("""COMPUTED_VALUE"""),91.66666666666667)</f>
        <v>91.66666667</v>
      </c>
      <c r="Q158" s="37">
        <f>IFERROR(__xludf.DUMMYFUNCTION("""COMPUTED_VALUE"""),0.7)</f>
        <v>0.7</v>
      </c>
      <c r="R158" s="37">
        <f>IFERROR(__xludf.DUMMYFUNCTION("""COMPUTED_VALUE"""),-1.4520566536854043)</f>
        <v>-1.452056654</v>
      </c>
      <c r="S158" s="37">
        <f>IFERROR(__xludf.DUMMYFUNCTION("""COMPUTED_VALUE"""),0.8865377839776849)</f>
        <v>0.886537784</v>
      </c>
      <c r="T158" s="37">
        <f>IFERROR(__xludf.DUMMYFUNCTION("""COMPUTED_VALUE"""),-1.0509491852744342)</f>
        <v>-1.050949185</v>
      </c>
      <c r="U158" s="37">
        <f>IFERROR(__xludf.DUMMYFUNCTION("""COMPUTED_VALUE"""),-1.2566741104875678)</f>
        <v>-1.25667411</v>
      </c>
      <c r="V158" s="37">
        <f>IFERROR(__xludf.DUMMYFUNCTION("""COMPUTED_VALUE"""),-1.2428613161002313)</f>
        <v>-1.242861316</v>
      </c>
      <c r="W158" s="37">
        <f>IFERROR(__xludf.DUMMYFUNCTION("""COMPUTED_VALUE"""),0.0)</f>
        <v>0</v>
      </c>
      <c r="X158" s="37">
        <f>IFERROR(__xludf.DUMMYFUNCTION("""COMPUTED_VALUE"""),0.0)</f>
        <v>0</v>
      </c>
      <c r="Y158" s="37">
        <f>IFERROR(__xludf.DUMMYFUNCTION("""COMPUTED_VALUE"""),0.24872784520710842)</f>
        <v>0.2487278452</v>
      </c>
      <c r="Z158" s="37">
        <f>IFERROR(__xludf.DUMMYFUNCTION("""COMPUTED_VALUE"""),0.0)</f>
        <v>0</v>
      </c>
      <c r="AA158" t="str">
        <f>IFERROR(__xludf.DUMMYFUNCTION("SUBSTITUTE(REGEXREPLACE(REGEXREPLACE(REGEXREPLACE(REGEXREPLACE(REGEXREPLACE(REGEXREPLACE(E158,"","",),IF(Projections!$U$3="""",""PG"",),),IF(Projections!$V$3="""",""SG"",),),IF(Projections!$W$3="""",""SF"",),),IF(Projections!$X$3="""",""PF"",),),IF(Projec"&amp;"tions!$Y$3="""",""C"",),),""/"","""")"),"SG")</f>
        <v>SG</v>
      </c>
    </row>
    <row r="159">
      <c r="B159">
        <f>IFERROR(__xludf.DUMMYFUNCTION("""COMPUTED_VALUE"""),141.0)</f>
        <v>141</v>
      </c>
      <c r="C159" t="str">
        <f>IFERROR(__xludf.DUMMYFUNCTION("""COMPUTED_VALUE"""),"Gary Payton II")</f>
        <v>Gary Payton II</v>
      </c>
      <c r="D159">
        <f>IFERROR(__xludf.DUMMYFUNCTION("""COMPUTED_VALUE"""),58.0)</f>
        <v>58</v>
      </c>
      <c r="E159" t="str">
        <f>IFERROR(__xludf.DUMMYFUNCTION("""COMPUTED_VALUE"""),"PG")</f>
        <v>PG</v>
      </c>
      <c r="F159" s="37">
        <f>IFERROR(__xludf.DUMMYFUNCTION("""COMPUTED_VALUE"""),-3.219311282025422)</f>
        <v>-3.219311282</v>
      </c>
      <c r="G159" s="37">
        <f>IFERROR(__xludf.DUMMYFUNCTION("""COMPUTED_VALUE"""),-3.9789339961484704)</f>
        <v>-3.978933996</v>
      </c>
      <c r="H159" s="37">
        <f>IFERROR(__xludf.DUMMYFUNCTION("""COMPUTED_VALUE"""),-0.7596227141230485)</f>
        <v>-0.7596227141</v>
      </c>
      <c r="I159" s="37">
        <f>IFERROR(__xludf.DUMMYFUNCTION("""COMPUTED_VALUE"""),8.5)</f>
        <v>8.5</v>
      </c>
      <c r="J159" s="37">
        <f>IFERROR(__xludf.DUMMYFUNCTION("""COMPUTED_VALUE"""),0.7)</f>
        <v>0.7</v>
      </c>
      <c r="K159" s="37">
        <f>IFERROR(__xludf.DUMMYFUNCTION("""COMPUTED_VALUE"""),4.2)</f>
        <v>4.2</v>
      </c>
      <c r="L159" s="37">
        <f>IFERROR(__xludf.DUMMYFUNCTION("""COMPUTED_VALUE"""),1.1)</f>
        <v>1.1</v>
      </c>
      <c r="M159" s="37">
        <f>IFERROR(__xludf.DUMMYFUNCTION("""COMPUTED_VALUE"""),1.4)</f>
        <v>1.4</v>
      </c>
      <c r="N159" s="37">
        <f>IFERROR(__xludf.DUMMYFUNCTION("""COMPUTED_VALUE"""),0.4)</f>
        <v>0.4</v>
      </c>
      <c r="O159" s="37">
        <f>IFERROR(__xludf.DUMMYFUNCTION("""COMPUTED_VALUE"""),61.01694915254237)</f>
        <v>61.01694915</v>
      </c>
      <c r="P159" s="37">
        <f>IFERROR(__xludf.DUMMYFUNCTION("""COMPUTED_VALUE"""),66.66666666666666)</f>
        <v>66.66666667</v>
      </c>
      <c r="Q159" s="37">
        <f>IFERROR(__xludf.DUMMYFUNCTION("""COMPUTED_VALUE"""),0.7)</f>
        <v>0.7</v>
      </c>
      <c r="R159" s="37">
        <f>IFERROR(__xludf.DUMMYFUNCTION("""COMPUTED_VALUE"""),-2.2509112065437136)</f>
        <v>-2.250911207</v>
      </c>
      <c r="S159" s="37">
        <f>IFERROR(__xludf.DUMMYFUNCTION("""COMPUTED_VALUE"""),-0.9133822286098637)</f>
        <v>-0.9133822286</v>
      </c>
      <c r="T159" s="37">
        <f>IFERROR(__xludf.DUMMYFUNCTION("""COMPUTED_VALUE"""),-0.765198403146896)</f>
        <v>-0.7651984031</v>
      </c>
      <c r="U159" s="37">
        <f>IFERROR(__xludf.DUMMYFUNCTION("""COMPUTED_VALUE"""),-1.484951394806553)</f>
        <v>-1.484951395</v>
      </c>
      <c r="V159" s="37">
        <f>IFERROR(__xludf.DUMMYFUNCTION("""COMPUTED_VALUE"""),1.6187376964660871)</f>
        <v>1.618737696</v>
      </c>
      <c r="W159" s="37">
        <f>IFERROR(__xludf.DUMMYFUNCTION("""COMPUTED_VALUE"""),0.0)</f>
        <v>0</v>
      </c>
      <c r="X159" s="37">
        <f>IFERROR(__xludf.DUMMYFUNCTION("""COMPUTED_VALUE"""),0.0)</f>
        <v>0</v>
      </c>
      <c r="Y159" s="37">
        <f>IFERROR(__xludf.DUMMYFUNCTION("""COMPUTED_VALUE"""),-0.1832284595075309)</f>
        <v>-0.1832284595</v>
      </c>
      <c r="Z159" s="37">
        <f>IFERROR(__xludf.DUMMYFUNCTION("""COMPUTED_VALUE"""),0.0)</f>
        <v>0</v>
      </c>
      <c r="AA159" t="str">
        <f>IFERROR(__xludf.DUMMYFUNCTION("SUBSTITUTE(REGEXREPLACE(REGEXREPLACE(REGEXREPLACE(REGEXREPLACE(REGEXREPLACE(REGEXREPLACE(E159,"","",),IF(Projections!$U$3="""",""PG"",),),IF(Projections!$V$3="""",""SG"",),),IF(Projections!$W$3="""",""SF"",),),IF(Projections!$X$3="""",""PF"",),),IF(Projec"&amp;"tions!$Y$3="""",""C"",),),""/"","""")"),"PG")</f>
        <v>PG</v>
      </c>
    </row>
    <row r="160">
      <c r="B160">
        <f>IFERROR(__xludf.DUMMYFUNCTION("""COMPUTED_VALUE"""),191.0)</f>
        <v>191</v>
      </c>
      <c r="C160" t="str">
        <f>IFERROR(__xludf.DUMMYFUNCTION("""COMPUTED_VALUE"""),"Tyus Jones")</f>
        <v>Tyus Jones</v>
      </c>
      <c r="D160">
        <f>IFERROR(__xludf.DUMMYFUNCTION("""COMPUTED_VALUE"""),65.0)</f>
        <v>65</v>
      </c>
      <c r="E160" t="str">
        <f>IFERROR(__xludf.DUMMYFUNCTION("""COMPUTED_VALUE"""),"PG")</f>
        <v>PG</v>
      </c>
      <c r="F160" s="37">
        <f>IFERROR(__xludf.DUMMYFUNCTION("""COMPUTED_VALUE"""),-4.887292503106335)</f>
        <v>-4.887292503</v>
      </c>
      <c r="G160" s="37">
        <f>IFERROR(__xludf.DUMMYFUNCTION("""COMPUTED_VALUE"""),-4.008808114036971)</f>
        <v>-4.008808114</v>
      </c>
      <c r="H160" s="37">
        <f>IFERROR(__xludf.DUMMYFUNCTION("""COMPUTED_VALUE"""),0.8784843890693637)</f>
        <v>0.8784843891</v>
      </c>
      <c r="I160" s="37">
        <f>IFERROR(__xludf.DUMMYFUNCTION("""COMPUTED_VALUE"""),8.8)</f>
        <v>8.8</v>
      </c>
      <c r="J160" s="37">
        <f>IFERROR(__xludf.DUMMYFUNCTION("""COMPUTED_VALUE"""),1.1)</f>
        <v>1.1</v>
      </c>
      <c r="K160" s="37">
        <f>IFERROR(__xludf.DUMMYFUNCTION("""COMPUTED_VALUE"""),2.4)</f>
        <v>2.4</v>
      </c>
      <c r="L160" s="37">
        <f>IFERROR(__xludf.DUMMYFUNCTION("""COMPUTED_VALUE"""),4.5)</f>
        <v>4.5</v>
      </c>
      <c r="M160" s="37">
        <f>IFERROR(__xludf.DUMMYFUNCTION("""COMPUTED_VALUE"""),0.9)</f>
        <v>0.9</v>
      </c>
      <c r="N160" s="37">
        <f>IFERROR(__xludf.DUMMYFUNCTION("""COMPUTED_VALUE"""),0.0)</f>
        <v>0</v>
      </c>
      <c r="O160" s="37">
        <f>IFERROR(__xludf.DUMMYFUNCTION("""COMPUTED_VALUE"""),45.45454545454545)</f>
        <v>45.45454545</v>
      </c>
      <c r="P160" s="37">
        <f>IFERROR(__xludf.DUMMYFUNCTION("""COMPUTED_VALUE"""),88.8888888888889)</f>
        <v>88.88888889</v>
      </c>
      <c r="Q160" s="37">
        <f>IFERROR(__xludf.DUMMYFUNCTION("""COMPUTED_VALUE"""),0.6)</f>
        <v>0.6</v>
      </c>
      <c r="R160" s="37">
        <f>IFERROR(__xludf.DUMMYFUNCTION("""COMPUTED_VALUE"""),-2.1710257512578823)</f>
        <v>-2.171025751</v>
      </c>
      <c r="S160" s="37">
        <f>IFERROR(__xludf.DUMMYFUNCTION("""COMPUTED_VALUE"""),-0.5134000035904084)</f>
        <v>-0.5134000036</v>
      </c>
      <c r="T160" s="37">
        <f>IFERROR(__xludf.DUMMYFUNCTION("""COMPUTED_VALUE"""),-1.499986128617708)</f>
        <v>-1.499986129</v>
      </c>
      <c r="U160" s="37">
        <f>IFERROR(__xludf.DUMMYFUNCTION("""COMPUTED_VALUE"""),0.4554055219048211)</f>
        <v>0.4554055219</v>
      </c>
      <c r="V160" s="37">
        <f>IFERROR(__xludf.DUMMYFUNCTION("""COMPUTED_VALUE"""),-0.42526159822414)</f>
        <v>-0.4252615982</v>
      </c>
      <c r="W160" s="37">
        <f>IFERROR(__xludf.DUMMYFUNCTION("""COMPUTED_VALUE"""),0.0)</f>
        <v>0</v>
      </c>
      <c r="X160" s="37">
        <f>IFERROR(__xludf.DUMMYFUNCTION("""COMPUTED_VALUE"""),0.0)</f>
        <v>0</v>
      </c>
      <c r="Y160" s="37">
        <f>IFERROR(__xludf.DUMMYFUNCTION("""COMPUTED_VALUE"""),0.14545984574834664)</f>
        <v>0.1454598457</v>
      </c>
      <c r="Z160" s="37">
        <f>IFERROR(__xludf.DUMMYFUNCTION("""COMPUTED_VALUE"""),0.0)</f>
        <v>0</v>
      </c>
      <c r="AA160" t="str">
        <f>IFERROR(__xludf.DUMMYFUNCTION("SUBSTITUTE(REGEXREPLACE(REGEXREPLACE(REGEXREPLACE(REGEXREPLACE(REGEXREPLACE(REGEXREPLACE(E160,"","",),IF(Projections!$U$3="""",""PG"",),),IF(Projections!$V$3="""",""SG"",),),IF(Projections!$W$3="""",""SF"",),),IF(Projections!$X$3="""",""PF"",),),IF(Projec"&amp;"tions!$Y$3="""",""C"",),),""/"","""")"),"PG")</f>
        <v>PG</v>
      </c>
    </row>
    <row r="161">
      <c r="B161">
        <f>IFERROR(__xludf.DUMMYFUNCTION("""COMPUTED_VALUE"""),182.0)</f>
        <v>182</v>
      </c>
      <c r="C161" t="str">
        <f>IFERROR(__xludf.DUMMYFUNCTION("""COMPUTED_VALUE"""),"Delon Wright")</f>
        <v>Delon Wright</v>
      </c>
      <c r="D161">
        <f>IFERROR(__xludf.DUMMYFUNCTION("""COMPUTED_VALUE"""),69.0)</f>
        <v>69</v>
      </c>
      <c r="E161" t="str">
        <f>IFERROR(__xludf.DUMMYFUNCTION("""COMPUTED_VALUE"""),"SG/PF")</f>
        <v>SG/PF</v>
      </c>
      <c r="F161" s="37">
        <f>IFERROR(__xludf.DUMMYFUNCTION("""COMPUTED_VALUE"""),-4.403843131387165)</f>
        <v>-4.403843131</v>
      </c>
      <c r="G161" s="37">
        <f>IFERROR(__xludf.DUMMYFUNCTION("""COMPUTED_VALUE"""),-4.113350002594853)</f>
        <v>-4.113350003</v>
      </c>
      <c r="H161" s="37">
        <f>IFERROR(__xludf.DUMMYFUNCTION("""COMPUTED_VALUE"""),0.2904931287923125)</f>
        <v>0.2904931288</v>
      </c>
      <c r="I161" s="37">
        <f>IFERROR(__xludf.DUMMYFUNCTION("""COMPUTED_VALUE"""),6.4)</f>
        <v>6.4</v>
      </c>
      <c r="J161" s="37">
        <f>IFERROR(__xludf.DUMMYFUNCTION("""COMPUTED_VALUE"""),0.7)</f>
        <v>0.7</v>
      </c>
      <c r="K161" s="37">
        <f>IFERROR(__xludf.DUMMYFUNCTION("""COMPUTED_VALUE"""),3.2)</f>
        <v>3.2</v>
      </c>
      <c r="L161" s="37">
        <f>IFERROR(__xludf.DUMMYFUNCTION("""COMPUTED_VALUE"""),2.7)</f>
        <v>2.7</v>
      </c>
      <c r="M161" s="37">
        <f>IFERROR(__xludf.DUMMYFUNCTION("""COMPUTED_VALUE"""),1.3)</f>
        <v>1.3</v>
      </c>
      <c r="N161" s="37">
        <f>IFERROR(__xludf.DUMMYFUNCTION("""COMPUTED_VALUE"""),0.2)</f>
        <v>0.2</v>
      </c>
      <c r="O161" s="37">
        <f>IFERROR(__xludf.DUMMYFUNCTION("""COMPUTED_VALUE"""),45.28301886792453)</f>
        <v>45.28301887</v>
      </c>
      <c r="P161" s="37">
        <f>IFERROR(__xludf.DUMMYFUNCTION("""COMPUTED_VALUE"""),88.8888888888889)</f>
        <v>88.88888889</v>
      </c>
      <c r="Q161" s="37">
        <f>IFERROR(__xludf.DUMMYFUNCTION("""COMPUTED_VALUE"""),0.7)</f>
        <v>0.7</v>
      </c>
      <c r="R161" s="37">
        <f>IFERROR(__xludf.DUMMYFUNCTION("""COMPUTED_VALUE"""),-2.81010939354453)</f>
        <v>-2.810109394</v>
      </c>
      <c r="S161" s="37">
        <f>IFERROR(__xludf.DUMMYFUNCTION("""COMPUTED_VALUE"""),-0.9133822286098637)</f>
        <v>-0.9133822286</v>
      </c>
      <c r="T161" s="37">
        <f>IFERROR(__xludf.DUMMYFUNCTION("""COMPUTED_VALUE"""),-1.173413806186236)</f>
        <v>-1.173413806</v>
      </c>
      <c r="U161" s="37">
        <f>IFERROR(__xludf.DUMMYFUNCTION("""COMPUTED_VALUE"""),-0.5718422575306121)</f>
        <v>-0.5718422575</v>
      </c>
      <c r="V161" s="37">
        <f>IFERROR(__xludf.DUMMYFUNCTION("""COMPUTED_VALUE"""),1.209937837528042)</f>
        <v>1.209937838</v>
      </c>
      <c r="W161" s="37">
        <f>IFERROR(__xludf.DUMMYFUNCTION("""COMPUTED_VALUE"""),0.0)</f>
        <v>0</v>
      </c>
      <c r="X161" s="37">
        <f>IFERROR(__xludf.DUMMYFUNCTION("""COMPUTED_VALUE"""),0.0)</f>
        <v>0</v>
      </c>
      <c r="Y161" s="37">
        <f>IFERROR(__xludf.DUMMYFUNCTION("""COMPUTED_VALUE"""),0.14545984574834664)</f>
        <v>0.1454598457</v>
      </c>
      <c r="Z161" s="37">
        <f>IFERROR(__xludf.DUMMYFUNCTION("""COMPUTED_VALUE"""),0.0)</f>
        <v>0</v>
      </c>
      <c r="AA161" t="str">
        <f>IFERROR(__xludf.DUMMYFUNCTION("SUBSTITUTE(REGEXREPLACE(REGEXREPLACE(REGEXREPLACE(REGEXREPLACE(REGEXREPLACE(REGEXREPLACE(E161,"","",),IF(Projections!$U$3="""",""PG"",),),IF(Projections!$V$3="""",""SG"",),),IF(Projections!$W$3="""",""SF"",),),IF(Projections!$X$3="""",""PF"",),),IF(Projec"&amp;"tions!$Y$3="""",""C"",),),""/"","""")"),"SGPF")</f>
        <v>SGPF</v>
      </c>
    </row>
    <row r="162">
      <c r="B162">
        <f>IFERROR(__xludf.DUMMYFUNCTION("""COMPUTED_VALUE"""),156.0)</f>
        <v>156</v>
      </c>
      <c r="C162" t="str">
        <f>IFERROR(__xludf.DUMMYFUNCTION("""COMPUTED_VALUE"""),"Caleb Martin")</f>
        <v>Caleb Martin</v>
      </c>
      <c r="D162">
        <f>IFERROR(__xludf.DUMMYFUNCTION("""COMPUTED_VALUE"""),64.0)</f>
        <v>64</v>
      </c>
      <c r="E162" t="str">
        <f>IFERROR(__xludf.DUMMYFUNCTION("""COMPUTED_VALUE"""),"SG/SF")</f>
        <v>SG/SF</v>
      </c>
      <c r="F162" s="37">
        <f>IFERROR(__xludf.DUMMYFUNCTION("""COMPUTED_VALUE"""),-3.6951221165375063)</f>
        <v>-3.695122117</v>
      </c>
      <c r="G162" s="37">
        <f>IFERROR(__xludf.DUMMYFUNCTION("""COMPUTED_VALUE"""),-4.137822014917293)</f>
        <v>-4.137822015</v>
      </c>
      <c r="H162" s="37">
        <f>IFERROR(__xludf.DUMMYFUNCTION("""COMPUTED_VALUE"""),-0.44269989837978674)</f>
        <v>-0.4426998984</v>
      </c>
      <c r="I162" s="37">
        <f>IFERROR(__xludf.DUMMYFUNCTION("""COMPUTED_VALUE"""),10.0)</f>
        <v>10</v>
      </c>
      <c r="J162" s="37">
        <f>IFERROR(__xludf.DUMMYFUNCTION("""COMPUTED_VALUE"""),1.2)</f>
        <v>1.2</v>
      </c>
      <c r="K162" s="37">
        <f>IFERROR(__xludf.DUMMYFUNCTION("""COMPUTED_VALUE"""),4.2)</f>
        <v>4.2</v>
      </c>
      <c r="L162" s="37">
        <f>IFERROR(__xludf.DUMMYFUNCTION("""COMPUTED_VALUE"""),1.2)</f>
        <v>1.2</v>
      </c>
      <c r="M162" s="37">
        <f>IFERROR(__xludf.DUMMYFUNCTION("""COMPUTED_VALUE"""),1.1)</f>
        <v>1.1</v>
      </c>
      <c r="N162" s="37">
        <f>IFERROR(__xludf.DUMMYFUNCTION("""COMPUTED_VALUE"""),0.5)</f>
        <v>0.5</v>
      </c>
      <c r="O162" s="37">
        <f>IFERROR(__xludf.DUMMYFUNCTION("""COMPUTED_VALUE"""),50.0)</f>
        <v>50</v>
      </c>
      <c r="P162" s="37">
        <f>IFERROR(__xludf.DUMMYFUNCTION("""COMPUTED_VALUE"""),76.47058823529413)</f>
        <v>76.47058824</v>
      </c>
      <c r="Q162" s="37">
        <f>IFERROR(__xludf.DUMMYFUNCTION("""COMPUTED_VALUE"""),1.0)</f>
        <v>1</v>
      </c>
      <c r="R162" s="37">
        <f>IFERROR(__xludf.DUMMYFUNCTION("""COMPUTED_VALUE"""),-1.851483930114559)</f>
        <v>-1.85148393</v>
      </c>
      <c r="S162" s="37">
        <f>IFERROR(__xludf.DUMMYFUNCTION("""COMPUTED_VALUE"""),-0.41340444733554466)</f>
        <v>-0.4134044473</v>
      </c>
      <c r="T162" s="37">
        <f>IFERROR(__xludf.DUMMYFUNCTION("""COMPUTED_VALUE"""),-0.765198403146896)</f>
        <v>-0.7651984031</v>
      </c>
      <c r="U162" s="37">
        <f>IFERROR(__xludf.DUMMYFUNCTION("""COMPUTED_VALUE"""),-1.427882073726807)</f>
        <v>-1.427882074</v>
      </c>
      <c r="V162" s="37">
        <f>IFERROR(__xludf.DUMMYFUNCTION("""COMPUTED_VALUE"""),0.39233811965195126)</f>
        <v>0.3923381197</v>
      </c>
      <c r="W162" s="37">
        <f>IFERROR(__xludf.DUMMYFUNCTION("""COMPUTED_VALUE"""),0.0)</f>
        <v>0</v>
      </c>
      <c r="X162" s="37">
        <f>IFERROR(__xludf.DUMMYFUNCTION("""COMPUTED_VALUE"""),0.0)</f>
        <v>0</v>
      </c>
      <c r="Y162" s="37">
        <f>IFERROR(__xludf.DUMMYFUNCTION("""COMPUTED_VALUE"""),-0.07219128024543806)</f>
        <v>-0.07219128025</v>
      </c>
      <c r="Z162" s="37">
        <f>IFERROR(__xludf.DUMMYFUNCTION("""COMPUTED_VALUE"""),0.0)</f>
        <v>0</v>
      </c>
      <c r="AA162" t="str">
        <f>IFERROR(__xludf.DUMMYFUNCTION("SUBSTITUTE(REGEXREPLACE(REGEXREPLACE(REGEXREPLACE(REGEXREPLACE(REGEXREPLACE(REGEXREPLACE(E162,"","",),IF(Projections!$U$3="""",""PG"",),),IF(Projections!$V$3="""",""SG"",),),IF(Projections!$W$3="""",""SF"",),),IF(Projections!$X$3="""",""PF"",),),IF(Projec"&amp;"tions!$Y$3="""",""C"",),),""/"","""")"),"SGSF")</f>
        <v>SGSF</v>
      </c>
    </row>
    <row r="163">
      <c r="B163">
        <f>IFERROR(__xludf.DUMMYFUNCTION("""COMPUTED_VALUE"""),42.0)</f>
        <v>42</v>
      </c>
      <c r="C163" t="str">
        <f>IFERROR(__xludf.DUMMYFUNCTION("""COMPUTED_VALUE"""),"Robert Williams")</f>
        <v>Robert Williams</v>
      </c>
      <c r="D163">
        <f>IFERROR(__xludf.DUMMYFUNCTION("""COMPUTED_VALUE"""),76.0)</f>
        <v>76</v>
      </c>
      <c r="E163" t="str">
        <f>IFERROR(__xludf.DUMMYFUNCTION("""COMPUTED_VALUE"""),"PF/C")</f>
        <v>PF/C</v>
      </c>
      <c r="F163" s="37">
        <f>IFERROR(__xludf.DUMMYFUNCTION("""COMPUTED_VALUE"""),1.197645179013059)</f>
        <v>1.197645179</v>
      </c>
      <c r="G163" s="37">
        <f>IFERROR(__xludf.DUMMYFUNCTION("""COMPUTED_VALUE"""),-4.204886766893998)</f>
        <v>-4.204886767</v>
      </c>
      <c r="H163" s="37">
        <f>IFERROR(__xludf.DUMMYFUNCTION("""COMPUTED_VALUE"""),-5.402531945907057)</f>
        <v>-5.402531946</v>
      </c>
      <c r="I163" s="37">
        <f>IFERROR(__xludf.DUMMYFUNCTION("""COMPUTED_VALUE"""),9.8)</f>
        <v>9.8</v>
      </c>
      <c r="J163" s="37">
        <f>IFERROR(__xludf.DUMMYFUNCTION("""COMPUTED_VALUE"""),0.0)</f>
        <v>0</v>
      </c>
      <c r="K163" s="37">
        <f>IFERROR(__xludf.DUMMYFUNCTION("""COMPUTED_VALUE"""),9.3)</f>
        <v>9.3</v>
      </c>
      <c r="L163" s="37">
        <f>IFERROR(__xludf.DUMMYFUNCTION("""COMPUTED_VALUE"""),1.9)</f>
        <v>1.9</v>
      </c>
      <c r="M163" s="37">
        <f>IFERROR(__xludf.DUMMYFUNCTION("""COMPUTED_VALUE"""),0.8)</f>
        <v>0.8</v>
      </c>
      <c r="N163" s="37">
        <f>IFERROR(__xludf.DUMMYFUNCTION("""COMPUTED_VALUE"""),2.1)</f>
        <v>2.1</v>
      </c>
      <c r="O163" s="37">
        <f>IFERROR(__xludf.DUMMYFUNCTION("""COMPUTED_VALUE"""),72.13114754098362)</f>
        <v>72.13114754</v>
      </c>
      <c r="P163" s="37">
        <f>IFERROR(__xludf.DUMMYFUNCTION("""COMPUTED_VALUE"""),73.33333333333334)</f>
        <v>73.33333333</v>
      </c>
      <c r="Q163" s="37">
        <f>IFERROR(__xludf.DUMMYFUNCTION("""COMPUTED_VALUE"""),1.0)</f>
        <v>1</v>
      </c>
      <c r="R163" s="37">
        <f>IFERROR(__xludf.DUMMYFUNCTION("""COMPUTED_VALUE"""),-1.9047409003051128)</f>
        <v>-1.9047409</v>
      </c>
      <c r="S163" s="37">
        <f>IFERROR(__xludf.DUMMYFUNCTION("""COMPUTED_VALUE"""),-1.6133511223939103)</f>
        <v>-1.613351122</v>
      </c>
      <c r="T163" s="37">
        <f>IFERROR(__xludf.DUMMYFUNCTION("""COMPUTED_VALUE"""),1.3167001523537383)</f>
        <v>1.316700152</v>
      </c>
      <c r="U163" s="37">
        <f>IFERROR(__xludf.DUMMYFUNCTION("""COMPUTED_VALUE"""),-1.0283968261685825)</f>
        <v>-1.028396826</v>
      </c>
      <c r="V163" s="37">
        <f>IFERROR(__xludf.DUMMYFUNCTION("""COMPUTED_VALUE"""),-0.8340614571621854)</f>
        <v>-0.8340614572</v>
      </c>
      <c r="W163" s="37">
        <f>IFERROR(__xludf.DUMMYFUNCTION("""COMPUTED_VALUE"""),0.0)</f>
        <v>0</v>
      </c>
      <c r="X163" s="37">
        <f>IFERROR(__xludf.DUMMYFUNCTION("""COMPUTED_VALUE"""),0.0)</f>
        <v>0</v>
      </c>
      <c r="Y163" s="37">
        <f>IFERROR(__xludf.DUMMYFUNCTION("""COMPUTED_VALUE"""),-0.1410366132179459)</f>
        <v>-0.1410366132</v>
      </c>
      <c r="Z163" s="37">
        <f>IFERROR(__xludf.DUMMYFUNCTION("""COMPUTED_VALUE"""),0.0)</f>
        <v>0</v>
      </c>
      <c r="AA163" t="str">
        <f>IFERROR(__xludf.DUMMYFUNCTION("SUBSTITUTE(REGEXREPLACE(REGEXREPLACE(REGEXREPLACE(REGEXREPLACE(REGEXREPLACE(REGEXREPLACE(E163,"","",),IF(Projections!$U$3="""",""PG"",),),IF(Projections!$V$3="""",""SG"",),),IF(Projections!$W$3="""",""SF"",),),IF(Projections!$X$3="""",""PF"",),),IF(Projec"&amp;"tions!$Y$3="""",""C"",),),""/"","""")"),"PFC")</f>
        <v>PFC</v>
      </c>
    </row>
    <row r="164">
      <c r="B164">
        <f>IFERROR(__xludf.DUMMYFUNCTION("""COMPUTED_VALUE"""),185.0)</f>
        <v>185</v>
      </c>
      <c r="C164" t="str">
        <f>IFERROR(__xludf.DUMMYFUNCTION("""COMPUTED_VALUE"""),"Talen Horton-Tucker")</f>
        <v>Talen Horton-Tucker</v>
      </c>
      <c r="D164">
        <f>IFERROR(__xludf.DUMMYFUNCTION("""COMPUTED_VALUE"""),80.0)</f>
        <v>80</v>
      </c>
      <c r="E164" t="str">
        <f>IFERROR(__xludf.DUMMYFUNCTION("""COMPUTED_VALUE"""),"SG/SF")</f>
        <v>SG/SF</v>
      </c>
      <c r="F164" s="37">
        <f>IFERROR(__xludf.DUMMYFUNCTION("""COMPUTED_VALUE"""),-4.443876960992629)</f>
        <v>-4.443876961</v>
      </c>
      <c r="G164" s="37">
        <f>IFERROR(__xludf.DUMMYFUNCTION("""COMPUTED_VALUE"""),-4.2365696732939675)</f>
        <v>-4.236569673</v>
      </c>
      <c r="H164" s="37">
        <f>IFERROR(__xludf.DUMMYFUNCTION("""COMPUTED_VALUE"""),0.20730728769866147)</f>
        <v>0.2073072877</v>
      </c>
      <c r="I164" s="37">
        <f>IFERROR(__xludf.DUMMYFUNCTION("""COMPUTED_VALUE"""),10.1)</f>
        <v>10.1</v>
      </c>
      <c r="J164" s="37">
        <f>IFERROR(__xludf.DUMMYFUNCTION("""COMPUTED_VALUE"""),0.8)</f>
        <v>0.8</v>
      </c>
      <c r="K164" s="37">
        <f>IFERROR(__xludf.DUMMYFUNCTION("""COMPUTED_VALUE"""),3.3)</f>
        <v>3.3</v>
      </c>
      <c r="L164" s="37">
        <f>IFERROR(__xludf.DUMMYFUNCTION("""COMPUTED_VALUE"""),2.8)</f>
        <v>2.8</v>
      </c>
      <c r="M164" s="37">
        <f>IFERROR(__xludf.DUMMYFUNCTION("""COMPUTED_VALUE"""),1.0)</f>
        <v>1</v>
      </c>
      <c r="N164" s="37">
        <f>IFERROR(__xludf.DUMMYFUNCTION("""COMPUTED_VALUE"""),0.5)</f>
        <v>0.5</v>
      </c>
      <c r="O164" s="37">
        <f>IFERROR(__xludf.DUMMYFUNCTION("""COMPUTED_VALUE"""),43.18181818181818)</f>
        <v>43.18181818</v>
      </c>
      <c r="P164" s="37">
        <f>IFERROR(__xludf.DUMMYFUNCTION("""COMPUTED_VALUE"""),80.95238095238095)</f>
        <v>80.95238095</v>
      </c>
      <c r="Q164" s="37">
        <f>IFERROR(__xludf.DUMMYFUNCTION("""COMPUTED_VALUE"""),1.4)</f>
        <v>1.4</v>
      </c>
      <c r="R164" s="37">
        <f>IFERROR(__xludf.DUMMYFUNCTION("""COMPUTED_VALUE"""),-1.824855445019282)</f>
        <v>-1.824855445</v>
      </c>
      <c r="S164" s="37">
        <f>IFERROR(__xludf.DUMMYFUNCTION("""COMPUTED_VALUE"""),-0.8133866723549998)</f>
        <v>-0.8133866724</v>
      </c>
      <c r="T164" s="37">
        <f>IFERROR(__xludf.DUMMYFUNCTION("""COMPUTED_VALUE"""),-1.1325922658823022)</f>
        <v>-1.132592266</v>
      </c>
      <c r="U164" s="37">
        <f>IFERROR(__xludf.DUMMYFUNCTION("""COMPUTED_VALUE"""),-0.514772936450866)</f>
        <v>-0.5147729365</v>
      </c>
      <c r="V164" s="37">
        <f>IFERROR(__xludf.DUMMYFUNCTION("""COMPUTED_VALUE"""),-0.01646173928609459)</f>
        <v>-0.01646173929</v>
      </c>
      <c r="W164" s="37">
        <f>IFERROR(__xludf.DUMMYFUNCTION("""COMPUTED_VALUE"""),0.0)</f>
        <v>0</v>
      </c>
      <c r="X164" s="37">
        <f>IFERROR(__xludf.DUMMYFUNCTION("""COMPUTED_VALUE"""),0.0)</f>
        <v>0</v>
      </c>
      <c r="Y164" s="37">
        <f>IFERROR(__xludf.DUMMYFUNCTION("""COMPUTED_VALUE"""),0.0654993856995771)</f>
        <v>0.0654993857</v>
      </c>
      <c r="Z164" s="37">
        <f>IFERROR(__xludf.DUMMYFUNCTION("""COMPUTED_VALUE"""),0.0)</f>
        <v>0</v>
      </c>
      <c r="AA164" t="str">
        <f>IFERROR(__xludf.DUMMYFUNCTION("SUBSTITUTE(REGEXREPLACE(REGEXREPLACE(REGEXREPLACE(REGEXREPLACE(REGEXREPLACE(REGEXREPLACE(E164,"","",),IF(Projections!$U$3="""",""PG"",),),IF(Projections!$V$3="""",""SG"",),),IF(Projections!$W$3="""",""SF"",),),IF(Projections!$X$3="""",""PF"",),),IF(Projec"&amp;"tions!$Y$3="""",""C"",),),""/"","""")"),"SGSF")</f>
        <v>SGSF</v>
      </c>
    </row>
    <row r="165">
      <c r="B165">
        <f>IFERROR(__xludf.DUMMYFUNCTION("""COMPUTED_VALUE"""),155.0)</f>
        <v>155</v>
      </c>
      <c r="C165" t="str">
        <f>IFERROR(__xludf.DUMMYFUNCTION("""COMPUTED_VALUE"""),"Darius Bazley")</f>
        <v>Darius Bazley</v>
      </c>
      <c r="D165">
        <f>IFERROR(__xludf.DUMMYFUNCTION("""COMPUTED_VALUE"""),70.0)</f>
        <v>70</v>
      </c>
      <c r="E165" t="str">
        <f>IFERROR(__xludf.DUMMYFUNCTION("""COMPUTED_VALUE"""),"SF/PF")</f>
        <v>SF/PF</v>
      </c>
      <c r="F165" s="37">
        <f>IFERROR(__xludf.DUMMYFUNCTION("""COMPUTED_VALUE"""),-3.690717167703932)</f>
        <v>-3.690717168</v>
      </c>
      <c r="G165" s="37">
        <f>IFERROR(__xludf.DUMMYFUNCTION("""COMPUTED_VALUE"""),-4.243719493918171)</f>
        <v>-4.243719494</v>
      </c>
      <c r="H165" s="37">
        <f>IFERROR(__xludf.DUMMYFUNCTION("""COMPUTED_VALUE"""),-0.553002326214239)</f>
        <v>-0.5530023262</v>
      </c>
      <c r="I165" s="37">
        <f>IFERROR(__xludf.DUMMYFUNCTION("""COMPUTED_VALUE"""),11.2)</f>
        <v>11.2</v>
      </c>
      <c r="J165" s="37">
        <f>IFERROR(__xludf.DUMMYFUNCTION("""COMPUTED_VALUE"""),1.2)</f>
        <v>1.2</v>
      </c>
      <c r="K165" s="37">
        <f>IFERROR(__xludf.DUMMYFUNCTION("""COMPUTED_VALUE"""),6.5)</f>
        <v>6.5</v>
      </c>
      <c r="L165" s="37">
        <f>IFERROR(__xludf.DUMMYFUNCTION("""COMPUTED_VALUE"""),1.4)</f>
        <v>1.4</v>
      </c>
      <c r="M165" s="37">
        <f>IFERROR(__xludf.DUMMYFUNCTION("""COMPUTED_VALUE"""),0.8)</f>
        <v>0.8</v>
      </c>
      <c r="N165" s="37">
        <f>IFERROR(__xludf.DUMMYFUNCTION("""COMPUTED_VALUE"""),1.0)</f>
        <v>1</v>
      </c>
      <c r="O165" s="37">
        <f>IFERROR(__xludf.DUMMYFUNCTION("""COMPUTED_VALUE"""),42.70833333333333)</f>
        <v>42.70833333</v>
      </c>
      <c r="P165" s="37">
        <f>IFERROR(__xludf.DUMMYFUNCTION("""COMPUTED_VALUE"""),70.83333333333334)</f>
        <v>70.83333333</v>
      </c>
      <c r="Q165" s="37">
        <f>IFERROR(__xludf.DUMMYFUNCTION("""COMPUTED_VALUE"""),1.3)</f>
        <v>1.3</v>
      </c>
      <c r="R165" s="37">
        <f>IFERROR(__xludf.DUMMYFUNCTION("""COMPUTED_VALUE"""),-1.5319421089712355)</f>
        <v>-1.531942109</v>
      </c>
      <c r="S165" s="37">
        <f>IFERROR(__xludf.DUMMYFUNCTION("""COMPUTED_VALUE"""),-0.41340444733554466)</f>
        <v>-0.4134044473</v>
      </c>
      <c r="T165" s="37">
        <f>IFERROR(__xludf.DUMMYFUNCTION("""COMPUTED_VALUE"""),0.1736970238435859)</f>
        <v>0.1736970238</v>
      </c>
      <c r="U165" s="37">
        <f>IFERROR(__xludf.DUMMYFUNCTION("""COMPUTED_VALUE"""),-1.313743431567314)</f>
        <v>-1.313743432</v>
      </c>
      <c r="V165" s="37">
        <f>IFERROR(__xludf.DUMMYFUNCTION("""COMPUTED_VALUE"""),-0.8340614571621854)</f>
        <v>-0.8340614572</v>
      </c>
      <c r="W165" s="37">
        <f>IFERROR(__xludf.DUMMYFUNCTION("""COMPUTED_VALUE"""),0.0)</f>
        <v>0</v>
      </c>
      <c r="X165" s="37">
        <f>IFERROR(__xludf.DUMMYFUNCTION("""COMPUTED_VALUE"""),0.0)</f>
        <v>0</v>
      </c>
      <c r="Y165" s="37">
        <f>IFERROR(__xludf.DUMMYFUNCTION("""COMPUTED_VALUE"""),-0.3242650727254767)</f>
        <v>-0.3242650727</v>
      </c>
      <c r="Z165" s="37">
        <f>IFERROR(__xludf.DUMMYFUNCTION("""COMPUTED_VALUE"""),0.0)</f>
        <v>0</v>
      </c>
      <c r="AA165" t="str">
        <f>IFERROR(__xludf.DUMMYFUNCTION("SUBSTITUTE(REGEXREPLACE(REGEXREPLACE(REGEXREPLACE(REGEXREPLACE(REGEXREPLACE(REGEXREPLACE(E165,"","",),IF(Projections!$U$3="""",""PG"",),),IF(Projections!$V$3="""",""SG"",),),IF(Projections!$W$3="""",""SF"",),),IF(Projections!$X$3="""",""PF"",),),IF(Projec"&amp;"tions!$Y$3="""",""C"",),),""/"","""")"),"SFPF")</f>
        <v>SFPF</v>
      </c>
    </row>
    <row r="166">
      <c r="B166">
        <f>IFERROR(__xludf.DUMMYFUNCTION("""COMPUTED_VALUE"""),142.0)</f>
        <v>142</v>
      </c>
      <c r="C166" t="str">
        <f>IFERROR(__xludf.DUMMYFUNCTION("""COMPUTED_VALUE"""),"Bruce Brown")</f>
        <v>Bruce Brown</v>
      </c>
      <c r="D166">
        <f>IFERROR(__xludf.DUMMYFUNCTION("""COMPUTED_VALUE"""),60.0)</f>
        <v>60</v>
      </c>
      <c r="E166" t="str">
        <f>IFERROR(__xludf.DUMMYFUNCTION("""COMPUTED_VALUE"""),"SG")</f>
        <v>SG</v>
      </c>
      <c r="F166" s="37">
        <f>IFERROR(__xludf.DUMMYFUNCTION("""COMPUTED_VALUE"""),-3.268435312981288)</f>
        <v>-3.268435313</v>
      </c>
      <c r="G166" s="37">
        <f>IFERROR(__xludf.DUMMYFUNCTION("""COMPUTED_VALUE"""),-4.311099961626536)</f>
        <v>-4.311099962</v>
      </c>
      <c r="H166" s="37">
        <f>IFERROR(__xludf.DUMMYFUNCTION("""COMPUTED_VALUE"""),-1.042664648645248)</f>
        <v>-1.042664649</v>
      </c>
      <c r="I166" s="37">
        <f>IFERROR(__xludf.DUMMYFUNCTION("""COMPUTED_VALUE"""),9.0)</f>
        <v>9</v>
      </c>
      <c r="J166" s="37">
        <f>IFERROR(__xludf.DUMMYFUNCTION("""COMPUTED_VALUE"""),0.5)</f>
        <v>0.5</v>
      </c>
      <c r="K166" s="37">
        <f>IFERROR(__xludf.DUMMYFUNCTION("""COMPUTED_VALUE"""),4.8)</f>
        <v>4.8</v>
      </c>
      <c r="L166" s="37">
        <f>IFERROR(__xludf.DUMMYFUNCTION("""COMPUTED_VALUE"""),2.1)</f>
        <v>2.1</v>
      </c>
      <c r="M166" s="37">
        <f>IFERROR(__xludf.DUMMYFUNCTION("""COMPUTED_VALUE"""),1.1)</f>
        <v>1.1</v>
      </c>
      <c r="N166" s="37">
        <f>IFERROR(__xludf.DUMMYFUNCTION("""COMPUTED_VALUE"""),0.7)</f>
        <v>0.7</v>
      </c>
      <c r="O166" s="37">
        <f>IFERROR(__xludf.DUMMYFUNCTION("""COMPUTED_VALUE"""),52.17391304347826)</f>
        <v>52.17391304</v>
      </c>
      <c r="P166" s="37">
        <f>IFERROR(__xludf.DUMMYFUNCTION("""COMPUTED_VALUE"""),77.77777777777777)</f>
        <v>77.77777778</v>
      </c>
      <c r="Q166" s="37">
        <f>IFERROR(__xludf.DUMMYFUNCTION("""COMPUTED_VALUE"""),0.8)</f>
        <v>0.8</v>
      </c>
      <c r="R166" s="37">
        <f>IFERROR(__xludf.DUMMYFUNCTION("""COMPUTED_VALUE"""),-2.117768781067329)</f>
        <v>-2.117768781</v>
      </c>
      <c r="S166" s="37">
        <f>IFERROR(__xludf.DUMMYFUNCTION("""COMPUTED_VALUE"""),-1.1133733411195912)</f>
        <v>-1.113373341</v>
      </c>
      <c r="T166" s="37">
        <f>IFERROR(__xludf.DUMMYFUNCTION("""COMPUTED_VALUE"""),-0.5202691613232922)</f>
        <v>-0.5202691613</v>
      </c>
      <c r="U166" s="37">
        <f>IFERROR(__xludf.DUMMYFUNCTION("""COMPUTED_VALUE"""),-0.91425818400909)</f>
        <v>-0.914258184</v>
      </c>
      <c r="V166" s="37">
        <f>IFERROR(__xludf.DUMMYFUNCTION("""COMPUTED_VALUE"""),0.39233811965195126)</f>
        <v>0.3923381197</v>
      </c>
      <c r="W166" s="37">
        <f>IFERROR(__xludf.DUMMYFUNCTION("""COMPUTED_VALUE"""),0.0)</f>
        <v>0</v>
      </c>
      <c r="X166" s="37">
        <f>IFERROR(__xludf.DUMMYFUNCTION("""COMPUTED_VALUE"""),0.0)</f>
        <v>0</v>
      </c>
      <c r="Y166" s="37">
        <f>IFERROR(__xludf.DUMMYFUNCTION("""COMPUTED_VALUE"""),-0.0377686137591846)</f>
        <v>-0.03776861376</v>
      </c>
      <c r="Z166" s="37">
        <f>IFERROR(__xludf.DUMMYFUNCTION("""COMPUTED_VALUE"""),0.0)</f>
        <v>0</v>
      </c>
      <c r="AA166" t="str">
        <f>IFERROR(__xludf.DUMMYFUNCTION("SUBSTITUTE(REGEXREPLACE(REGEXREPLACE(REGEXREPLACE(REGEXREPLACE(REGEXREPLACE(REGEXREPLACE(E166,"","",),IF(Projections!$U$3="""",""PG"",),),IF(Projections!$V$3="""",""SG"",),),IF(Projections!$W$3="""",""SF"",),),IF(Projections!$X$3="""",""PF"",),),IF(Projec"&amp;"tions!$Y$3="""",""C"",),),""/"","""")"),"SG")</f>
        <v>SG</v>
      </c>
    </row>
    <row r="167">
      <c r="B167">
        <f>IFERROR(__xludf.DUMMYFUNCTION("""COMPUTED_VALUE"""),177.0)</f>
        <v>177</v>
      </c>
      <c r="C167" t="str">
        <f>IFERROR(__xludf.DUMMYFUNCTION("""COMPUTED_VALUE"""),"Derrick Rose")</f>
        <v>Derrick Rose</v>
      </c>
      <c r="D167">
        <f>IFERROR(__xludf.DUMMYFUNCTION("""COMPUTED_VALUE"""),70.0)</f>
        <v>70</v>
      </c>
      <c r="E167" t="str">
        <f>IFERROR(__xludf.DUMMYFUNCTION("""COMPUTED_VALUE"""),"PG")</f>
        <v>PG</v>
      </c>
      <c r="F167" s="37">
        <f>IFERROR(__xludf.DUMMYFUNCTION("""COMPUTED_VALUE"""),-4.207808493872338)</f>
        <v>-4.207808494</v>
      </c>
      <c r="G167" s="37">
        <f>IFERROR(__xludf.DUMMYFUNCTION("""COMPUTED_VALUE"""),-4.4083667719402255)</f>
        <v>-4.408366772</v>
      </c>
      <c r="H167" s="37">
        <f>IFERROR(__xludf.DUMMYFUNCTION("""COMPUTED_VALUE"""),-0.20055827806788784)</f>
        <v>-0.2005582781</v>
      </c>
      <c r="I167" s="37">
        <f>IFERROR(__xludf.DUMMYFUNCTION("""COMPUTED_VALUE"""),10.7)</f>
        <v>10.7</v>
      </c>
      <c r="J167" s="37">
        <f>IFERROR(__xludf.DUMMYFUNCTION("""COMPUTED_VALUE"""),1.3)</f>
        <v>1.3</v>
      </c>
      <c r="K167" s="37">
        <f>IFERROR(__xludf.DUMMYFUNCTION("""COMPUTED_VALUE"""),2.7)</f>
        <v>2.7</v>
      </c>
      <c r="L167" s="37">
        <f>IFERROR(__xludf.DUMMYFUNCTION("""COMPUTED_VALUE"""),3.6)</f>
        <v>3.6</v>
      </c>
      <c r="M167" s="37">
        <f>IFERROR(__xludf.DUMMYFUNCTION("""COMPUTED_VALUE"""),0.7)</f>
        <v>0.7</v>
      </c>
      <c r="N167" s="37">
        <f>IFERROR(__xludf.DUMMYFUNCTION("""COMPUTED_VALUE"""),0.5)</f>
        <v>0.5</v>
      </c>
      <c r="O167" s="37">
        <f>IFERROR(__xludf.DUMMYFUNCTION("""COMPUTED_VALUE"""),44.680851063829785)</f>
        <v>44.68085106</v>
      </c>
      <c r="P167" s="37">
        <f>IFERROR(__xludf.DUMMYFUNCTION("""COMPUTED_VALUE"""),91.66666666666667)</f>
        <v>91.66666667</v>
      </c>
      <c r="Q167" s="37">
        <f>IFERROR(__xludf.DUMMYFUNCTION("""COMPUTED_VALUE"""),1.3)</f>
        <v>1.3</v>
      </c>
      <c r="R167" s="37">
        <f>IFERROR(__xludf.DUMMYFUNCTION("""COMPUTED_VALUE"""),-1.6650845344476204)</f>
        <v>-1.665084534</v>
      </c>
      <c r="S167" s="37">
        <f>IFERROR(__xludf.DUMMYFUNCTION("""COMPUTED_VALUE"""),-0.31340889108068076)</f>
        <v>-0.3134088911</v>
      </c>
      <c r="T167" s="37">
        <f>IFERROR(__xludf.DUMMYFUNCTION("""COMPUTED_VALUE"""),-1.377521507705906)</f>
        <v>-1.377521508</v>
      </c>
      <c r="U167" s="37">
        <f>IFERROR(__xludf.DUMMYFUNCTION("""COMPUTED_VALUE"""),-0.058218367812895515)</f>
        <v>-0.05821836781</v>
      </c>
      <c r="V167" s="37">
        <f>IFERROR(__xludf.DUMMYFUNCTION("""COMPUTED_VALUE"""),-1.2428613161002313)</f>
        <v>-1.242861316</v>
      </c>
      <c r="W167" s="37">
        <f>IFERROR(__xludf.DUMMYFUNCTION("""COMPUTED_VALUE"""),0.0)</f>
        <v>0</v>
      </c>
      <c r="X167" s="37">
        <f>IFERROR(__xludf.DUMMYFUNCTION("""COMPUTED_VALUE"""),0.0)</f>
        <v>0</v>
      </c>
      <c r="Y167" s="37">
        <f>IFERROR(__xludf.DUMMYFUNCTION("""COMPUTED_VALUE"""),0.24872784520710842)</f>
        <v>0.2487278452</v>
      </c>
      <c r="Z167" s="37">
        <f>IFERROR(__xludf.DUMMYFUNCTION("""COMPUTED_VALUE"""),0.0)</f>
        <v>0</v>
      </c>
      <c r="AA167" t="str">
        <f>IFERROR(__xludf.DUMMYFUNCTION("SUBSTITUTE(REGEXREPLACE(REGEXREPLACE(REGEXREPLACE(REGEXREPLACE(REGEXREPLACE(REGEXREPLACE(E167,"","",),IF(Projections!$U$3="""",""PG"",),),IF(Projections!$V$3="""",""SG"",),),IF(Projections!$W$3="""",""SF"",),),IF(Projections!$X$3="""",""PF"",),),IF(Projec"&amp;"tions!$Y$3="""",""C"",),),""/"","""")"),"PG")</f>
        <v>PG</v>
      </c>
    </row>
    <row r="168">
      <c r="B168">
        <f>IFERROR(__xludf.DUMMYFUNCTION("""COMPUTED_VALUE"""),178.0)</f>
        <v>178</v>
      </c>
      <c r="C168" t="str">
        <f>IFERROR(__xludf.DUMMYFUNCTION("""COMPUTED_VALUE"""),"Kyle Anderson")</f>
        <v>Kyle Anderson</v>
      </c>
      <c r="D168">
        <f>IFERROR(__xludf.DUMMYFUNCTION("""COMPUTED_VALUE"""),72.0)</f>
        <v>72</v>
      </c>
      <c r="E168" t="str">
        <f>IFERROR(__xludf.DUMMYFUNCTION("""COMPUTED_VALUE"""),"SF/PF")</f>
        <v>SF/PF</v>
      </c>
      <c r="F168" s="37">
        <f>IFERROR(__xludf.DUMMYFUNCTION("""COMPUTED_VALUE"""),-4.231513943777578)</f>
        <v>-4.231513944</v>
      </c>
      <c r="G168" s="37">
        <f>IFERROR(__xludf.DUMMYFUNCTION("""COMPUTED_VALUE"""),-4.431615762144243)</f>
        <v>-4.431615762</v>
      </c>
      <c r="H168" s="37">
        <f>IFERROR(__xludf.DUMMYFUNCTION("""COMPUTED_VALUE"""),-0.2001018183666643)</f>
        <v>-0.2001018184</v>
      </c>
      <c r="I168" s="37">
        <f>IFERROR(__xludf.DUMMYFUNCTION("""COMPUTED_VALUE"""),7.5)</f>
        <v>7.5</v>
      </c>
      <c r="J168" s="37">
        <f>IFERROR(__xludf.DUMMYFUNCTION("""COMPUTED_VALUE"""),0.5)</f>
        <v>0.5</v>
      </c>
      <c r="K168" s="37">
        <f>IFERROR(__xludf.DUMMYFUNCTION("""COMPUTED_VALUE"""),5.3)</f>
        <v>5.3</v>
      </c>
      <c r="L168" s="37">
        <f>IFERROR(__xludf.DUMMYFUNCTION("""COMPUTED_VALUE"""),2.7)</f>
        <v>2.7</v>
      </c>
      <c r="M168" s="37">
        <f>IFERROR(__xludf.DUMMYFUNCTION("""COMPUTED_VALUE"""),1.1)</f>
        <v>1.1</v>
      </c>
      <c r="N168" s="37">
        <f>IFERROR(__xludf.DUMMYFUNCTION("""COMPUTED_VALUE"""),0.7)</f>
        <v>0.7</v>
      </c>
      <c r="O168" s="37">
        <f>IFERROR(__xludf.DUMMYFUNCTION("""COMPUTED_VALUE"""),44.11764705882353)</f>
        <v>44.11764706</v>
      </c>
      <c r="P168" s="37">
        <f>IFERROR(__xludf.DUMMYFUNCTION("""COMPUTED_VALUE"""),66.66666666666666)</f>
        <v>66.66666667</v>
      </c>
      <c r="Q168" s="37">
        <f>IFERROR(__xludf.DUMMYFUNCTION("""COMPUTED_VALUE"""),1.0)</f>
        <v>1</v>
      </c>
      <c r="R168" s="37">
        <f>IFERROR(__xludf.DUMMYFUNCTION("""COMPUTED_VALUE"""),-2.5171960574964833)</f>
        <v>-2.517196057</v>
      </c>
      <c r="S168" s="37">
        <f>IFERROR(__xludf.DUMMYFUNCTION("""COMPUTED_VALUE"""),-1.1133733411195912)</f>
        <v>-1.113373341</v>
      </c>
      <c r="T168" s="37">
        <f>IFERROR(__xludf.DUMMYFUNCTION("""COMPUTED_VALUE"""),-0.3161614598036222)</f>
        <v>-0.3161614598</v>
      </c>
      <c r="U168" s="37">
        <f>IFERROR(__xludf.DUMMYFUNCTION("""COMPUTED_VALUE"""),-0.5718422575306121)</f>
        <v>-0.5718422575</v>
      </c>
      <c r="V168" s="37">
        <f>IFERROR(__xludf.DUMMYFUNCTION("""COMPUTED_VALUE"""),0.39233811965195126)</f>
        <v>0.3923381197</v>
      </c>
      <c r="W168" s="37">
        <f>IFERROR(__xludf.DUMMYFUNCTION("""COMPUTED_VALUE"""),0.0)</f>
        <v>0</v>
      </c>
      <c r="X168" s="37">
        <f>IFERROR(__xludf.DUMMYFUNCTION("""COMPUTED_VALUE"""),0.0)</f>
        <v>0</v>
      </c>
      <c r="Y168" s="37">
        <f>IFERROR(__xludf.DUMMYFUNCTION("""COMPUTED_VALUE"""),-0.3053807658458848)</f>
        <v>-0.3053807658</v>
      </c>
      <c r="Z168" s="37">
        <f>IFERROR(__xludf.DUMMYFUNCTION("""COMPUTED_VALUE"""),0.0)</f>
        <v>0</v>
      </c>
      <c r="AA168" t="str">
        <f>IFERROR(__xludf.DUMMYFUNCTION("SUBSTITUTE(REGEXREPLACE(REGEXREPLACE(REGEXREPLACE(REGEXREPLACE(REGEXREPLACE(REGEXREPLACE(E168,"","",),IF(Projections!$U$3="""",""PG"",),),IF(Projections!$V$3="""",""SG"",),),IF(Projections!$W$3="""",""SF"",),),IF(Projections!$X$3="""",""PF"",),),IF(Projec"&amp;"tions!$Y$3="""",""C"",),),""/"","""")"),"SFPF")</f>
        <v>SFPF</v>
      </c>
    </row>
    <row r="169">
      <c r="B169">
        <f>IFERROR(__xludf.DUMMYFUNCTION("""COMPUTED_VALUE"""),99.0)</f>
        <v>99</v>
      </c>
      <c r="C169" t="str">
        <f>IFERROR(__xludf.DUMMYFUNCTION("""COMPUTED_VALUE"""),"Brandon Clarke")</f>
        <v>Brandon Clarke</v>
      </c>
      <c r="D169">
        <f>IFERROR(__xludf.DUMMYFUNCTION("""COMPUTED_VALUE"""),65.0)</f>
        <v>65</v>
      </c>
      <c r="E169" t="str">
        <f>IFERROR(__xludf.DUMMYFUNCTION("""COMPUTED_VALUE"""),"PF/C")</f>
        <v>PF/C</v>
      </c>
      <c r="F169" s="37">
        <f>IFERROR(__xludf.DUMMYFUNCTION("""COMPUTED_VALUE"""),-1.8840144331209476)</f>
        <v>-1.884014433</v>
      </c>
      <c r="G169" s="37">
        <f>IFERROR(__xludf.DUMMYFUNCTION("""COMPUTED_VALUE"""),-4.452159501593908)</f>
        <v>-4.452159502</v>
      </c>
      <c r="H169" s="37">
        <f>IFERROR(__xludf.DUMMYFUNCTION("""COMPUTED_VALUE"""),-2.56814506847296)</f>
        <v>-2.568145068</v>
      </c>
      <c r="I169" s="37">
        <f>IFERROR(__xludf.DUMMYFUNCTION("""COMPUTED_VALUE"""),13.9)</f>
        <v>13.9</v>
      </c>
      <c r="J169" s="37">
        <f>IFERROR(__xludf.DUMMYFUNCTION("""COMPUTED_VALUE"""),0.1)</f>
        <v>0.1</v>
      </c>
      <c r="K169" s="37">
        <f>IFERROR(__xludf.DUMMYFUNCTION("""COMPUTED_VALUE"""),7.0)</f>
        <v>7</v>
      </c>
      <c r="L169" s="37">
        <f>IFERROR(__xludf.DUMMYFUNCTION("""COMPUTED_VALUE"""),1.8)</f>
        <v>1.8</v>
      </c>
      <c r="M169" s="37">
        <f>IFERROR(__xludf.DUMMYFUNCTION("""COMPUTED_VALUE"""),0.8)</f>
        <v>0.8</v>
      </c>
      <c r="N169" s="37">
        <f>IFERROR(__xludf.DUMMYFUNCTION("""COMPUTED_VALUE"""),1.2)</f>
        <v>1.2</v>
      </c>
      <c r="O169" s="37">
        <f>IFERROR(__xludf.DUMMYFUNCTION("""COMPUTED_VALUE"""),61.855670103092784)</f>
        <v>61.8556701</v>
      </c>
      <c r="P169" s="37">
        <f>IFERROR(__xludf.DUMMYFUNCTION("""COMPUTED_VALUE"""),65.38461538461539)</f>
        <v>65.38461538</v>
      </c>
      <c r="Q169" s="37">
        <f>IFERROR(__xludf.DUMMYFUNCTION("""COMPUTED_VALUE"""),0.7)</f>
        <v>0.7</v>
      </c>
      <c r="R169" s="37">
        <f>IFERROR(__xludf.DUMMYFUNCTION("""COMPUTED_VALUE"""),-0.8129730113987568)</f>
        <v>-0.8129730114</v>
      </c>
      <c r="S169" s="37">
        <f>IFERROR(__xludf.DUMMYFUNCTION("""COMPUTED_VALUE"""),-1.5133555661390465)</f>
        <v>-1.513355566</v>
      </c>
      <c r="T169" s="37">
        <f>IFERROR(__xludf.DUMMYFUNCTION("""COMPUTED_VALUE"""),0.37780472536325593)</f>
        <v>0.3778047254</v>
      </c>
      <c r="U169" s="37">
        <f>IFERROR(__xludf.DUMMYFUNCTION("""COMPUTED_VALUE"""),-1.085466147248329)</f>
        <v>-1.085466147</v>
      </c>
      <c r="V169" s="37">
        <f>IFERROR(__xludf.DUMMYFUNCTION("""COMPUTED_VALUE"""),-0.8340614571621854)</f>
        <v>-0.8340614572</v>
      </c>
      <c r="W169" s="37">
        <f>IFERROR(__xludf.DUMMYFUNCTION("""COMPUTED_VALUE"""),0.0)</f>
        <v>0</v>
      </c>
      <c r="X169" s="37">
        <f>IFERROR(__xludf.DUMMYFUNCTION("""COMPUTED_VALUE"""),0.0)</f>
        <v>0</v>
      </c>
      <c r="Y169" s="37">
        <f>IFERROR(__xludf.DUMMYFUNCTION("""COMPUTED_VALUE"""),-0.5841080450088464)</f>
        <v>-0.584108045</v>
      </c>
      <c r="Z169" s="37">
        <f>IFERROR(__xludf.DUMMYFUNCTION("""COMPUTED_VALUE"""),0.0)</f>
        <v>0</v>
      </c>
      <c r="AA169" t="str">
        <f>IFERROR(__xludf.DUMMYFUNCTION("SUBSTITUTE(REGEXREPLACE(REGEXREPLACE(REGEXREPLACE(REGEXREPLACE(REGEXREPLACE(REGEXREPLACE(E169,"","",),IF(Projections!$U$3="""",""PG"",),),IF(Projections!$V$3="""",""SG"",),),IF(Projections!$W$3="""",""SF"",),),IF(Projections!$X$3="""",""PF"",),),IF(Projec"&amp;"tions!$Y$3="""",""C"",),),""/"","""")"),"PFC")</f>
        <v>PFC</v>
      </c>
    </row>
    <row r="170">
      <c r="B170">
        <f>IFERROR(__xludf.DUMMYFUNCTION("""COMPUTED_VALUE"""),123.0)</f>
        <v>123</v>
      </c>
      <c r="C170" t="str">
        <f>IFERROR(__xludf.DUMMYFUNCTION("""COMPUTED_VALUE"""),"Matisse Thybulle")</f>
        <v>Matisse Thybulle</v>
      </c>
      <c r="D170">
        <f>IFERROR(__xludf.DUMMYFUNCTION("""COMPUTED_VALUE"""),60.0)</f>
        <v>60</v>
      </c>
      <c r="E170" t="str">
        <f>IFERROR(__xludf.DUMMYFUNCTION("""COMPUTED_VALUE"""),"PG/SG")</f>
        <v>PG/SG</v>
      </c>
      <c r="F170" s="37">
        <f>IFERROR(__xludf.DUMMYFUNCTION("""COMPUTED_VALUE"""),-2.6598152798889014)</f>
        <v>-2.65981528</v>
      </c>
      <c r="G170" s="37">
        <f>IFERROR(__xludf.DUMMYFUNCTION("""COMPUTED_VALUE"""),-4.4571208209177655)</f>
        <v>-4.457120821</v>
      </c>
      <c r="H170" s="37">
        <f>IFERROR(__xludf.DUMMYFUNCTION("""COMPUTED_VALUE"""),-1.797305541028864)</f>
        <v>-1.797305541</v>
      </c>
      <c r="I170" s="37">
        <f>IFERROR(__xludf.DUMMYFUNCTION("""COMPUTED_VALUE"""),5.7)</f>
        <v>5.7</v>
      </c>
      <c r="J170" s="37">
        <f>IFERROR(__xludf.DUMMYFUNCTION("""COMPUTED_VALUE"""),0.7)</f>
        <v>0.7</v>
      </c>
      <c r="K170" s="37">
        <f>IFERROR(__xludf.DUMMYFUNCTION("""COMPUTED_VALUE"""),2.3)</f>
        <v>2.3</v>
      </c>
      <c r="L170" s="37">
        <f>IFERROR(__xludf.DUMMYFUNCTION("""COMPUTED_VALUE"""),1.1)</f>
        <v>1.1</v>
      </c>
      <c r="M170" s="37">
        <f>IFERROR(__xludf.DUMMYFUNCTION("""COMPUTED_VALUE"""),1.6)</f>
        <v>1.6</v>
      </c>
      <c r="N170" s="37">
        <f>IFERROR(__xludf.DUMMYFUNCTION("""COMPUTED_VALUE"""),1.1)</f>
        <v>1.1</v>
      </c>
      <c r="O170" s="37">
        <f>IFERROR(__xludf.DUMMYFUNCTION("""COMPUTED_VALUE"""),51.11111111111111)</f>
        <v>51.11111111</v>
      </c>
      <c r="P170" s="37">
        <f>IFERROR(__xludf.DUMMYFUNCTION("""COMPUTED_VALUE"""),83.33333333333334)</f>
        <v>83.33333333</v>
      </c>
      <c r="Q170" s="37">
        <f>IFERROR(__xludf.DUMMYFUNCTION("""COMPUTED_VALUE"""),0.6)</f>
        <v>0.6</v>
      </c>
      <c r="R170" s="37">
        <f>IFERROR(__xludf.DUMMYFUNCTION("""COMPUTED_VALUE"""),-2.9965087892114695)</f>
        <v>-2.996508789</v>
      </c>
      <c r="S170" s="37">
        <f>IFERROR(__xludf.DUMMYFUNCTION("""COMPUTED_VALUE"""),-0.9133822286098637)</f>
        <v>-0.9133822286</v>
      </c>
      <c r="T170" s="37">
        <f>IFERROR(__xludf.DUMMYFUNCTION("""COMPUTED_VALUE"""),-1.5408076689216421)</f>
        <v>-1.540807669</v>
      </c>
      <c r="U170" s="37">
        <f>IFERROR(__xludf.DUMMYFUNCTION("""COMPUTED_VALUE"""),-1.484951394806553)</f>
        <v>-1.484951395</v>
      </c>
      <c r="V170" s="37">
        <f>IFERROR(__xludf.DUMMYFUNCTION("""COMPUTED_VALUE"""),2.4363374143421788)</f>
        <v>2.436337414</v>
      </c>
      <c r="W170" s="37">
        <f>IFERROR(__xludf.DUMMYFUNCTION("""COMPUTED_VALUE"""),0.0)</f>
        <v>0</v>
      </c>
      <c r="X170" s="37">
        <f>IFERROR(__xludf.DUMMYFUNCTION("""COMPUTED_VALUE"""),0.0)</f>
        <v>0</v>
      </c>
      <c r="Y170" s="37">
        <f>IFERROR(__xludf.DUMMYFUNCTION("""COMPUTED_VALUE"""),0.04219184628958482)</f>
        <v>0.04219184629</v>
      </c>
      <c r="Z170" s="37">
        <f>IFERROR(__xludf.DUMMYFUNCTION("""COMPUTED_VALUE"""),0.0)</f>
        <v>0</v>
      </c>
      <c r="AA170" t="str">
        <f>IFERROR(__xludf.DUMMYFUNCTION("SUBSTITUTE(REGEXREPLACE(REGEXREPLACE(REGEXREPLACE(REGEXREPLACE(REGEXREPLACE(REGEXREPLACE(E170,"","",),IF(Projections!$U$3="""",""PG"",),),IF(Projections!$V$3="""",""SG"",),),IF(Projections!$W$3="""",""SF"",),),IF(Projections!$X$3="""",""PF"",),),IF(Projec"&amp;"tions!$Y$3="""",""C"",),),""/"","""")"),"PGSG")</f>
        <v>PGSG</v>
      </c>
    </row>
    <row r="171">
      <c r="B171">
        <f>IFERROR(__xludf.DUMMYFUNCTION("""COMPUTED_VALUE"""),101.0)</f>
        <v>101</v>
      </c>
      <c r="C171" t="str">
        <f>IFERROR(__xludf.DUMMYFUNCTION("""COMPUTED_VALUE"""),"Jakob Poeltl")</f>
        <v>Jakob Poeltl</v>
      </c>
      <c r="D171">
        <f>IFERROR(__xludf.DUMMYFUNCTION("""COMPUTED_VALUE"""),73.0)</f>
        <v>73</v>
      </c>
      <c r="E171" t="str">
        <f>IFERROR(__xludf.DUMMYFUNCTION("""COMPUTED_VALUE"""),"C")</f>
        <v>C</v>
      </c>
      <c r="F171" s="37">
        <f>IFERROR(__xludf.DUMMYFUNCTION("""COMPUTED_VALUE"""),-1.8978217629568352)</f>
        <v>-1.897821763</v>
      </c>
      <c r="G171" s="37">
        <f>IFERROR(__xludf.DUMMYFUNCTION("""COMPUTED_VALUE"""),-4.488955541222668)</f>
        <v>-4.488955541</v>
      </c>
      <c r="H171" s="37">
        <f>IFERROR(__xludf.DUMMYFUNCTION("""COMPUTED_VALUE"""),-2.5911337782658332)</f>
        <v>-2.591133778</v>
      </c>
      <c r="I171" s="37">
        <f>IFERROR(__xludf.DUMMYFUNCTION("""COMPUTED_VALUE"""),13.5)</f>
        <v>13.5</v>
      </c>
      <c r="J171" s="37">
        <f>IFERROR(__xludf.DUMMYFUNCTION("""COMPUTED_VALUE"""),0.0)</f>
        <v>0</v>
      </c>
      <c r="K171" s="37">
        <f>IFERROR(__xludf.DUMMYFUNCTION("""COMPUTED_VALUE"""),9.5)</f>
        <v>9.5</v>
      </c>
      <c r="L171" s="37">
        <f>IFERROR(__xludf.DUMMYFUNCTION("""COMPUTED_VALUE"""),2.8)</f>
        <v>2.8</v>
      </c>
      <c r="M171" s="37">
        <f>IFERROR(__xludf.DUMMYFUNCTION("""COMPUTED_VALUE"""),0.7)</f>
        <v>0.7</v>
      </c>
      <c r="N171" s="37">
        <f>IFERROR(__xludf.DUMMYFUNCTION("""COMPUTED_VALUE"""),1.7)</f>
        <v>1.7</v>
      </c>
      <c r="O171" s="37">
        <f>IFERROR(__xludf.DUMMYFUNCTION("""COMPUTED_VALUE"""),61.61616161616161)</f>
        <v>61.61616162</v>
      </c>
      <c r="P171" s="37">
        <f>IFERROR(__xludf.DUMMYFUNCTION("""COMPUTED_VALUE"""),46.666666666666664)</f>
        <v>46.66666667</v>
      </c>
      <c r="Q171" s="37">
        <f>IFERROR(__xludf.DUMMYFUNCTION("""COMPUTED_VALUE"""),1.6)</f>
        <v>1.6</v>
      </c>
      <c r="R171" s="37">
        <f>IFERROR(__xludf.DUMMYFUNCTION("""COMPUTED_VALUE"""),-0.9194869517798647)</f>
        <v>-0.9194869518</v>
      </c>
      <c r="S171" s="37">
        <f>IFERROR(__xludf.DUMMYFUNCTION("""COMPUTED_VALUE"""),-1.6133511223939103)</f>
        <v>-1.613351122</v>
      </c>
      <c r="T171" s="37">
        <f>IFERROR(__xludf.DUMMYFUNCTION("""COMPUTED_VALUE"""),1.398343232961606)</f>
        <v>1.398343233</v>
      </c>
      <c r="U171" s="37">
        <f>IFERROR(__xludf.DUMMYFUNCTION("""COMPUTED_VALUE"""),-0.514772936450866)</f>
        <v>-0.5147729365</v>
      </c>
      <c r="V171" s="37">
        <f>IFERROR(__xludf.DUMMYFUNCTION("""COMPUTED_VALUE"""),-1.2428613161002313)</f>
        <v>-1.242861316</v>
      </c>
      <c r="W171" s="37">
        <f>IFERROR(__xludf.DUMMYFUNCTION("""COMPUTED_VALUE"""),0.0)</f>
        <v>0</v>
      </c>
      <c r="X171" s="37">
        <f>IFERROR(__xludf.DUMMYFUNCTION("""COMPUTED_VALUE"""),0.0)</f>
        <v>0</v>
      </c>
      <c r="Y171" s="37">
        <f>IFERROR(__xludf.DUMMYFUNCTION("""COMPUTED_VALUE"""),-1.5968264474594018)</f>
        <v>-1.596826447</v>
      </c>
      <c r="Z171" s="37">
        <f>IFERROR(__xludf.DUMMYFUNCTION("""COMPUTED_VALUE"""),0.0)</f>
        <v>0</v>
      </c>
      <c r="AA171" t="str">
        <f>IFERROR(__xludf.DUMMYFUNCTION("SUBSTITUTE(REGEXREPLACE(REGEXREPLACE(REGEXREPLACE(REGEXREPLACE(REGEXREPLACE(REGEXREPLACE(E171,"","",),IF(Projections!$U$3="""",""PG"",),),IF(Projections!$V$3="""",""SG"",),),IF(Projections!$W$3="""",""SF"",),),IF(Projections!$X$3="""",""PF"",),),IF(Projec"&amp;"tions!$Y$3="""",""C"",),),""/"","""")"),"C")</f>
        <v>C</v>
      </c>
    </row>
    <row r="172">
      <c r="B172">
        <f>IFERROR(__xludf.DUMMYFUNCTION("""COMPUTED_VALUE"""),129.0)</f>
        <v>129</v>
      </c>
      <c r="C172" t="str">
        <f>IFERROR(__xludf.DUMMYFUNCTION("""COMPUTED_VALUE"""),"Jalen Smith")</f>
        <v>Jalen Smith</v>
      </c>
      <c r="D172">
        <f>IFERROR(__xludf.DUMMYFUNCTION("""COMPUTED_VALUE"""),77.0)</f>
        <v>77</v>
      </c>
      <c r="E172" t="str">
        <f>IFERROR(__xludf.DUMMYFUNCTION("""COMPUTED_VALUE"""),"PF")</f>
        <v>PF</v>
      </c>
      <c r="F172" s="37">
        <f>IFERROR(__xludf.DUMMYFUNCTION("""COMPUTED_VALUE"""),-2.8977779221265707)</f>
        <v>-2.897777922</v>
      </c>
      <c r="G172" s="37">
        <f>IFERROR(__xludf.DUMMYFUNCTION("""COMPUTED_VALUE"""),-4.554178214780195)</f>
        <v>-4.554178215</v>
      </c>
      <c r="H172" s="37">
        <f>IFERROR(__xludf.DUMMYFUNCTION("""COMPUTED_VALUE"""),-1.656400292653624)</f>
        <v>-1.656400293</v>
      </c>
      <c r="I172" s="37">
        <f>IFERROR(__xludf.DUMMYFUNCTION("""COMPUTED_VALUE"""),13.5)</f>
        <v>13.5</v>
      </c>
      <c r="J172" s="37">
        <f>IFERROR(__xludf.DUMMYFUNCTION("""COMPUTED_VALUE"""),1.3)</f>
        <v>1.3</v>
      </c>
      <c r="K172" s="37">
        <f>IFERROR(__xludf.DUMMYFUNCTION("""COMPUTED_VALUE"""),7.5)</f>
        <v>7.5</v>
      </c>
      <c r="L172" s="37">
        <f>IFERROR(__xludf.DUMMYFUNCTION("""COMPUTED_VALUE"""),0.8)</f>
        <v>0.8</v>
      </c>
      <c r="M172" s="37">
        <f>IFERROR(__xludf.DUMMYFUNCTION("""COMPUTED_VALUE"""),0.5)</f>
        <v>0.5</v>
      </c>
      <c r="N172" s="37">
        <f>IFERROR(__xludf.DUMMYFUNCTION("""COMPUTED_VALUE"""),1.1)</f>
        <v>1.1</v>
      </c>
      <c r="O172" s="37">
        <f>IFERROR(__xludf.DUMMYFUNCTION("""COMPUTED_VALUE"""),48.57142857142856)</f>
        <v>48.57142857</v>
      </c>
      <c r="P172" s="37">
        <f>IFERROR(__xludf.DUMMYFUNCTION("""COMPUTED_VALUE"""),75.00000000000001)</f>
        <v>75</v>
      </c>
      <c r="Q172" s="37">
        <f>IFERROR(__xludf.DUMMYFUNCTION("""COMPUTED_VALUE"""),1.3)</f>
        <v>1.3</v>
      </c>
      <c r="R172" s="37">
        <f>IFERROR(__xludf.DUMMYFUNCTION("""COMPUTED_VALUE"""),-0.9194869517798647)</f>
        <v>-0.9194869518</v>
      </c>
      <c r="S172" s="37">
        <f>IFERROR(__xludf.DUMMYFUNCTION("""COMPUTED_VALUE"""),-0.31340889108068076)</f>
        <v>-0.3134088911</v>
      </c>
      <c r="T172" s="37">
        <f>IFERROR(__xludf.DUMMYFUNCTION("""COMPUTED_VALUE"""),0.5819124268829259)</f>
        <v>0.5819124269</v>
      </c>
      <c r="U172" s="37">
        <f>IFERROR(__xludf.DUMMYFUNCTION("""COMPUTED_VALUE"""),-1.6561593580457918)</f>
        <v>-1.656159358</v>
      </c>
      <c r="V172" s="37">
        <f>IFERROR(__xludf.DUMMYFUNCTION("""COMPUTED_VALUE"""),-2.0604610339763223)</f>
        <v>-2.060461034</v>
      </c>
      <c r="W172" s="37">
        <f>IFERROR(__xludf.DUMMYFUNCTION("""COMPUTED_VALUE"""),0.0)</f>
        <v>0</v>
      </c>
      <c r="X172" s="37">
        <f>IFERROR(__xludf.DUMMYFUNCTION("""COMPUTED_VALUE"""),0.0)</f>
        <v>0</v>
      </c>
      <c r="Y172" s="37">
        <f>IFERROR(__xludf.DUMMYFUNCTION("""COMPUTED_VALUE"""),-0.18657440678046072)</f>
        <v>-0.1865744068</v>
      </c>
      <c r="Z172" s="37">
        <f>IFERROR(__xludf.DUMMYFUNCTION("""COMPUTED_VALUE"""),0.0)</f>
        <v>0</v>
      </c>
      <c r="AA172" t="str">
        <f>IFERROR(__xludf.DUMMYFUNCTION("SUBSTITUTE(REGEXREPLACE(REGEXREPLACE(REGEXREPLACE(REGEXREPLACE(REGEXREPLACE(REGEXREPLACE(E172,"","",),IF(Projections!$U$3="""",""PG"",),),IF(Projections!$V$3="""",""SG"",),),IF(Projections!$W$3="""",""SF"",),),IF(Projections!$X$3="""",""PF"",),),IF(Projec"&amp;"tions!$Y$3="""",""C"",),),""/"","""")"),"PF")</f>
        <v>PF</v>
      </c>
    </row>
    <row r="173">
      <c r="B173">
        <f>IFERROR(__xludf.DUMMYFUNCTION("""COMPUTED_VALUE"""),176.0)</f>
        <v>176</v>
      </c>
      <c r="C173" t="str">
        <f>IFERROR(__xludf.DUMMYFUNCTION("""COMPUTED_VALUE"""),"Steven Adams")</f>
        <v>Steven Adams</v>
      </c>
      <c r="D173">
        <f>IFERROR(__xludf.DUMMYFUNCTION("""COMPUTED_VALUE"""),68.0)</f>
        <v>68</v>
      </c>
      <c r="E173" t="str">
        <f>IFERROR(__xludf.DUMMYFUNCTION("""COMPUTED_VALUE"""),"C")</f>
        <v>C</v>
      </c>
      <c r="F173" s="37">
        <f>IFERROR(__xludf.DUMMYFUNCTION("""COMPUTED_VALUE"""),-4.138740864174582)</f>
        <v>-4.138740864</v>
      </c>
      <c r="G173" s="37">
        <f>IFERROR(__xludf.DUMMYFUNCTION("""COMPUTED_VALUE"""),-4.567622480389251)</f>
        <v>-4.56762248</v>
      </c>
      <c r="H173" s="37">
        <f>IFERROR(__xludf.DUMMYFUNCTION("""COMPUTED_VALUE"""),-0.42888161621466914)</f>
        <v>-0.4288816162</v>
      </c>
      <c r="I173" s="37">
        <f>IFERROR(__xludf.DUMMYFUNCTION("""COMPUTED_VALUE"""),7.2)</f>
        <v>7.2</v>
      </c>
      <c r="J173" s="37">
        <f>IFERROR(__xludf.DUMMYFUNCTION("""COMPUTED_VALUE"""),0.0)</f>
        <v>0</v>
      </c>
      <c r="K173" s="37">
        <f>IFERROR(__xludf.DUMMYFUNCTION("""COMPUTED_VALUE"""),9.9)</f>
        <v>9.9</v>
      </c>
      <c r="L173" s="37">
        <f>IFERROR(__xludf.DUMMYFUNCTION("""COMPUTED_VALUE"""),3.2)</f>
        <v>3.2</v>
      </c>
      <c r="M173" s="37">
        <f>IFERROR(__xludf.DUMMYFUNCTION("""COMPUTED_VALUE"""),0.9)</f>
        <v>0.9</v>
      </c>
      <c r="N173" s="37">
        <f>IFERROR(__xludf.DUMMYFUNCTION("""COMPUTED_VALUE"""),0.8)</f>
        <v>0.8</v>
      </c>
      <c r="O173" s="37">
        <f>IFERROR(__xludf.DUMMYFUNCTION("""COMPUTED_VALUE"""),55.769230769230774)</f>
        <v>55.76923077</v>
      </c>
      <c r="P173" s="37">
        <f>IFERROR(__xludf.DUMMYFUNCTION("""COMPUTED_VALUE"""),51.85185185185185)</f>
        <v>51.85185185</v>
      </c>
      <c r="Q173" s="37">
        <f>IFERROR(__xludf.DUMMYFUNCTION("""COMPUTED_VALUE"""),1.5)</f>
        <v>1.5</v>
      </c>
      <c r="R173" s="37">
        <f>IFERROR(__xludf.DUMMYFUNCTION("""COMPUTED_VALUE"""),-2.5970815127823146)</f>
        <v>-2.597081513</v>
      </c>
      <c r="S173" s="37">
        <f>IFERROR(__xludf.DUMMYFUNCTION("""COMPUTED_VALUE"""),-1.6133511223939103)</f>
        <v>-1.613351122</v>
      </c>
      <c r="T173" s="37">
        <f>IFERROR(__xludf.DUMMYFUNCTION("""COMPUTED_VALUE"""),1.561629394177342)</f>
        <v>1.561629394</v>
      </c>
      <c r="U173" s="37">
        <f>IFERROR(__xludf.DUMMYFUNCTION("""COMPUTED_VALUE"""),-0.2864956521318806)</f>
        <v>-0.2864956521</v>
      </c>
      <c r="V173" s="37">
        <f>IFERROR(__xludf.DUMMYFUNCTION("""COMPUTED_VALUE"""),-0.42526159822414)</f>
        <v>-0.4252615982</v>
      </c>
      <c r="W173" s="37">
        <f>IFERROR(__xludf.DUMMYFUNCTION("""COMPUTED_VALUE"""),0.0)</f>
        <v>0</v>
      </c>
      <c r="X173" s="37">
        <f>IFERROR(__xludf.DUMMYFUNCTION("""COMPUTED_VALUE"""),0.0)</f>
        <v>0</v>
      </c>
      <c r="Y173" s="37">
        <f>IFERROR(__xludf.DUMMYFUNCTION("""COMPUTED_VALUE"""),-1.2070619890343475)</f>
        <v>-1.207061989</v>
      </c>
      <c r="Z173" s="37">
        <f>IFERROR(__xludf.DUMMYFUNCTION("""COMPUTED_VALUE"""),0.0)</f>
        <v>0</v>
      </c>
      <c r="AA173" t="str">
        <f>IFERROR(__xludf.DUMMYFUNCTION("SUBSTITUTE(REGEXREPLACE(REGEXREPLACE(REGEXREPLACE(REGEXREPLACE(REGEXREPLACE(REGEXREPLACE(E173,"","",),IF(Projections!$U$3="""",""PG"",),),IF(Projections!$V$3="""",""SG"",),),IF(Projections!$W$3="""",""SF"",),),IF(Projections!$X$3="""",""PF"",),),IF(Projec"&amp;"tions!$Y$3="""",""C"",),),""/"","""")"),"C")</f>
        <v>C</v>
      </c>
    </row>
    <row r="174">
      <c r="B174">
        <f>IFERROR(__xludf.DUMMYFUNCTION("""COMPUTED_VALUE"""),111.0)</f>
        <v>111</v>
      </c>
      <c r="C174" t="str">
        <f>IFERROR(__xludf.DUMMYFUNCTION("""COMPUTED_VALUE"""),"Brook Lopez")</f>
        <v>Brook Lopez</v>
      </c>
      <c r="D174">
        <f>IFERROR(__xludf.DUMMYFUNCTION("""COMPUTED_VALUE"""),70.0)</f>
        <v>70</v>
      </c>
      <c r="E174" t="str">
        <f>IFERROR(__xludf.DUMMYFUNCTION("""COMPUTED_VALUE"""),"C")</f>
        <v>C</v>
      </c>
      <c r="F174" s="37">
        <f>IFERROR(__xludf.DUMMYFUNCTION("""COMPUTED_VALUE"""),-2.0745729780772133)</f>
        <v>-2.074572978</v>
      </c>
      <c r="G174" s="37">
        <f>IFERROR(__xludf.DUMMYFUNCTION("""COMPUTED_VALUE"""),-4.585284020604678)</f>
        <v>-4.585284021</v>
      </c>
      <c r="H174" s="37">
        <f>IFERROR(__xludf.DUMMYFUNCTION("""COMPUTED_VALUE"""),-2.5107110425274644)</f>
        <v>-2.510711043</v>
      </c>
      <c r="I174" s="37">
        <f>IFERROR(__xludf.DUMMYFUNCTION("""COMPUTED_VALUE"""),12.3)</f>
        <v>12.3</v>
      </c>
      <c r="J174" s="37">
        <f>IFERROR(__xludf.DUMMYFUNCTION("""COMPUTED_VALUE"""),1.4)</f>
        <v>1.4</v>
      </c>
      <c r="K174" s="37">
        <f>IFERROR(__xludf.DUMMYFUNCTION("""COMPUTED_VALUE"""),4.9)</f>
        <v>4.9</v>
      </c>
      <c r="L174" s="37">
        <f>IFERROR(__xludf.DUMMYFUNCTION("""COMPUTED_VALUE"""),0.6)</f>
        <v>0.6</v>
      </c>
      <c r="M174" s="37">
        <f>IFERROR(__xludf.DUMMYFUNCTION("""COMPUTED_VALUE"""),0.7)</f>
        <v>0.7</v>
      </c>
      <c r="N174" s="37">
        <f>IFERROR(__xludf.DUMMYFUNCTION("""COMPUTED_VALUE"""),1.3)</f>
        <v>1.3</v>
      </c>
      <c r="O174" s="37">
        <f>IFERROR(__xludf.DUMMYFUNCTION("""COMPUTED_VALUE"""),47.916666666666664)</f>
        <v>47.91666667</v>
      </c>
      <c r="P174" s="37">
        <f>IFERROR(__xludf.DUMMYFUNCTION("""COMPUTED_VALUE"""),90.0)</f>
        <v>90</v>
      </c>
      <c r="Q174" s="37">
        <f>IFERROR(__xludf.DUMMYFUNCTION("""COMPUTED_VALUE"""),1.1)</f>
        <v>1.1</v>
      </c>
      <c r="R174" s="37">
        <f>IFERROR(__xludf.DUMMYFUNCTION("""COMPUTED_VALUE"""),-1.2390287729231884)</f>
        <v>-1.239028773</v>
      </c>
      <c r="S174" s="37">
        <f>IFERROR(__xludf.DUMMYFUNCTION("""COMPUTED_VALUE"""),-0.2134133348258171)</f>
        <v>-0.2134133348</v>
      </c>
      <c r="T174" s="37">
        <f>IFERROR(__xludf.DUMMYFUNCTION("""COMPUTED_VALUE"""),-0.47944762101935795)</f>
        <v>-0.479447621</v>
      </c>
      <c r="U174" s="37">
        <f>IFERROR(__xludf.DUMMYFUNCTION("""COMPUTED_VALUE"""),-1.7702980002052842)</f>
        <v>-1.770298</v>
      </c>
      <c r="V174" s="37">
        <f>IFERROR(__xludf.DUMMYFUNCTION("""COMPUTED_VALUE"""),-1.2428613161002313)</f>
        <v>-1.242861316</v>
      </c>
      <c r="W174" s="37">
        <f>IFERROR(__xludf.DUMMYFUNCTION("""COMPUTED_VALUE"""),0.0)</f>
        <v>0</v>
      </c>
      <c r="X174" s="37">
        <f>IFERROR(__xludf.DUMMYFUNCTION("""COMPUTED_VALUE"""),0.0)</f>
        <v>0</v>
      </c>
      <c r="Y174" s="37">
        <f>IFERROR(__xludf.DUMMYFUNCTION("""COMPUTED_VALUE"""),0.35976502446920094)</f>
        <v>0.3597650245</v>
      </c>
      <c r="Z174" s="37">
        <f>IFERROR(__xludf.DUMMYFUNCTION("""COMPUTED_VALUE"""),0.0)</f>
        <v>0</v>
      </c>
      <c r="AA174" t="str">
        <f>IFERROR(__xludf.DUMMYFUNCTION("SUBSTITUTE(REGEXREPLACE(REGEXREPLACE(REGEXREPLACE(REGEXREPLACE(REGEXREPLACE(REGEXREPLACE(E174,"","",),IF(Projections!$U$3="""",""PG"",),),IF(Projections!$V$3="""",""SG"",),),IF(Projections!$W$3="""",""SF"",),),IF(Projections!$X$3="""",""PF"",),),IF(Projec"&amp;"tions!$Y$3="""",""C"",),),""/"","""")"),"C")</f>
        <v>C</v>
      </c>
    </row>
    <row r="175">
      <c r="B175">
        <f>IFERROR(__xludf.DUMMYFUNCTION("""COMPUTED_VALUE"""),92.0)</f>
        <v>92</v>
      </c>
      <c r="C175" t="str">
        <f>IFERROR(__xludf.DUMMYFUNCTION("""COMPUTED_VALUE"""),"Ivica Zubac")</f>
        <v>Ivica Zubac</v>
      </c>
      <c r="D175">
        <f>IFERROR(__xludf.DUMMYFUNCTION("""COMPUTED_VALUE"""),69.0)</f>
        <v>69</v>
      </c>
      <c r="E175" t="str">
        <f>IFERROR(__xludf.DUMMYFUNCTION("""COMPUTED_VALUE"""),"C")</f>
        <v>C</v>
      </c>
      <c r="F175" s="37">
        <f>IFERROR(__xludf.DUMMYFUNCTION("""COMPUTED_VALUE"""),-1.6189928210605373)</f>
        <v>-1.618992821</v>
      </c>
      <c r="G175" s="37">
        <f>IFERROR(__xludf.DUMMYFUNCTION("""COMPUTED_VALUE"""),-4.598313356505926)</f>
        <v>-4.598313357</v>
      </c>
      <c r="H175" s="37">
        <f>IFERROR(__xludf.DUMMYFUNCTION("""COMPUTED_VALUE"""),-2.979320535445389)</f>
        <v>-2.979320535</v>
      </c>
      <c r="I175" s="37">
        <f>IFERROR(__xludf.DUMMYFUNCTION("""COMPUTED_VALUE"""),12.2)</f>
        <v>12.2</v>
      </c>
      <c r="J175" s="37">
        <f>IFERROR(__xludf.DUMMYFUNCTION("""COMPUTED_VALUE"""),0.0)</f>
        <v>0</v>
      </c>
      <c r="K175" s="37">
        <f>IFERROR(__xludf.DUMMYFUNCTION("""COMPUTED_VALUE"""),9.1)</f>
        <v>9.1</v>
      </c>
      <c r="L175" s="37">
        <f>IFERROR(__xludf.DUMMYFUNCTION("""COMPUTED_VALUE"""),1.9)</f>
        <v>1.9</v>
      </c>
      <c r="M175" s="37">
        <f>IFERROR(__xludf.DUMMYFUNCTION("""COMPUTED_VALUE"""),0.6)</f>
        <v>0.6</v>
      </c>
      <c r="N175" s="37">
        <f>IFERROR(__xludf.DUMMYFUNCTION("""COMPUTED_VALUE"""),1.2)</f>
        <v>1.2</v>
      </c>
      <c r="O175" s="37">
        <f>IFERROR(__xludf.DUMMYFUNCTION("""COMPUTED_VALUE"""),63.1578947368421)</f>
        <v>63.15789474</v>
      </c>
      <c r="P175" s="37">
        <f>IFERROR(__xludf.DUMMYFUNCTION("""COMPUTED_VALUE"""),74.28571428571429)</f>
        <v>74.28571429</v>
      </c>
      <c r="Q175" s="37">
        <f>IFERROR(__xludf.DUMMYFUNCTION("""COMPUTED_VALUE"""),1.8)</f>
        <v>1.8</v>
      </c>
      <c r="R175" s="37">
        <f>IFERROR(__xludf.DUMMYFUNCTION("""COMPUTED_VALUE"""),-1.2656572580184657)</f>
        <v>-1.265657258</v>
      </c>
      <c r="S175" s="37">
        <f>IFERROR(__xludf.DUMMYFUNCTION("""COMPUTED_VALUE"""),-1.6133511223939103)</f>
        <v>-1.613351122</v>
      </c>
      <c r="T175" s="37">
        <f>IFERROR(__xludf.DUMMYFUNCTION("""COMPUTED_VALUE"""),1.2350570717458698)</f>
        <v>1.235057072</v>
      </c>
      <c r="U175" s="37">
        <f>IFERROR(__xludf.DUMMYFUNCTION("""COMPUTED_VALUE"""),-1.0283968261685825)</f>
        <v>-1.028396826</v>
      </c>
      <c r="V175" s="37">
        <f>IFERROR(__xludf.DUMMYFUNCTION("""COMPUTED_VALUE"""),-1.6516611750382768)</f>
        <v>-1.651661175</v>
      </c>
      <c r="W175" s="37">
        <f>IFERROR(__xludf.DUMMYFUNCTION("""COMPUTED_VALUE"""),0.0)</f>
        <v>0</v>
      </c>
      <c r="X175" s="37">
        <f>IFERROR(__xludf.DUMMYFUNCTION("""COMPUTED_VALUE"""),0.0)</f>
        <v>0</v>
      </c>
      <c r="Y175" s="37">
        <f>IFERROR(__xludf.DUMMYFUNCTION("""COMPUTED_VALUE"""),-0.2743040466325611)</f>
        <v>-0.2743040466</v>
      </c>
      <c r="Z175" s="37">
        <f>IFERROR(__xludf.DUMMYFUNCTION("""COMPUTED_VALUE"""),0.0)</f>
        <v>0</v>
      </c>
      <c r="AA175" t="str">
        <f>IFERROR(__xludf.DUMMYFUNCTION("SUBSTITUTE(REGEXREPLACE(REGEXREPLACE(REGEXREPLACE(REGEXREPLACE(REGEXREPLACE(REGEXREPLACE(E175,"","",),IF(Projections!$U$3="""",""PG"",),),IF(Projections!$V$3="""",""SG"",),),IF(Projections!$W$3="""",""SF"",),),IF(Projections!$X$3="""",""PF"",),),IF(Projec"&amp;"tions!$Y$3="""",""C"",),),""/"","""")"),"C")</f>
        <v>C</v>
      </c>
    </row>
    <row r="176">
      <c r="B176">
        <f>IFERROR(__xludf.DUMMYFUNCTION("""COMPUTED_VALUE"""),152.0)</f>
        <v>152</v>
      </c>
      <c r="C176" t="str">
        <f>IFERROR(__xludf.DUMMYFUNCTION("""COMPUTED_VALUE"""),"Paul Reed")</f>
        <v>Paul Reed</v>
      </c>
      <c r="D176">
        <f>IFERROR(__xludf.DUMMYFUNCTION("""COMPUTED_VALUE"""),69.0)</f>
        <v>69</v>
      </c>
      <c r="E176" t="str">
        <f>IFERROR(__xludf.DUMMYFUNCTION("""COMPUTED_VALUE"""),"PF")</f>
        <v>PF</v>
      </c>
      <c r="F176" s="37">
        <f>IFERROR(__xludf.DUMMYFUNCTION("""COMPUTED_VALUE"""),-3.6424822096561114)</f>
        <v>-3.64248221</v>
      </c>
      <c r="G176" s="37">
        <f>IFERROR(__xludf.DUMMYFUNCTION("""COMPUTED_VALUE"""),-4.608196123689421)</f>
        <v>-4.608196124</v>
      </c>
      <c r="H176" s="37">
        <f>IFERROR(__xludf.DUMMYFUNCTION("""COMPUTED_VALUE"""),-0.9657139140333095)</f>
        <v>-0.965713914</v>
      </c>
      <c r="I176" s="37">
        <f>IFERROR(__xludf.DUMMYFUNCTION("""COMPUTED_VALUE"""),5.6)</f>
        <v>5.6</v>
      </c>
      <c r="J176" s="37">
        <f>IFERROR(__xludf.DUMMYFUNCTION("""COMPUTED_VALUE"""),0.2)</f>
        <v>0.2</v>
      </c>
      <c r="K176" s="37">
        <f>IFERROR(__xludf.DUMMYFUNCTION("""COMPUTED_VALUE"""),4.5)</f>
        <v>4.5</v>
      </c>
      <c r="L176" s="37">
        <f>IFERROR(__xludf.DUMMYFUNCTION("""COMPUTED_VALUE"""),0.7)</f>
        <v>0.7</v>
      </c>
      <c r="M176" s="37">
        <f>IFERROR(__xludf.DUMMYFUNCTION("""COMPUTED_VALUE"""),1.6)</f>
        <v>1.6</v>
      </c>
      <c r="N176" s="37">
        <f>IFERROR(__xludf.DUMMYFUNCTION("""COMPUTED_VALUE"""),0.7)</f>
        <v>0.7</v>
      </c>
      <c r="O176" s="37">
        <f>IFERROR(__xludf.DUMMYFUNCTION("""COMPUTED_VALUE"""),55.55555555555556)</f>
        <v>55.55555556</v>
      </c>
      <c r="P176" s="37">
        <f>IFERROR(__xludf.DUMMYFUNCTION("""COMPUTED_VALUE"""),57.14285714285715)</f>
        <v>57.14285714</v>
      </c>
      <c r="Q176" s="37">
        <f>IFERROR(__xludf.DUMMYFUNCTION("""COMPUTED_VALUE"""),0.5)</f>
        <v>0.5</v>
      </c>
      <c r="R176" s="37">
        <f>IFERROR(__xludf.DUMMYFUNCTION("""COMPUTED_VALUE"""),-3.023137274306746)</f>
        <v>-3.023137274</v>
      </c>
      <c r="S176" s="37">
        <f>IFERROR(__xludf.DUMMYFUNCTION("""COMPUTED_VALUE"""),-1.4133600098841828)</f>
        <v>-1.41336001</v>
      </c>
      <c r="T176" s="37">
        <f>IFERROR(__xludf.DUMMYFUNCTION("""COMPUTED_VALUE"""),-0.6427337822350941)</f>
        <v>-0.6427337822</v>
      </c>
      <c r="U176" s="37">
        <f>IFERROR(__xludf.DUMMYFUNCTION("""COMPUTED_VALUE"""),-1.7132286791255382)</f>
        <v>-1.713228679</v>
      </c>
      <c r="V176" s="37">
        <f>IFERROR(__xludf.DUMMYFUNCTION("""COMPUTED_VALUE"""),2.4363374143421788)</f>
        <v>2.436337414</v>
      </c>
      <c r="W176" s="37">
        <f>IFERROR(__xludf.DUMMYFUNCTION("""COMPUTED_VALUE"""),0.0)</f>
        <v>0</v>
      </c>
      <c r="X176" s="37">
        <f>IFERROR(__xludf.DUMMYFUNCTION("""COMPUTED_VALUE"""),0.0)</f>
        <v>0</v>
      </c>
      <c r="Y176" s="37">
        <f>IFERROR(__xludf.DUMMYFUNCTION("""COMPUTED_VALUE"""),-0.2520737924800385)</f>
        <v>-0.2520737925</v>
      </c>
      <c r="Z176" s="37">
        <f>IFERROR(__xludf.DUMMYFUNCTION("""COMPUTED_VALUE"""),0.0)</f>
        <v>0</v>
      </c>
      <c r="AA176" t="str">
        <f>IFERROR(__xludf.DUMMYFUNCTION("SUBSTITUTE(REGEXREPLACE(REGEXREPLACE(REGEXREPLACE(REGEXREPLACE(REGEXREPLACE(REGEXREPLACE(E176,"","",),IF(Projections!$U$3="""",""PG"",),),IF(Projections!$V$3="""",""SG"",),),IF(Projections!$W$3="""",""SF"",),),IF(Projections!$X$3="""",""PF"",),),IF(Projec"&amp;"tions!$Y$3="""",""C"",),),""/"","""")"),"PF")</f>
        <v>PF</v>
      </c>
    </row>
    <row r="177">
      <c r="B177">
        <f>IFERROR(__xludf.DUMMYFUNCTION("""COMPUTED_VALUE"""),186.0)</f>
        <v>186</v>
      </c>
      <c r="C177" t="str">
        <f>IFERROR(__xludf.DUMMYFUNCTION("""COMPUTED_VALUE"""),"Royce O'Neale")</f>
        <v>Royce O'Neale</v>
      </c>
      <c r="D177">
        <f>IFERROR(__xludf.DUMMYFUNCTION("""COMPUTED_VALUE"""),60.0)</f>
        <v>60</v>
      </c>
      <c r="E177" t="str">
        <f>IFERROR(__xludf.DUMMYFUNCTION("""COMPUTED_VALUE"""),"SF/PF")</f>
        <v>SF/PF</v>
      </c>
      <c r="F177" s="37">
        <f>IFERROR(__xludf.DUMMYFUNCTION("""COMPUTED_VALUE"""),-4.583286013078305)</f>
        <v>-4.583286013</v>
      </c>
      <c r="G177" s="37">
        <f>IFERROR(__xludf.DUMMYFUNCTION("""COMPUTED_VALUE"""),-4.696844403394227)</f>
        <v>-4.696844403</v>
      </c>
      <c r="H177" s="37">
        <f>IFERROR(__xludf.DUMMYFUNCTION("""COMPUTED_VALUE"""),-0.11355839031592208)</f>
        <v>-0.1135583903</v>
      </c>
      <c r="I177" s="37">
        <f>IFERROR(__xludf.DUMMYFUNCTION("""COMPUTED_VALUE"""),6.6)</f>
        <v>6.6</v>
      </c>
      <c r="J177" s="37">
        <f>IFERROR(__xludf.DUMMYFUNCTION("""COMPUTED_VALUE"""),1.4)</f>
        <v>1.4</v>
      </c>
      <c r="K177" s="37">
        <f>IFERROR(__xludf.DUMMYFUNCTION("""COMPUTED_VALUE"""),4.2)</f>
        <v>4.2</v>
      </c>
      <c r="L177" s="37">
        <f>IFERROR(__xludf.DUMMYFUNCTION("""COMPUTED_VALUE"""),2.2)</f>
        <v>2.2</v>
      </c>
      <c r="M177" s="37">
        <f>IFERROR(__xludf.DUMMYFUNCTION("""COMPUTED_VALUE"""),1.0)</f>
        <v>1</v>
      </c>
      <c r="N177" s="37">
        <f>IFERROR(__xludf.DUMMYFUNCTION("""COMPUTED_VALUE"""),0.4)</f>
        <v>0.4</v>
      </c>
      <c r="O177" s="37">
        <f>IFERROR(__xludf.DUMMYFUNCTION("""COMPUTED_VALUE"""),44.230769230769226)</f>
        <v>44.23076923</v>
      </c>
      <c r="P177" s="37">
        <f>IFERROR(__xludf.DUMMYFUNCTION("""COMPUTED_VALUE"""),71.42857142857143)</f>
        <v>71.42857143</v>
      </c>
      <c r="Q177" s="37">
        <f>IFERROR(__xludf.DUMMYFUNCTION("""COMPUTED_VALUE"""),0.9)</f>
        <v>0.9</v>
      </c>
      <c r="R177" s="37">
        <f>IFERROR(__xludf.DUMMYFUNCTION("""COMPUTED_VALUE"""),-2.756852423353976)</f>
        <v>-2.756852423</v>
      </c>
      <c r="S177" s="37">
        <f>IFERROR(__xludf.DUMMYFUNCTION("""COMPUTED_VALUE"""),-0.2134133348258171)</f>
        <v>-0.2134133348</v>
      </c>
      <c r="T177" s="37">
        <f>IFERROR(__xludf.DUMMYFUNCTION("""COMPUTED_VALUE"""),-0.765198403146896)</f>
        <v>-0.7651984031</v>
      </c>
      <c r="U177" s="37">
        <f>IFERROR(__xludf.DUMMYFUNCTION("""COMPUTED_VALUE"""),-0.8571888629293436)</f>
        <v>-0.8571888629</v>
      </c>
      <c r="V177" s="37">
        <f>IFERROR(__xludf.DUMMYFUNCTION("""COMPUTED_VALUE"""),-0.01646173928609459)</f>
        <v>-0.01646173929</v>
      </c>
      <c r="W177" s="37">
        <f>IFERROR(__xludf.DUMMYFUNCTION("""COMPUTED_VALUE"""),0.0)</f>
        <v>0</v>
      </c>
      <c r="X177" s="37">
        <f>IFERROR(__xludf.DUMMYFUNCTION("""COMPUTED_VALUE"""),0.0)</f>
        <v>0</v>
      </c>
      <c r="Y177" s="37">
        <f>IFERROR(__xludf.DUMMYFUNCTION("""COMPUTED_VALUE"""),-0.08772963985209994)</f>
        <v>-0.08772963985</v>
      </c>
      <c r="Z177" s="37">
        <f>IFERROR(__xludf.DUMMYFUNCTION("""COMPUTED_VALUE"""),0.0)</f>
        <v>0</v>
      </c>
      <c r="AA177" t="str">
        <f>IFERROR(__xludf.DUMMYFUNCTION("SUBSTITUTE(REGEXREPLACE(REGEXREPLACE(REGEXREPLACE(REGEXREPLACE(REGEXREPLACE(REGEXREPLACE(E177,"","",),IF(Projections!$U$3="""",""PG"",),),IF(Projections!$V$3="""",""SG"",),),IF(Projections!$W$3="""",""SF"",),),IF(Projections!$X$3="""",""PF"",),),IF(Projec"&amp;"tions!$Y$3="""",""C"",),),""/"","""")"),"SFPF")</f>
        <v>SFPF</v>
      </c>
    </row>
    <row r="178">
      <c r="B178">
        <f>IFERROR(__xludf.DUMMYFUNCTION("""COMPUTED_VALUE"""),187.0)</f>
        <v>187</v>
      </c>
      <c r="C178" t="str">
        <f>IFERROR(__xludf.DUMMYFUNCTION("""COMPUTED_VALUE"""),"Deni Avdija")</f>
        <v>Deni Avdija</v>
      </c>
      <c r="D178">
        <f>IFERROR(__xludf.DUMMYFUNCTION("""COMPUTED_VALUE"""),72.0)</f>
        <v>72</v>
      </c>
      <c r="E178" t="str">
        <f>IFERROR(__xludf.DUMMYFUNCTION("""COMPUTED_VALUE"""),"SF/PF")</f>
        <v>SF/PF</v>
      </c>
      <c r="F178" s="37">
        <f>IFERROR(__xludf.DUMMYFUNCTION("""COMPUTED_VALUE"""),-4.63979458430623)</f>
        <v>-4.639794584</v>
      </c>
      <c r="G178" s="37">
        <f>IFERROR(__xludf.DUMMYFUNCTION("""COMPUTED_VALUE"""),-4.708487925723021)</f>
        <v>-4.708487926</v>
      </c>
      <c r="H178" s="37">
        <f>IFERROR(__xludf.DUMMYFUNCTION("""COMPUTED_VALUE"""),-0.06869334141679051)</f>
        <v>-0.06869334142</v>
      </c>
      <c r="I178" s="37">
        <f>IFERROR(__xludf.DUMMYFUNCTION("""COMPUTED_VALUE"""),10.1)</f>
        <v>10.1</v>
      </c>
      <c r="J178" s="37">
        <f>IFERROR(__xludf.DUMMYFUNCTION("""COMPUTED_VALUE"""),1.2)</f>
        <v>1.2</v>
      </c>
      <c r="K178" s="37">
        <f>IFERROR(__xludf.DUMMYFUNCTION("""COMPUTED_VALUE"""),5.4)</f>
        <v>5.4</v>
      </c>
      <c r="L178" s="37">
        <f>IFERROR(__xludf.DUMMYFUNCTION("""COMPUTED_VALUE"""),2.1)</f>
        <v>2.1</v>
      </c>
      <c r="M178" s="37">
        <f>IFERROR(__xludf.DUMMYFUNCTION("""COMPUTED_VALUE"""),0.7)</f>
        <v>0.7</v>
      </c>
      <c r="N178" s="37">
        <f>IFERROR(__xludf.DUMMYFUNCTION("""COMPUTED_VALUE"""),0.5)</f>
        <v>0.5</v>
      </c>
      <c r="O178" s="37">
        <f>IFERROR(__xludf.DUMMYFUNCTION("""COMPUTED_VALUE"""),43.529411764705884)</f>
        <v>43.52941176</v>
      </c>
      <c r="P178" s="37">
        <f>IFERROR(__xludf.DUMMYFUNCTION("""COMPUTED_VALUE"""),77.77777777777777)</f>
        <v>77.77777778</v>
      </c>
      <c r="Q178" s="37">
        <f>IFERROR(__xludf.DUMMYFUNCTION("""COMPUTED_VALUE"""),1.2)</f>
        <v>1.2</v>
      </c>
      <c r="R178" s="37">
        <f>IFERROR(__xludf.DUMMYFUNCTION("""COMPUTED_VALUE"""),-1.824855445019282)</f>
        <v>-1.824855445</v>
      </c>
      <c r="S178" s="37">
        <f>IFERROR(__xludf.DUMMYFUNCTION("""COMPUTED_VALUE"""),-0.41340444733554466)</f>
        <v>-0.4134044473</v>
      </c>
      <c r="T178" s="37">
        <f>IFERROR(__xludf.DUMMYFUNCTION("""COMPUTED_VALUE"""),-0.27533991949968795)</f>
        <v>-0.2753399195</v>
      </c>
      <c r="U178" s="37">
        <f>IFERROR(__xludf.DUMMYFUNCTION("""COMPUTED_VALUE"""),-0.91425818400909)</f>
        <v>-0.914258184</v>
      </c>
      <c r="V178" s="37">
        <f>IFERROR(__xludf.DUMMYFUNCTION("""COMPUTED_VALUE"""),-1.2428613161002313)</f>
        <v>-1.242861316</v>
      </c>
      <c r="W178" s="37">
        <f>IFERROR(__xludf.DUMMYFUNCTION("""COMPUTED_VALUE"""),0.0)</f>
        <v>0</v>
      </c>
      <c r="X178" s="37">
        <f>IFERROR(__xludf.DUMMYFUNCTION("""COMPUTED_VALUE"""),0.0)</f>
        <v>0</v>
      </c>
      <c r="Y178" s="37">
        <f>IFERROR(__xludf.DUMMYFUNCTION("""COMPUTED_VALUE"""),-0.0377686137591846)</f>
        <v>-0.03776861376</v>
      </c>
      <c r="Z178" s="37">
        <f>IFERROR(__xludf.DUMMYFUNCTION("""COMPUTED_VALUE"""),0.0)</f>
        <v>0</v>
      </c>
      <c r="AA178" t="str">
        <f>IFERROR(__xludf.DUMMYFUNCTION("SUBSTITUTE(REGEXREPLACE(REGEXREPLACE(REGEXREPLACE(REGEXREPLACE(REGEXREPLACE(REGEXREPLACE(E178,"","",),IF(Projections!$U$3="""",""PG"",),),IF(Projections!$V$3="""",""SG"",),),IF(Projections!$W$3="""",""SF"",),),IF(Projections!$X$3="""",""PF"",),),IF(Projec"&amp;"tions!$Y$3="""",""C"",),),""/"","""")"),"SFPF")</f>
        <v>SFPF</v>
      </c>
    </row>
    <row r="179">
      <c r="B179">
        <f>IFERROR(__xludf.DUMMYFUNCTION("""COMPUTED_VALUE"""),117.0)</f>
        <v>117</v>
      </c>
      <c r="C179" t="str">
        <f>IFERROR(__xludf.DUMMYFUNCTION("""COMPUTED_VALUE"""),"Clint Capela")</f>
        <v>Clint Capela</v>
      </c>
      <c r="D179">
        <f>IFERROR(__xludf.DUMMYFUNCTION("""COMPUTED_VALUE"""),70.0)</f>
        <v>70</v>
      </c>
      <c r="E179" t="str">
        <f>IFERROR(__xludf.DUMMYFUNCTION("""COMPUTED_VALUE"""),"C")</f>
        <v>C</v>
      </c>
      <c r="F179" s="37">
        <f>IFERROR(__xludf.DUMMYFUNCTION("""COMPUTED_VALUE"""),-2.380072872830507)</f>
        <v>-2.380072873</v>
      </c>
      <c r="G179" s="37">
        <f>IFERROR(__xludf.DUMMYFUNCTION("""COMPUTED_VALUE"""),-4.712463433782074)</f>
        <v>-4.712463434</v>
      </c>
      <c r="H179" s="37">
        <f>IFERROR(__xludf.DUMMYFUNCTION("""COMPUTED_VALUE"""),-2.3323905609515667)</f>
        <v>-2.332390561</v>
      </c>
      <c r="I179" s="37">
        <f>IFERROR(__xludf.DUMMYFUNCTION("""COMPUTED_VALUE"""),11.0)</f>
        <v>11</v>
      </c>
      <c r="J179" s="37">
        <f>IFERROR(__xludf.DUMMYFUNCTION("""COMPUTED_VALUE"""),0.0)</f>
        <v>0</v>
      </c>
      <c r="K179" s="37">
        <f>IFERROR(__xludf.DUMMYFUNCTION("""COMPUTED_VALUE"""),11.8)</f>
        <v>11.8</v>
      </c>
      <c r="L179" s="37">
        <f>IFERROR(__xludf.DUMMYFUNCTION("""COMPUTED_VALUE"""),1.2)</f>
        <v>1.2</v>
      </c>
      <c r="M179" s="37">
        <f>IFERROR(__xludf.DUMMYFUNCTION("""COMPUTED_VALUE"""),0.7)</f>
        <v>0.7</v>
      </c>
      <c r="N179" s="37">
        <f>IFERROR(__xludf.DUMMYFUNCTION("""COMPUTED_VALUE"""),1.3)</f>
        <v>1.3</v>
      </c>
      <c r="O179" s="37">
        <f>IFERROR(__xludf.DUMMYFUNCTION("""COMPUTED_VALUE"""),61.728395061728406)</f>
        <v>61.72839506</v>
      </c>
      <c r="P179" s="37">
        <f>IFERROR(__xludf.DUMMYFUNCTION("""COMPUTED_VALUE"""),47.82608695652175)</f>
        <v>47.82608696</v>
      </c>
      <c r="Q179" s="37">
        <f>IFERROR(__xludf.DUMMYFUNCTION("""COMPUTED_VALUE"""),0.6)</f>
        <v>0.6</v>
      </c>
      <c r="R179" s="37">
        <f>IFERROR(__xludf.DUMMYFUNCTION("""COMPUTED_VALUE"""),-1.5851990791617894)</f>
        <v>-1.585199079</v>
      </c>
      <c r="S179" s="37">
        <f>IFERROR(__xludf.DUMMYFUNCTION("""COMPUTED_VALUE"""),-1.6133511223939103)</f>
        <v>-1.613351122</v>
      </c>
      <c r="T179" s="37">
        <f>IFERROR(__xludf.DUMMYFUNCTION("""COMPUTED_VALUE"""),2.3372386599520882)</f>
        <v>2.33723866</v>
      </c>
      <c r="U179" s="37">
        <f>IFERROR(__xludf.DUMMYFUNCTION("""COMPUTED_VALUE"""),-1.427882073726807)</f>
        <v>-1.427882074</v>
      </c>
      <c r="V179" s="37">
        <f>IFERROR(__xludf.DUMMYFUNCTION("""COMPUTED_VALUE"""),-1.2428613161002313)</f>
        <v>-1.242861316</v>
      </c>
      <c r="W179" s="37">
        <f>IFERROR(__xludf.DUMMYFUNCTION("""COMPUTED_VALUE"""),0.0)</f>
        <v>0</v>
      </c>
      <c r="X179" s="37">
        <f>IFERROR(__xludf.DUMMYFUNCTION("""COMPUTED_VALUE"""),0.0)</f>
        <v>0</v>
      </c>
      <c r="Y179" s="37">
        <f>IFERROR(__xludf.DUMMYFUNCTION("""COMPUTED_VALUE"""),-1.180408502351424)</f>
        <v>-1.180408502</v>
      </c>
      <c r="Z179" s="37">
        <f>IFERROR(__xludf.DUMMYFUNCTION("""COMPUTED_VALUE"""),0.0)</f>
        <v>0</v>
      </c>
      <c r="AA179" t="str">
        <f>IFERROR(__xludf.DUMMYFUNCTION("SUBSTITUTE(REGEXREPLACE(REGEXREPLACE(REGEXREPLACE(REGEXREPLACE(REGEXREPLACE(REGEXREPLACE(E179,"","",),IF(Projections!$U$3="""",""PG"",),),IF(Projections!$V$3="""",""SG"",),),IF(Projections!$W$3="""",""SF"",),),IF(Projections!$X$3="""",""PF"",),),IF(Projec"&amp;"tions!$Y$3="""",""C"",),),""/"","""")"),"C")</f>
        <v>C</v>
      </c>
    </row>
    <row r="180">
      <c r="B180">
        <f>IFERROR(__xludf.DUMMYFUNCTION("""COMPUTED_VALUE"""),151.0)</f>
        <v>151</v>
      </c>
      <c r="C180" t="str">
        <f>IFERROR(__xludf.DUMMYFUNCTION("""COMPUTED_VALUE"""),"Jaden McDaniels")</f>
        <v>Jaden McDaniels</v>
      </c>
      <c r="D180">
        <f>IFERROR(__xludf.DUMMYFUNCTION("""COMPUTED_VALUE"""),76.0)</f>
        <v>76</v>
      </c>
      <c r="E180" t="str">
        <f>IFERROR(__xludf.DUMMYFUNCTION("""COMPUTED_VALUE"""),"SF")</f>
        <v>SF</v>
      </c>
      <c r="F180" s="37">
        <f>IFERROR(__xludf.DUMMYFUNCTION("""COMPUTED_VALUE"""),-3.5921321353011324)</f>
        <v>-3.592132135</v>
      </c>
      <c r="G180" s="37">
        <f>IFERROR(__xludf.DUMMYFUNCTION("""COMPUTED_VALUE"""),-4.838611852222199)</f>
        <v>-4.838611852</v>
      </c>
      <c r="H180" s="37">
        <f>IFERROR(__xludf.DUMMYFUNCTION("""COMPUTED_VALUE"""),-1.2464797169210664)</f>
        <v>-1.246479717</v>
      </c>
      <c r="I180" s="37">
        <f>IFERROR(__xludf.DUMMYFUNCTION("""COMPUTED_VALUE"""),10.8)</f>
        <v>10.8</v>
      </c>
      <c r="J180" s="37">
        <f>IFERROR(__xludf.DUMMYFUNCTION("""COMPUTED_VALUE"""),1.3)</f>
        <v>1.3</v>
      </c>
      <c r="K180" s="37">
        <f>IFERROR(__xludf.DUMMYFUNCTION("""COMPUTED_VALUE"""),4.6)</f>
        <v>4.6</v>
      </c>
      <c r="L180" s="37">
        <f>IFERROR(__xludf.DUMMYFUNCTION("""COMPUTED_VALUE"""),1.3)</f>
        <v>1.3</v>
      </c>
      <c r="M180" s="37">
        <f>IFERROR(__xludf.DUMMYFUNCTION("""COMPUTED_VALUE"""),0.8)</f>
        <v>0.8</v>
      </c>
      <c r="N180" s="37">
        <f>IFERROR(__xludf.DUMMYFUNCTION("""COMPUTED_VALUE"""),1.0)</f>
        <v>1</v>
      </c>
      <c r="O180" s="37">
        <f>IFERROR(__xludf.DUMMYFUNCTION("""COMPUTED_VALUE"""),46.23655913978494)</f>
        <v>46.23655914</v>
      </c>
      <c r="P180" s="37">
        <f>IFERROR(__xludf.DUMMYFUNCTION("""COMPUTED_VALUE"""),75.0)</f>
        <v>75</v>
      </c>
      <c r="Q180" s="37">
        <f>IFERROR(__xludf.DUMMYFUNCTION("""COMPUTED_VALUE"""),1.3)</f>
        <v>1.3</v>
      </c>
      <c r="R180" s="37">
        <f>IFERROR(__xludf.DUMMYFUNCTION("""COMPUTED_VALUE"""),-1.6384560493523432)</f>
        <v>-1.638456049</v>
      </c>
      <c r="S180" s="37">
        <f>IFERROR(__xludf.DUMMYFUNCTION("""COMPUTED_VALUE"""),-0.31340889108068076)</f>
        <v>-0.3134088911</v>
      </c>
      <c r="T180" s="37">
        <f>IFERROR(__xludf.DUMMYFUNCTION("""COMPUTED_VALUE"""),-0.6019122419311602)</f>
        <v>-0.6019122419</v>
      </c>
      <c r="U180" s="37">
        <f>IFERROR(__xludf.DUMMYFUNCTION("""COMPUTED_VALUE"""),-1.3708127526470602)</f>
        <v>-1.370812753</v>
      </c>
      <c r="V180" s="37">
        <f>IFERROR(__xludf.DUMMYFUNCTION("""COMPUTED_VALUE"""),-0.8340614571621854)</f>
        <v>-0.8340614572</v>
      </c>
      <c r="W180" s="37">
        <f>IFERROR(__xludf.DUMMYFUNCTION("""COMPUTED_VALUE"""),0.0)</f>
        <v>0</v>
      </c>
      <c r="X180" s="37">
        <f>IFERROR(__xludf.DUMMYFUNCTION("""COMPUTED_VALUE"""),0.0)</f>
        <v>0</v>
      </c>
      <c r="Y180" s="37">
        <f>IFERROR(__xludf.DUMMYFUNCTION("""COMPUTED_VALUE"""),-0.0799604600487691)</f>
        <v>-0.07996046005</v>
      </c>
      <c r="Z180" s="37">
        <f>IFERROR(__xludf.DUMMYFUNCTION("""COMPUTED_VALUE"""),0.0)</f>
        <v>0</v>
      </c>
      <c r="AA180" t="str">
        <f>IFERROR(__xludf.DUMMYFUNCTION("SUBSTITUTE(REGEXREPLACE(REGEXREPLACE(REGEXREPLACE(REGEXREPLACE(REGEXREPLACE(REGEXREPLACE(E180,"","",),IF(Projections!$U$3="""",""PG"",),),IF(Projections!$V$3="""",""SG"",),),IF(Projections!$W$3="""",""SF"",),),IF(Projections!$X$3="""",""PF"",),),IF(Projec"&amp;"tions!$Y$3="""",""C"",),),""/"","""")"),"SF")</f>
        <v>SF</v>
      </c>
    </row>
    <row r="181">
      <c r="B181">
        <f>IFERROR(__xludf.DUMMYFUNCTION("""COMPUTED_VALUE"""),196.0)</f>
        <v>196</v>
      </c>
      <c r="C181" t="str">
        <f>IFERROR(__xludf.DUMMYFUNCTION("""COMPUTED_VALUE"""),"Reggie Bullock")</f>
        <v>Reggie Bullock</v>
      </c>
      <c r="D181">
        <f>IFERROR(__xludf.DUMMYFUNCTION("""COMPUTED_VALUE"""),70.0)</f>
        <v>70</v>
      </c>
      <c r="E181" t="str">
        <f>IFERROR(__xludf.DUMMYFUNCTION("""COMPUTED_VALUE"""),"PG/SG")</f>
        <v>PG/SG</v>
      </c>
      <c r="F181" s="37">
        <f>IFERROR(__xludf.DUMMYFUNCTION("""COMPUTED_VALUE"""),-5.1230163107224564)</f>
        <v>-5.123016311</v>
      </c>
      <c r="G181" s="37">
        <f>IFERROR(__xludf.DUMMYFUNCTION("""COMPUTED_VALUE"""),-4.912657196568591)</f>
        <v>-4.912657197</v>
      </c>
      <c r="H181" s="37">
        <f>IFERROR(__xludf.DUMMYFUNCTION("""COMPUTED_VALUE"""),0.21035911415386543)</f>
        <v>0.2103591142</v>
      </c>
      <c r="I181" s="37">
        <f>IFERROR(__xludf.DUMMYFUNCTION("""COMPUTED_VALUE"""),10.1)</f>
        <v>10.1</v>
      </c>
      <c r="J181" s="37">
        <f>IFERROR(__xludf.DUMMYFUNCTION("""COMPUTED_VALUE"""),2.4)</f>
        <v>2.4</v>
      </c>
      <c r="K181" s="37">
        <f>IFERROR(__xludf.DUMMYFUNCTION("""COMPUTED_VALUE"""),3.8)</f>
        <v>3.8</v>
      </c>
      <c r="L181" s="37">
        <f>IFERROR(__xludf.DUMMYFUNCTION("""COMPUTED_VALUE"""),1.3)</f>
        <v>1.3</v>
      </c>
      <c r="M181" s="37">
        <f>IFERROR(__xludf.DUMMYFUNCTION("""COMPUTED_VALUE"""),0.6)</f>
        <v>0.6</v>
      </c>
      <c r="N181" s="37">
        <f>IFERROR(__xludf.DUMMYFUNCTION("""COMPUTED_VALUE"""),0.2)</f>
        <v>0.2</v>
      </c>
      <c r="O181" s="37">
        <f>IFERROR(__xludf.DUMMYFUNCTION("""COMPUTED_VALUE"""),43.75)</f>
        <v>43.75</v>
      </c>
      <c r="P181" s="37">
        <f>IFERROR(__xludf.DUMMYFUNCTION("""COMPUTED_VALUE"""),85.71428571428572)</f>
        <v>85.71428571</v>
      </c>
      <c r="Q181" s="37">
        <f>IFERROR(__xludf.DUMMYFUNCTION("""COMPUTED_VALUE"""),0.6)</f>
        <v>0.6</v>
      </c>
      <c r="R181" s="37">
        <f>IFERROR(__xludf.DUMMYFUNCTION("""COMPUTED_VALUE"""),-1.824855445019282)</f>
        <v>-1.824855445</v>
      </c>
      <c r="S181" s="37">
        <f>IFERROR(__xludf.DUMMYFUNCTION("""COMPUTED_VALUE"""),0.786542227722821)</f>
        <v>0.7865422277</v>
      </c>
      <c r="T181" s="37">
        <f>IFERROR(__xludf.DUMMYFUNCTION("""COMPUTED_VALUE"""),-0.9284845643626322)</f>
        <v>-0.9284845644</v>
      </c>
      <c r="U181" s="37">
        <f>IFERROR(__xludf.DUMMYFUNCTION("""COMPUTED_VALUE"""),-1.3708127526470602)</f>
        <v>-1.370812753</v>
      </c>
      <c r="V181" s="37">
        <f>IFERROR(__xludf.DUMMYFUNCTION("""COMPUTED_VALUE"""),-1.6516611750382768)</f>
        <v>-1.651661175</v>
      </c>
      <c r="W181" s="37">
        <f>IFERROR(__xludf.DUMMYFUNCTION("""COMPUTED_VALUE"""),0.0)</f>
        <v>0</v>
      </c>
      <c r="X181" s="37">
        <f>IFERROR(__xludf.DUMMYFUNCTION("""COMPUTED_VALUE"""),0.0)</f>
        <v>0</v>
      </c>
      <c r="Y181" s="37">
        <f>IFERROR(__xludf.DUMMYFUNCTION("""COMPUTED_VALUE"""),0.07661451277583878)</f>
        <v>0.07661451278</v>
      </c>
      <c r="Z181" s="37">
        <f>IFERROR(__xludf.DUMMYFUNCTION("""COMPUTED_VALUE"""),0.0)</f>
        <v>0</v>
      </c>
      <c r="AA181" t="str">
        <f>IFERROR(__xludf.DUMMYFUNCTION("SUBSTITUTE(REGEXREPLACE(REGEXREPLACE(REGEXREPLACE(REGEXREPLACE(REGEXREPLACE(REGEXREPLACE(E181,"","",),IF(Projections!$U$3="""",""PG"",),),IF(Projections!$V$3="""",""SG"",),),IF(Projections!$W$3="""",""SF"",),),IF(Projections!$X$3="""",""PF"",),),IF(Projec"&amp;"tions!$Y$3="""",""C"",),),""/"","""")"),"PGSG")</f>
        <v>PGSG</v>
      </c>
    </row>
    <row r="182">
      <c r="B182">
        <f>IFERROR(__xludf.DUMMYFUNCTION("""COMPUTED_VALUE"""),167.0)</f>
        <v>167</v>
      </c>
      <c r="C182" t="str">
        <f>IFERROR(__xludf.DUMMYFUNCTION("""COMPUTED_VALUE"""),"Andre Drummond")</f>
        <v>Andre Drummond</v>
      </c>
      <c r="D182">
        <f>IFERROR(__xludf.DUMMYFUNCTION("""COMPUTED_VALUE"""),68.0)</f>
        <v>68</v>
      </c>
      <c r="E182" t="str">
        <f>IFERROR(__xludf.DUMMYFUNCTION("""COMPUTED_VALUE"""),"C")</f>
        <v>C</v>
      </c>
      <c r="F182" s="37">
        <f>IFERROR(__xludf.DUMMYFUNCTION("""COMPUTED_VALUE"""),-3.9222817147077222)</f>
        <v>-3.922281715</v>
      </c>
      <c r="G182" s="37">
        <f>IFERROR(__xludf.DUMMYFUNCTION("""COMPUTED_VALUE"""),-5.0084175209007995)</f>
        <v>-5.008417521</v>
      </c>
      <c r="H182" s="37">
        <f>IFERROR(__xludf.DUMMYFUNCTION("""COMPUTED_VALUE"""),-1.0861358061930773)</f>
        <v>-1.086135806</v>
      </c>
      <c r="I182" s="37">
        <f>IFERROR(__xludf.DUMMYFUNCTION("""COMPUTED_VALUE"""),7.5)</f>
        <v>7.5</v>
      </c>
      <c r="J182" s="37">
        <f>IFERROR(__xludf.DUMMYFUNCTION("""COMPUTED_VALUE"""),0.0)</f>
        <v>0</v>
      </c>
      <c r="K182" s="37">
        <f>IFERROR(__xludf.DUMMYFUNCTION("""COMPUTED_VALUE"""),8.7)</f>
        <v>8.7</v>
      </c>
      <c r="L182" s="37">
        <f>IFERROR(__xludf.DUMMYFUNCTION("""COMPUTED_VALUE"""),1.7)</f>
        <v>1.7</v>
      </c>
      <c r="M182" s="37">
        <f>IFERROR(__xludf.DUMMYFUNCTION("""COMPUTED_VALUE"""),1.0)</f>
        <v>1</v>
      </c>
      <c r="N182" s="37">
        <f>IFERROR(__xludf.DUMMYFUNCTION("""COMPUTED_VALUE"""),0.8)</f>
        <v>0.8</v>
      </c>
      <c r="O182" s="37">
        <f>IFERROR(__xludf.DUMMYFUNCTION("""COMPUTED_VALUE"""),58.18181818181819)</f>
        <v>58.18181818</v>
      </c>
      <c r="P182" s="37">
        <f>IFERROR(__xludf.DUMMYFUNCTION("""COMPUTED_VALUE"""),55.00000000000001)</f>
        <v>55</v>
      </c>
      <c r="Q182" s="37">
        <f>IFERROR(__xludf.DUMMYFUNCTION("""COMPUTED_VALUE"""),1.5)</f>
        <v>1.5</v>
      </c>
      <c r="R182" s="37">
        <f>IFERROR(__xludf.DUMMYFUNCTION("""COMPUTED_VALUE"""),-2.5171960574964833)</f>
        <v>-2.517196057</v>
      </c>
      <c r="S182" s="37">
        <f>IFERROR(__xludf.DUMMYFUNCTION("""COMPUTED_VALUE"""),-1.6133511223939103)</f>
        <v>-1.613351122</v>
      </c>
      <c r="T182" s="37">
        <f>IFERROR(__xludf.DUMMYFUNCTION("""COMPUTED_VALUE"""),1.0717709105301336)</f>
        <v>1.071770911</v>
      </c>
      <c r="U182" s="37">
        <f>IFERROR(__xludf.DUMMYFUNCTION("""COMPUTED_VALUE"""),-1.1425354683280753)</f>
        <v>-1.142535468</v>
      </c>
      <c r="V182" s="37">
        <f>IFERROR(__xludf.DUMMYFUNCTION("""COMPUTED_VALUE"""),-0.01646173928609459)</f>
        <v>-0.01646173929</v>
      </c>
      <c r="W182" s="37">
        <f>IFERROR(__xludf.DUMMYFUNCTION("""COMPUTED_VALUE"""),0.0)</f>
        <v>0</v>
      </c>
      <c r="X182" s="37">
        <f>IFERROR(__xludf.DUMMYFUNCTION("""COMPUTED_VALUE"""),0.0)</f>
        <v>0</v>
      </c>
      <c r="Y182" s="37">
        <f>IFERROR(__xludf.DUMMYFUNCTION("""COMPUTED_VALUE"""),-0.7906440439263698)</f>
        <v>-0.7906440439</v>
      </c>
      <c r="Z182" s="37">
        <f>IFERROR(__xludf.DUMMYFUNCTION("""COMPUTED_VALUE"""),0.0)</f>
        <v>0</v>
      </c>
      <c r="AA182" t="str">
        <f>IFERROR(__xludf.DUMMYFUNCTION("SUBSTITUTE(REGEXREPLACE(REGEXREPLACE(REGEXREPLACE(REGEXREPLACE(REGEXREPLACE(REGEXREPLACE(E182,"","",),IF(Projections!$U$3="""",""PG"",),),IF(Projections!$V$3="""",""SG"",),),IF(Projections!$W$3="""",""SF"",),),IF(Projections!$X$3="""",""PF"",),),IF(Projec"&amp;"tions!$Y$3="""",""C"",),),""/"","""")"),"C")</f>
        <v>C</v>
      </c>
    </row>
    <row r="183">
      <c r="B183">
        <f>IFERROR(__xludf.DUMMYFUNCTION("""COMPUTED_VALUE"""),122.0)</f>
        <v>122</v>
      </c>
      <c r="C183" t="str">
        <f>IFERROR(__xludf.DUMMYFUNCTION("""COMPUTED_VALUE"""),"Isaiah Hartenstein")</f>
        <v>Isaiah Hartenstein</v>
      </c>
      <c r="D183">
        <f>IFERROR(__xludf.DUMMYFUNCTION("""COMPUTED_VALUE"""),60.0)</f>
        <v>60</v>
      </c>
      <c r="E183" t="str">
        <f>IFERROR(__xludf.DUMMYFUNCTION("""COMPUTED_VALUE"""),"PF/C")</f>
        <v>PF/C</v>
      </c>
      <c r="F183" s="37">
        <f>IFERROR(__xludf.DUMMYFUNCTION("""COMPUTED_VALUE"""),-2.612883339146728)</f>
        <v>-2.612883339</v>
      </c>
      <c r="G183" s="37">
        <f>IFERROR(__xludf.DUMMYFUNCTION("""COMPUTED_VALUE"""),-5.157736932963034)</f>
        <v>-5.157736933</v>
      </c>
      <c r="H183" s="37">
        <f>IFERROR(__xludf.DUMMYFUNCTION("""COMPUTED_VALUE"""),-2.5448535938163057)</f>
        <v>-2.544853594</v>
      </c>
      <c r="I183" s="37">
        <f>IFERROR(__xludf.DUMMYFUNCTION("""COMPUTED_VALUE"""),10.0)</f>
        <v>10</v>
      </c>
      <c r="J183" s="37">
        <f>IFERROR(__xludf.DUMMYFUNCTION("""COMPUTED_VALUE"""),0.2)</f>
        <v>0.2</v>
      </c>
      <c r="K183" s="37">
        <f>IFERROR(__xludf.DUMMYFUNCTION("""COMPUTED_VALUE"""),5.9)</f>
        <v>5.9</v>
      </c>
      <c r="L183" s="37">
        <f>IFERROR(__xludf.DUMMYFUNCTION("""COMPUTED_VALUE"""),2.6)</f>
        <v>2.6</v>
      </c>
      <c r="M183" s="37">
        <f>IFERROR(__xludf.DUMMYFUNCTION("""COMPUTED_VALUE"""),0.8)</f>
        <v>0.8</v>
      </c>
      <c r="N183" s="37">
        <f>IFERROR(__xludf.DUMMYFUNCTION("""COMPUTED_VALUE"""),1.2)</f>
        <v>1.2</v>
      </c>
      <c r="O183" s="37">
        <f>IFERROR(__xludf.DUMMYFUNCTION("""COMPUTED_VALUE"""),61.194029850746254)</f>
        <v>61.19402985</v>
      </c>
      <c r="P183" s="37">
        <f>IFERROR(__xludf.DUMMYFUNCTION("""COMPUTED_VALUE"""),69.56521739130436)</f>
        <v>69.56521739</v>
      </c>
      <c r="Q183" s="37">
        <f>IFERROR(__xludf.DUMMYFUNCTION("""COMPUTED_VALUE"""),1.4)</f>
        <v>1.4</v>
      </c>
      <c r="R183" s="37">
        <f>IFERROR(__xludf.DUMMYFUNCTION("""COMPUTED_VALUE"""),-1.851483930114559)</f>
        <v>-1.85148393</v>
      </c>
      <c r="S183" s="37">
        <f>IFERROR(__xludf.DUMMYFUNCTION("""COMPUTED_VALUE"""),-1.4133600098841828)</f>
        <v>-1.41336001</v>
      </c>
      <c r="T183" s="37">
        <f>IFERROR(__xludf.DUMMYFUNCTION("""COMPUTED_VALUE"""),-0.07123221798001796)</f>
        <v>-0.07123221798</v>
      </c>
      <c r="U183" s="37">
        <f>IFERROR(__xludf.DUMMYFUNCTION("""COMPUTED_VALUE"""),-0.6289115786103584)</f>
        <v>-0.6289115786</v>
      </c>
      <c r="V183" s="37">
        <f>IFERROR(__xludf.DUMMYFUNCTION("""COMPUTED_VALUE"""),-0.8340614571621854)</f>
        <v>-0.8340614572</v>
      </c>
      <c r="W183" s="37">
        <f>IFERROR(__xludf.DUMMYFUNCTION("""COMPUTED_VALUE"""),0.0)</f>
        <v>0</v>
      </c>
      <c r="X183" s="37">
        <f>IFERROR(__xludf.DUMMYFUNCTION("""COMPUTED_VALUE"""),0.0)</f>
        <v>0</v>
      </c>
      <c r="Y183" s="37">
        <f>IFERROR(__xludf.DUMMYFUNCTION("""COMPUTED_VALUE"""),-0.3586877392117304)</f>
        <v>-0.3586877392</v>
      </c>
      <c r="Z183" s="37">
        <f>IFERROR(__xludf.DUMMYFUNCTION("""COMPUTED_VALUE"""),0.0)</f>
        <v>0</v>
      </c>
      <c r="AA183" t="str">
        <f>IFERROR(__xludf.DUMMYFUNCTION("SUBSTITUTE(REGEXREPLACE(REGEXREPLACE(REGEXREPLACE(REGEXREPLACE(REGEXREPLACE(REGEXREPLACE(E183,"","",),IF(Projections!$U$3="""",""PG"",),),IF(Projections!$V$3="""",""SG"",),),IF(Projections!$W$3="""",""SF"",),),IF(Projections!$X$3="""",""PF"",),),IF(Projec"&amp;"tions!$Y$3="""",""C"",),),""/"","""")"),"PFC")</f>
        <v>PFC</v>
      </c>
    </row>
    <row r="184">
      <c r="B184">
        <f>IFERROR(__xludf.DUMMYFUNCTION("""COMPUTED_VALUE"""),153.0)</f>
        <v>153</v>
      </c>
      <c r="C184" t="str">
        <f>IFERROR(__xludf.DUMMYFUNCTION("""COMPUTED_VALUE"""),"Nassir Little")</f>
        <v>Nassir Little</v>
      </c>
      <c r="D184">
        <f>IFERROR(__xludf.DUMMYFUNCTION("""COMPUTED_VALUE"""),72.0)</f>
        <v>72</v>
      </c>
      <c r="E184" t="str">
        <f>IFERROR(__xludf.DUMMYFUNCTION("""COMPUTED_VALUE"""),"SF/PF")</f>
        <v>SF/PF</v>
      </c>
      <c r="F184" s="37">
        <f>IFERROR(__xludf.DUMMYFUNCTION("""COMPUTED_VALUE"""),-3.66883546230712)</f>
        <v>-3.668835462</v>
      </c>
      <c r="G184" s="37">
        <f>IFERROR(__xludf.DUMMYFUNCTION("""COMPUTED_VALUE"""),-5.159437805841848)</f>
        <v>-5.159437806</v>
      </c>
      <c r="H184" s="37">
        <f>IFERROR(__xludf.DUMMYFUNCTION("""COMPUTED_VALUE"""),-1.4906023435347278)</f>
        <v>-1.490602344</v>
      </c>
      <c r="I184" s="37">
        <f>IFERROR(__xludf.DUMMYFUNCTION("""COMPUTED_VALUE"""),10.4)</f>
        <v>10.4</v>
      </c>
      <c r="J184" s="37">
        <f>IFERROR(__xludf.DUMMYFUNCTION("""COMPUTED_VALUE"""),1.3)</f>
        <v>1.3</v>
      </c>
      <c r="K184" s="37">
        <f>IFERROR(__xludf.DUMMYFUNCTION("""COMPUTED_VALUE"""),5.9)</f>
        <v>5.9</v>
      </c>
      <c r="L184" s="37">
        <f>IFERROR(__xludf.DUMMYFUNCTION("""COMPUTED_VALUE"""),1.4)</f>
        <v>1.4</v>
      </c>
      <c r="M184" s="37">
        <f>IFERROR(__xludf.DUMMYFUNCTION("""COMPUTED_VALUE"""),0.6)</f>
        <v>0.6</v>
      </c>
      <c r="N184" s="37">
        <f>IFERROR(__xludf.DUMMYFUNCTION("""COMPUTED_VALUE"""),1.0)</f>
        <v>1</v>
      </c>
      <c r="O184" s="37">
        <f>IFERROR(__xludf.DUMMYFUNCTION("""COMPUTED_VALUE"""),46.25)</f>
        <v>46.25</v>
      </c>
      <c r="P184" s="37">
        <f>IFERROR(__xludf.DUMMYFUNCTION("""COMPUTED_VALUE"""),77.27272727272727)</f>
        <v>77.27272727</v>
      </c>
      <c r="Q184" s="37">
        <f>IFERROR(__xludf.DUMMYFUNCTION("""COMPUTED_VALUE"""),1.1)</f>
        <v>1.1</v>
      </c>
      <c r="R184" s="37">
        <f>IFERROR(__xludf.DUMMYFUNCTION("""COMPUTED_VALUE"""),-1.744969989733451)</f>
        <v>-1.74496999</v>
      </c>
      <c r="S184" s="37">
        <f>IFERROR(__xludf.DUMMYFUNCTION("""COMPUTED_VALUE"""),-0.31340889108068076)</f>
        <v>-0.3134088911</v>
      </c>
      <c r="T184" s="37">
        <f>IFERROR(__xludf.DUMMYFUNCTION("""COMPUTED_VALUE"""),-0.07123221798001796)</f>
        <v>-0.07123221798</v>
      </c>
      <c r="U184" s="37">
        <f>IFERROR(__xludf.DUMMYFUNCTION("""COMPUTED_VALUE"""),-1.313743431567314)</f>
        <v>-1.313743432</v>
      </c>
      <c r="V184" s="37">
        <f>IFERROR(__xludf.DUMMYFUNCTION("""COMPUTED_VALUE"""),-1.6516611750382768)</f>
        <v>-1.651661175</v>
      </c>
      <c r="W184" s="37">
        <f>IFERROR(__xludf.DUMMYFUNCTION("""COMPUTED_VALUE"""),0.0)</f>
        <v>0</v>
      </c>
      <c r="X184" s="37">
        <f>IFERROR(__xludf.DUMMYFUNCTION("""COMPUTED_VALUE"""),0.0)</f>
        <v>0</v>
      </c>
      <c r="Y184" s="37">
        <f>IFERROR(__xludf.DUMMYFUNCTION("""COMPUTED_VALUE"""),-0.06442210044210782)</f>
        <v>-0.06442210044</v>
      </c>
      <c r="Z184" s="37">
        <f>IFERROR(__xludf.DUMMYFUNCTION("""COMPUTED_VALUE"""),0.0)</f>
        <v>0</v>
      </c>
      <c r="AA184" t="str">
        <f>IFERROR(__xludf.DUMMYFUNCTION("SUBSTITUTE(REGEXREPLACE(REGEXREPLACE(REGEXREPLACE(REGEXREPLACE(REGEXREPLACE(REGEXREPLACE(E184,"","",),IF(Projections!$U$3="""",""PG"",),),IF(Projections!$V$3="""",""SG"",),),IF(Projections!$W$3="""",""SF"",),),IF(Projections!$X$3="""",""PF"",),),IF(Projec"&amp;"tions!$Y$3="""",""C"",),),""/"","""")"),"SFPF")</f>
        <v>SFPF</v>
      </c>
    </row>
    <row r="185">
      <c r="B185">
        <f>IFERROR(__xludf.DUMMYFUNCTION("""COMPUTED_VALUE"""),192.0)</f>
        <v>192</v>
      </c>
      <c r="C185" t="str">
        <f>IFERROR(__xludf.DUMMYFUNCTION("""COMPUTED_VALUE"""),"Josh Richardson")</f>
        <v>Josh Richardson</v>
      </c>
      <c r="D185">
        <f>IFERROR(__xludf.DUMMYFUNCTION("""COMPUTED_VALUE"""),73.0)</f>
        <v>73</v>
      </c>
      <c r="E185" t="str">
        <f>IFERROR(__xludf.DUMMYFUNCTION("""COMPUTED_VALUE"""),"SG/SF")</f>
        <v>SG/SF</v>
      </c>
      <c r="F185" s="37">
        <f>IFERROR(__xludf.DUMMYFUNCTION("""COMPUTED_VALUE"""),-4.990148132797363)</f>
        <v>-4.990148133</v>
      </c>
      <c r="G185" s="37">
        <f>IFERROR(__xludf.DUMMYFUNCTION("""COMPUTED_VALUE"""),-5.21765277894726)</f>
        <v>-5.217652779</v>
      </c>
      <c r="H185" s="37">
        <f>IFERROR(__xludf.DUMMYFUNCTION("""COMPUTED_VALUE"""),-0.22750464614989685)</f>
        <v>-0.2275046461</v>
      </c>
      <c r="I185" s="37">
        <f>IFERROR(__xludf.DUMMYFUNCTION("""COMPUTED_VALUE"""),9.7)</f>
        <v>9.7</v>
      </c>
      <c r="J185" s="37">
        <f>IFERROR(__xludf.DUMMYFUNCTION("""COMPUTED_VALUE"""),1.5)</f>
        <v>1.5</v>
      </c>
      <c r="K185" s="37">
        <f>IFERROR(__xludf.DUMMYFUNCTION("""COMPUTED_VALUE"""),2.6)</f>
        <v>2.6</v>
      </c>
      <c r="L185" s="37">
        <f>IFERROR(__xludf.DUMMYFUNCTION("""COMPUTED_VALUE"""),1.7)</f>
        <v>1.7</v>
      </c>
      <c r="M185" s="37">
        <f>IFERROR(__xludf.DUMMYFUNCTION("""COMPUTED_VALUE"""),0.8)</f>
        <v>0.8</v>
      </c>
      <c r="N185" s="37">
        <f>IFERROR(__xludf.DUMMYFUNCTION("""COMPUTED_VALUE"""),0.4)</f>
        <v>0.4</v>
      </c>
      <c r="O185" s="37">
        <f>IFERROR(__xludf.DUMMYFUNCTION("""COMPUTED_VALUE"""),44.15584415584416)</f>
        <v>44.15584416</v>
      </c>
      <c r="P185" s="37">
        <f>IFERROR(__xludf.DUMMYFUNCTION("""COMPUTED_VALUE"""),87.49999999999999)</f>
        <v>87.5</v>
      </c>
      <c r="Q185" s="37">
        <f>IFERROR(__xludf.DUMMYFUNCTION("""COMPUTED_VALUE"""),0.9)</f>
        <v>0.9</v>
      </c>
      <c r="R185" s="37">
        <f>IFERROR(__xludf.DUMMYFUNCTION("""COMPUTED_VALUE"""),-1.93136938540039)</f>
        <v>-1.931369385</v>
      </c>
      <c r="S185" s="37">
        <f>IFERROR(__xludf.DUMMYFUNCTION("""COMPUTED_VALUE"""),-0.1134177785709532)</f>
        <v>-0.1134177786</v>
      </c>
      <c r="T185" s="37">
        <f>IFERROR(__xludf.DUMMYFUNCTION("""COMPUTED_VALUE"""),-1.41834304800984)</f>
        <v>-1.418343048</v>
      </c>
      <c r="U185" s="37">
        <f>IFERROR(__xludf.DUMMYFUNCTION("""COMPUTED_VALUE"""),-1.1425354683280753)</f>
        <v>-1.142535468</v>
      </c>
      <c r="V185" s="37">
        <f>IFERROR(__xludf.DUMMYFUNCTION("""COMPUTED_VALUE"""),-0.8340614571621854)</f>
        <v>-0.8340614572</v>
      </c>
      <c r="W185" s="37">
        <f>IFERROR(__xludf.DUMMYFUNCTION("""COMPUTED_VALUE"""),0.0)</f>
        <v>0</v>
      </c>
      <c r="X185" s="37">
        <f>IFERROR(__xludf.DUMMYFUNCTION("""COMPUTED_VALUE"""),0.0)</f>
        <v>0</v>
      </c>
      <c r="Y185" s="37">
        <f>IFERROR(__xludf.DUMMYFUNCTION("""COMPUTED_VALUE"""),0.22207435852418494)</f>
        <v>0.2220743585</v>
      </c>
      <c r="Z185" s="37">
        <f>IFERROR(__xludf.DUMMYFUNCTION("""COMPUTED_VALUE"""),0.0)</f>
        <v>0</v>
      </c>
      <c r="AA185" t="str">
        <f>IFERROR(__xludf.DUMMYFUNCTION("SUBSTITUTE(REGEXREPLACE(REGEXREPLACE(REGEXREPLACE(REGEXREPLACE(REGEXREPLACE(REGEXREPLACE(E185,"","",),IF(Projections!$U$3="""",""PG"",),),IF(Projections!$V$3="""",""SG"",),),IF(Projections!$W$3="""",""SF"",),),IF(Projections!$X$3="""",""PF"",),),IF(Projec"&amp;"tions!$Y$3="""",""C"",),),""/"","""")"),"SGSF")</f>
        <v>SGSF</v>
      </c>
    </row>
    <row r="186">
      <c r="B186">
        <f>IFERROR(__xludf.DUMMYFUNCTION("""COMPUTED_VALUE"""),194.0)</f>
        <v>194</v>
      </c>
      <c r="C186" t="str">
        <f>IFERROR(__xludf.DUMMYFUNCTION("""COMPUTED_VALUE"""),"De'Andre Hunter")</f>
        <v>De'Andre Hunter</v>
      </c>
      <c r="D186">
        <f>IFERROR(__xludf.DUMMYFUNCTION("""COMPUTED_VALUE"""),70.0)</f>
        <v>70</v>
      </c>
      <c r="E186" t="str">
        <f>IFERROR(__xludf.DUMMYFUNCTION("""COMPUTED_VALUE"""),"SF/PF")</f>
        <v>SF/PF</v>
      </c>
      <c r="F186" s="37">
        <f>IFERROR(__xludf.DUMMYFUNCTION("""COMPUTED_VALUE"""),-5.090864323142862)</f>
        <v>-5.090864323</v>
      </c>
      <c r="G186" s="37">
        <f>IFERROR(__xludf.DUMMYFUNCTION("""COMPUTED_VALUE"""),-5.3003522505710245)</f>
        <v>-5.300352251</v>
      </c>
      <c r="H186" s="37">
        <f>IFERROR(__xludf.DUMMYFUNCTION("""COMPUTED_VALUE"""),-0.2094879274281629)</f>
        <v>-0.2094879274</v>
      </c>
      <c r="I186" s="37">
        <f>IFERROR(__xludf.DUMMYFUNCTION("""COMPUTED_VALUE"""),10.9)</f>
        <v>10.9</v>
      </c>
      <c r="J186" s="37">
        <f>IFERROR(__xludf.DUMMYFUNCTION("""COMPUTED_VALUE"""),1.5)</f>
        <v>1.5</v>
      </c>
      <c r="K186" s="37">
        <f>IFERROR(__xludf.DUMMYFUNCTION("""COMPUTED_VALUE"""),3.4)</f>
        <v>3.4</v>
      </c>
      <c r="L186" s="37">
        <f>IFERROR(__xludf.DUMMYFUNCTION("""COMPUTED_VALUE"""),1.4)</f>
        <v>1.4</v>
      </c>
      <c r="M186" s="37">
        <f>IFERROR(__xludf.DUMMYFUNCTION("""COMPUTED_VALUE"""),0.7)</f>
        <v>0.7</v>
      </c>
      <c r="N186" s="37">
        <f>IFERROR(__xludf.DUMMYFUNCTION("""COMPUTED_VALUE"""),0.4)</f>
        <v>0.4</v>
      </c>
      <c r="O186" s="37">
        <f>IFERROR(__xludf.DUMMYFUNCTION("""COMPUTED_VALUE"""),45.67901234567901)</f>
        <v>45.67901235</v>
      </c>
      <c r="P186" s="37">
        <f>IFERROR(__xludf.DUMMYFUNCTION("""COMPUTED_VALUE"""),80.76923076923077)</f>
        <v>80.76923077</v>
      </c>
      <c r="Q186" s="37">
        <f>IFERROR(__xludf.DUMMYFUNCTION("""COMPUTED_VALUE"""),1.4)</f>
        <v>1.4</v>
      </c>
      <c r="R186" s="37">
        <f>IFERROR(__xludf.DUMMYFUNCTION("""COMPUTED_VALUE"""),-1.6118275642570663)</f>
        <v>-1.611827564</v>
      </c>
      <c r="S186" s="37">
        <f>IFERROR(__xludf.DUMMYFUNCTION("""COMPUTED_VALUE"""),-0.1134177785709532)</f>
        <v>-0.1134177786</v>
      </c>
      <c r="T186" s="37">
        <f>IFERROR(__xludf.DUMMYFUNCTION("""COMPUTED_VALUE"""),-1.0917707255783682)</f>
        <v>-1.091770726</v>
      </c>
      <c r="U186" s="37">
        <f>IFERROR(__xludf.DUMMYFUNCTION("""COMPUTED_VALUE"""),-1.313743431567314)</f>
        <v>-1.313743432</v>
      </c>
      <c r="V186" s="37">
        <f>IFERROR(__xludf.DUMMYFUNCTION("""COMPUTED_VALUE"""),-1.2428613161002313)</f>
        <v>-1.242861316</v>
      </c>
      <c r="W186" s="37">
        <f>IFERROR(__xludf.DUMMYFUNCTION("""COMPUTED_VALUE"""),0.0)</f>
        <v>0</v>
      </c>
      <c r="X186" s="37">
        <f>IFERROR(__xludf.DUMMYFUNCTION("""COMPUTED_VALUE"""),0.0)</f>
        <v>0</v>
      </c>
      <c r="Y186" s="37">
        <f>IFERROR(__xludf.DUMMYFUNCTION("""COMPUTED_VALUE"""),0.07326856550290839)</f>
        <v>0.0732685655</v>
      </c>
      <c r="Z186" s="37">
        <f>IFERROR(__xludf.DUMMYFUNCTION("""COMPUTED_VALUE"""),0.0)</f>
        <v>0</v>
      </c>
      <c r="AA186" t="str">
        <f>IFERROR(__xludf.DUMMYFUNCTION("SUBSTITUTE(REGEXREPLACE(REGEXREPLACE(REGEXREPLACE(REGEXREPLACE(REGEXREPLACE(REGEXREPLACE(E186,"","",),IF(Projections!$U$3="""",""PG"",),),IF(Projections!$V$3="""",""SG"",),),IF(Projections!$W$3="""",""SF"",),),IF(Projections!$X$3="""",""PF"",),),IF(Projec"&amp;"tions!$Y$3="""",""C"",),),""/"","""")"),"SFPF")</f>
        <v>SFPF</v>
      </c>
    </row>
    <row r="187">
      <c r="B187">
        <f>IFERROR(__xludf.DUMMYFUNCTION("""COMPUTED_VALUE"""),193.0)</f>
        <v>193</v>
      </c>
      <c r="C187" t="str">
        <f>IFERROR(__xludf.DUMMYFUNCTION("""COMPUTED_VALUE"""),"Jonathan Kuminga")</f>
        <v>Jonathan Kuminga</v>
      </c>
      <c r="D187">
        <f>IFERROR(__xludf.DUMMYFUNCTION("""COMPUTED_VALUE"""),67.0)</f>
        <v>67</v>
      </c>
      <c r="E187" t="str">
        <f>IFERROR(__xludf.DUMMYFUNCTION("""COMPUTED_VALUE"""),"SF/PF")</f>
        <v>SF/PF</v>
      </c>
      <c r="F187" s="37">
        <f>IFERROR(__xludf.DUMMYFUNCTION("""COMPUTED_VALUE"""),-5.010005119403756)</f>
        <v>-5.010005119</v>
      </c>
      <c r="G187" s="37">
        <f>IFERROR(__xludf.DUMMYFUNCTION("""COMPUTED_VALUE"""),-5.327040185232659)</f>
        <v>-5.327040185</v>
      </c>
      <c r="H187" s="37">
        <f>IFERROR(__xludf.DUMMYFUNCTION("""COMPUTED_VALUE"""),-0.31703506582890295)</f>
        <v>-0.3170350658</v>
      </c>
      <c r="I187" s="37">
        <f>IFERROR(__xludf.DUMMYFUNCTION("""COMPUTED_VALUE"""),12.9)</f>
        <v>12.9</v>
      </c>
      <c r="J187" s="37">
        <f>IFERROR(__xludf.DUMMYFUNCTION("""COMPUTED_VALUE"""),1.1)</f>
        <v>1.1</v>
      </c>
      <c r="K187" s="37">
        <f>IFERROR(__xludf.DUMMYFUNCTION("""COMPUTED_VALUE"""),5.2)</f>
        <v>5.2</v>
      </c>
      <c r="L187" s="37">
        <f>IFERROR(__xludf.DUMMYFUNCTION("""COMPUTED_VALUE"""),1.4)</f>
        <v>1.4</v>
      </c>
      <c r="M187" s="37">
        <f>IFERROR(__xludf.DUMMYFUNCTION("""COMPUTED_VALUE"""),0.6)</f>
        <v>0.6</v>
      </c>
      <c r="N187" s="37">
        <f>IFERROR(__xludf.DUMMYFUNCTION("""COMPUTED_VALUE"""),0.5)</f>
        <v>0.5</v>
      </c>
      <c r="O187" s="37">
        <f>IFERROR(__xludf.DUMMYFUNCTION("""COMPUTED_VALUE"""),50.526315789473685)</f>
        <v>50.52631579</v>
      </c>
      <c r="P187" s="37">
        <f>IFERROR(__xludf.DUMMYFUNCTION("""COMPUTED_VALUE"""),70.96774193548387)</f>
        <v>70.96774194</v>
      </c>
      <c r="Q187" s="37">
        <f>IFERROR(__xludf.DUMMYFUNCTION("""COMPUTED_VALUE"""),1.7)</f>
        <v>1.7</v>
      </c>
      <c r="R187" s="37">
        <f>IFERROR(__xludf.DUMMYFUNCTION("""COMPUTED_VALUE"""),-1.0792578623515265)</f>
        <v>-1.079257862</v>
      </c>
      <c r="S187" s="37">
        <f>IFERROR(__xludf.DUMMYFUNCTION("""COMPUTED_VALUE"""),-0.5134000035904084)</f>
        <v>-0.5134000036</v>
      </c>
      <c r="T187" s="37">
        <f>IFERROR(__xludf.DUMMYFUNCTION("""COMPUTED_VALUE"""),-0.35698300010755607)</f>
        <v>-0.3569830001</v>
      </c>
      <c r="U187" s="37">
        <f>IFERROR(__xludf.DUMMYFUNCTION("""COMPUTED_VALUE"""),-1.313743431567314)</f>
        <v>-1.313743432</v>
      </c>
      <c r="V187" s="37">
        <f>IFERROR(__xludf.DUMMYFUNCTION("""COMPUTED_VALUE"""),-1.6516611750382768)</f>
        <v>-1.651661175</v>
      </c>
      <c r="W187" s="37">
        <f>IFERROR(__xludf.DUMMYFUNCTION("""COMPUTED_VALUE"""),0.0)</f>
        <v>0</v>
      </c>
      <c r="X187" s="37">
        <f>IFERROR(__xludf.DUMMYFUNCTION("""COMPUTED_VALUE"""),0.0)</f>
        <v>0</v>
      </c>
      <c r="Y187" s="37">
        <f>IFERROR(__xludf.DUMMYFUNCTION("""COMPUTED_VALUE"""),-0.4119947125775767)</f>
        <v>-0.4119947126</v>
      </c>
      <c r="Z187" s="37">
        <f>IFERROR(__xludf.DUMMYFUNCTION("""COMPUTED_VALUE"""),0.0)</f>
        <v>0</v>
      </c>
      <c r="AA187" t="str">
        <f>IFERROR(__xludf.DUMMYFUNCTION("SUBSTITUTE(REGEXREPLACE(REGEXREPLACE(REGEXREPLACE(REGEXREPLACE(REGEXREPLACE(REGEXREPLACE(E187,"","",),IF(Projections!$U$3="""",""PG"",),),IF(Projections!$V$3="""",""SG"",),),IF(Projections!$W$3="""",""SF"",),),IF(Projections!$X$3="""",""PF"",),),IF(Projec"&amp;"tions!$Y$3="""",""C"",),),""/"","""")"),"SFPF")</f>
        <v>SFPF</v>
      </c>
    </row>
    <row r="188">
      <c r="B188">
        <f>IFERROR(__xludf.DUMMYFUNCTION("""COMPUTED_VALUE"""),174.0)</f>
        <v>174</v>
      </c>
      <c r="C188" t="str">
        <f>IFERROR(__xludf.DUMMYFUNCTION("""COMPUTED_VALUE"""),"Mason Plumlee")</f>
        <v>Mason Plumlee</v>
      </c>
      <c r="D188">
        <f>IFERROR(__xludf.DUMMYFUNCTION("""COMPUTED_VALUE"""),76.0)</f>
        <v>76</v>
      </c>
      <c r="E188" t="str">
        <f>IFERROR(__xludf.DUMMYFUNCTION("""COMPUTED_VALUE"""),"C")</f>
        <v>C</v>
      </c>
      <c r="F188" s="37">
        <f>IFERROR(__xludf.DUMMYFUNCTION("""COMPUTED_VALUE"""),-4.128412651134322)</f>
        <v>-4.128412651</v>
      </c>
      <c r="G188" s="37">
        <f>IFERROR(__xludf.DUMMYFUNCTION("""COMPUTED_VALUE"""),-5.481866147679258)</f>
        <v>-5.481866148</v>
      </c>
      <c r="H188" s="37">
        <f>IFERROR(__xludf.DUMMYFUNCTION("""COMPUTED_VALUE"""),-1.3534534965449359)</f>
        <v>-1.353453497</v>
      </c>
      <c r="I188" s="37">
        <f>IFERROR(__xludf.DUMMYFUNCTION("""COMPUTED_VALUE"""),6.7)</f>
        <v>6.7</v>
      </c>
      <c r="J188" s="37">
        <f>IFERROR(__xludf.DUMMYFUNCTION("""COMPUTED_VALUE"""),0.0)</f>
        <v>0</v>
      </c>
      <c r="K188" s="37">
        <f>IFERROR(__xludf.DUMMYFUNCTION("""COMPUTED_VALUE"""),7.5)</f>
        <v>7.5</v>
      </c>
      <c r="L188" s="37">
        <f>IFERROR(__xludf.DUMMYFUNCTION("""COMPUTED_VALUE"""),3.2)</f>
        <v>3.2</v>
      </c>
      <c r="M188" s="37">
        <f>IFERROR(__xludf.DUMMYFUNCTION("""COMPUTED_VALUE"""),0.8)</f>
        <v>0.8</v>
      </c>
      <c r="N188" s="37">
        <f>IFERROR(__xludf.DUMMYFUNCTION("""COMPUTED_VALUE"""),0.7)</f>
        <v>0.7</v>
      </c>
      <c r="O188" s="37">
        <f>IFERROR(__xludf.DUMMYFUNCTION("""COMPUTED_VALUE"""),64.44444444444444)</f>
        <v>64.44444444</v>
      </c>
      <c r="P188" s="37">
        <f>IFERROR(__xludf.DUMMYFUNCTION("""COMPUTED_VALUE"""),56.25)</f>
        <v>56.25</v>
      </c>
      <c r="Q188" s="37">
        <f>IFERROR(__xludf.DUMMYFUNCTION("""COMPUTED_VALUE"""),1.4)</f>
        <v>1.4</v>
      </c>
      <c r="R188" s="37">
        <f>IFERROR(__xludf.DUMMYFUNCTION("""COMPUTED_VALUE"""),-2.7302239382586992)</f>
        <v>-2.730223938</v>
      </c>
      <c r="S188" s="37">
        <f>IFERROR(__xludf.DUMMYFUNCTION("""COMPUTED_VALUE"""),-1.6133511223939103)</f>
        <v>-1.613351122</v>
      </c>
      <c r="T188" s="37">
        <f>IFERROR(__xludf.DUMMYFUNCTION("""COMPUTED_VALUE"""),0.5819124268829259)</f>
        <v>0.5819124269</v>
      </c>
      <c r="U188" s="37">
        <f>IFERROR(__xludf.DUMMYFUNCTION("""COMPUTED_VALUE"""),-0.2864956521318806)</f>
        <v>-0.2864956521</v>
      </c>
      <c r="V188" s="37">
        <f>IFERROR(__xludf.DUMMYFUNCTION("""COMPUTED_VALUE"""),-0.8340614571621854)</f>
        <v>-0.8340614572</v>
      </c>
      <c r="W188" s="37">
        <f>IFERROR(__xludf.DUMMYFUNCTION("""COMPUTED_VALUE"""),0.0)</f>
        <v>0</v>
      </c>
      <c r="X188" s="37">
        <f>IFERROR(__xludf.DUMMYFUNCTION("""COMPUTED_VALUE"""),0.0)</f>
        <v>0</v>
      </c>
      <c r="Y188" s="37">
        <f>IFERROR(__xludf.DUMMYFUNCTION("""COMPUTED_VALUE"""),-0.5996464046155081)</f>
        <v>-0.5996464046</v>
      </c>
      <c r="Z188" s="37">
        <f>IFERROR(__xludf.DUMMYFUNCTION("""COMPUTED_VALUE"""),0.0)</f>
        <v>0</v>
      </c>
      <c r="AA188" t="str">
        <f>IFERROR(__xludf.DUMMYFUNCTION("SUBSTITUTE(REGEXREPLACE(REGEXREPLACE(REGEXREPLACE(REGEXREPLACE(REGEXREPLACE(REGEXREPLACE(E188,"","",),IF(Projections!$U$3="""",""PG"",),),IF(Projections!$V$3="""",""SG"",),),IF(Projections!$W$3="""",""SF"",),),IF(Projections!$X$3="""",""PF"",),),IF(Projec"&amp;"tions!$Y$3="""",""C"",),),""/"","""")"),"C")</f>
        <v>C</v>
      </c>
    </row>
    <row r="189">
      <c r="B189">
        <f>IFERROR(__xludf.DUMMYFUNCTION("""COMPUTED_VALUE"""),105.0)</f>
        <v>105</v>
      </c>
      <c r="C189" t="str">
        <f>IFERROR(__xludf.DUMMYFUNCTION("""COMPUTED_VALUE"""),"Onyeka Okongwu")</f>
        <v>Onyeka Okongwu</v>
      </c>
      <c r="D189">
        <f>IFERROR(__xludf.DUMMYFUNCTION("""COMPUTED_VALUE"""),70.0)</f>
        <v>70</v>
      </c>
      <c r="E189" t="str">
        <f>IFERROR(__xludf.DUMMYFUNCTION("""COMPUTED_VALUE"""),"C")</f>
        <v>C</v>
      </c>
      <c r="F189" s="37">
        <f>IFERROR(__xludf.DUMMYFUNCTION("""COMPUTED_VALUE"""),-1.9531700734478192)</f>
        <v>-1.953170073</v>
      </c>
      <c r="G189" s="37">
        <f>IFERROR(__xludf.DUMMYFUNCTION("""COMPUTED_VALUE"""),-5.80773066354823)</f>
        <v>-5.807730664</v>
      </c>
      <c r="H189" s="37">
        <f>IFERROR(__xludf.DUMMYFUNCTION("""COMPUTED_VALUE"""),-3.8545605901004105)</f>
        <v>-3.85456059</v>
      </c>
      <c r="I189" s="37">
        <f>IFERROR(__xludf.DUMMYFUNCTION("""COMPUTED_VALUE"""),10.4)</f>
        <v>10.4</v>
      </c>
      <c r="J189" s="37">
        <f>IFERROR(__xludf.DUMMYFUNCTION("""COMPUTED_VALUE"""),0.0)</f>
        <v>0</v>
      </c>
      <c r="K189" s="37">
        <f>IFERROR(__xludf.DUMMYFUNCTION("""COMPUTED_VALUE"""),6.7)</f>
        <v>6.7</v>
      </c>
      <c r="L189" s="37">
        <f>IFERROR(__xludf.DUMMYFUNCTION("""COMPUTED_VALUE"""),1.3)</f>
        <v>1.3</v>
      </c>
      <c r="M189" s="37">
        <f>IFERROR(__xludf.DUMMYFUNCTION("""COMPUTED_VALUE"""),0.7)</f>
        <v>0.7</v>
      </c>
      <c r="N189" s="37">
        <f>IFERROR(__xludf.DUMMYFUNCTION("""COMPUTED_VALUE"""),1.5)</f>
        <v>1.5</v>
      </c>
      <c r="O189" s="37">
        <f>IFERROR(__xludf.DUMMYFUNCTION("""COMPUTED_VALUE"""),64.61538461538461)</f>
        <v>64.61538462</v>
      </c>
      <c r="P189" s="37">
        <f>IFERROR(__xludf.DUMMYFUNCTION("""COMPUTED_VALUE"""),76.92307692307692)</f>
        <v>76.92307692</v>
      </c>
      <c r="Q189" s="37">
        <f>IFERROR(__xludf.DUMMYFUNCTION("""COMPUTED_VALUE"""),1.0)</f>
        <v>1</v>
      </c>
      <c r="R189" s="37">
        <f>IFERROR(__xludf.DUMMYFUNCTION("""COMPUTED_VALUE"""),-1.744969989733451)</f>
        <v>-1.74496999</v>
      </c>
      <c r="S189" s="37">
        <f>IFERROR(__xludf.DUMMYFUNCTION("""COMPUTED_VALUE"""),-1.6133511223939103)</f>
        <v>-1.613351122</v>
      </c>
      <c r="T189" s="37">
        <f>IFERROR(__xludf.DUMMYFUNCTION("""COMPUTED_VALUE"""),0.255340104451454)</f>
        <v>0.2553401045</v>
      </c>
      <c r="U189" s="37">
        <f>IFERROR(__xludf.DUMMYFUNCTION("""COMPUTED_VALUE"""),-1.3708127526470602)</f>
        <v>-1.370812753</v>
      </c>
      <c r="V189" s="37">
        <f>IFERROR(__xludf.DUMMYFUNCTION("""COMPUTED_VALUE"""),-1.2428613161002313)</f>
        <v>-1.242861316</v>
      </c>
      <c r="W189" s="37">
        <f>IFERROR(__xludf.DUMMYFUNCTION("""COMPUTED_VALUE"""),0.0)</f>
        <v>0</v>
      </c>
      <c r="X189" s="37">
        <f>IFERROR(__xludf.DUMMYFUNCTION("""COMPUTED_VALUE"""),0.0)</f>
        <v>0</v>
      </c>
      <c r="Y189" s="37">
        <f>IFERROR(__xludf.DUMMYFUNCTION("""COMPUTED_VALUE"""),-0.09107558712503065)</f>
        <v>-0.09107558713</v>
      </c>
      <c r="Z189" s="37">
        <f>IFERROR(__xludf.DUMMYFUNCTION("""COMPUTED_VALUE"""),0.0)</f>
        <v>0</v>
      </c>
      <c r="AA189" t="str">
        <f>IFERROR(__xludf.DUMMYFUNCTION("SUBSTITUTE(REGEXREPLACE(REGEXREPLACE(REGEXREPLACE(REGEXREPLACE(REGEXREPLACE(REGEXREPLACE(E189,"","",),IF(Projections!$U$3="""",""PG"",),),IF(Projections!$V$3="""",""SG"",),),IF(Projections!$W$3="""",""SF"",),),IF(Projections!$X$3="""",""PF"",),),IF(Projec"&amp;"tions!$Y$3="""",""C"",),),""/"","""")"),"C")</f>
        <v>C</v>
      </c>
    </row>
    <row r="190">
      <c r="B190">
        <f>IFERROR(__xludf.DUMMYFUNCTION("""COMPUTED_VALUE"""),172.0)</f>
        <v>172</v>
      </c>
      <c r="C190" t="str">
        <f>IFERROR(__xludf.DUMMYFUNCTION("""COMPUTED_VALUE"""),"Jonathan Isaac")</f>
        <v>Jonathan Isaac</v>
      </c>
      <c r="D190">
        <f>IFERROR(__xludf.DUMMYFUNCTION("""COMPUTED_VALUE"""),70.0)</f>
        <v>70</v>
      </c>
      <c r="E190" t="str">
        <f>IFERROR(__xludf.DUMMYFUNCTION("""COMPUTED_VALUE"""),"SF/PF")</f>
        <v>SF/PF</v>
      </c>
      <c r="F190" s="37">
        <f>IFERROR(__xludf.DUMMYFUNCTION("""COMPUTED_VALUE"""),-4.049637275027518)</f>
        <v>-4.049637275</v>
      </c>
      <c r="G190" s="37">
        <f>IFERROR(__xludf.DUMMYFUNCTION("""COMPUTED_VALUE"""),-5.918110257582098)</f>
        <v>-5.918110258</v>
      </c>
      <c r="H190" s="37">
        <f>IFERROR(__xludf.DUMMYFUNCTION("""COMPUTED_VALUE"""),-1.8684729825545805)</f>
        <v>-1.868472983</v>
      </c>
      <c r="I190" s="37">
        <f>IFERROR(__xludf.DUMMYFUNCTION("""COMPUTED_VALUE"""),8.3)</f>
        <v>8.3</v>
      </c>
      <c r="J190" s="37">
        <f>IFERROR(__xludf.DUMMYFUNCTION("""COMPUTED_VALUE"""),0.6)</f>
        <v>0.6</v>
      </c>
      <c r="K190" s="37">
        <f>IFERROR(__xludf.DUMMYFUNCTION("""COMPUTED_VALUE"""),4.7)</f>
        <v>4.7</v>
      </c>
      <c r="L190" s="37">
        <f>IFERROR(__xludf.DUMMYFUNCTION("""COMPUTED_VALUE"""),1.0)</f>
        <v>1</v>
      </c>
      <c r="M190" s="37">
        <f>IFERROR(__xludf.DUMMYFUNCTION("""COMPUTED_VALUE"""),0.9)</f>
        <v>0.9</v>
      </c>
      <c r="N190" s="37">
        <f>IFERROR(__xludf.DUMMYFUNCTION("""COMPUTED_VALUE"""),1.2)</f>
        <v>1.2</v>
      </c>
      <c r="O190" s="37">
        <f>IFERROR(__xludf.DUMMYFUNCTION("""COMPUTED_VALUE"""),45.714285714285715)</f>
        <v>45.71428571</v>
      </c>
      <c r="P190" s="37">
        <f>IFERROR(__xludf.DUMMYFUNCTION("""COMPUTED_VALUE"""),76.47058823529413)</f>
        <v>76.47058824</v>
      </c>
      <c r="Q190" s="37">
        <f>IFERROR(__xludf.DUMMYFUNCTION("""COMPUTED_VALUE"""),1.0)</f>
        <v>1</v>
      </c>
      <c r="R190" s="37">
        <f>IFERROR(__xludf.DUMMYFUNCTION("""COMPUTED_VALUE"""),-2.3041681767342674)</f>
        <v>-2.304168177</v>
      </c>
      <c r="S190" s="37">
        <f>IFERROR(__xludf.DUMMYFUNCTION("""COMPUTED_VALUE"""),-1.0133777848647274)</f>
        <v>-1.013377785</v>
      </c>
      <c r="T190" s="37">
        <f>IFERROR(__xludf.DUMMYFUNCTION("""COMPUTED_VALUE"""),-0.5610907016272261)</f>
        <v>-0.5610907016</v>
      </c>
      <c r="U190" s="37">
        <f>IFERROR(__xludf.DUMMYFUNCTION("""COMPUTED_VALUE"""),-1.542020715886299)</f>
        <v>-1.542020716</v>
      </c>
      <c r="V190" s="37">
        <f>IFERROR(__xludf.DUMMYFUNCTION("""COMPUTED_VALUE"""),-0.42526159822414)</f>
        <v>-0.4252615982</v>
      </c>
      <c r="W190" s="37">
        <f>IFERROR(__xludf.DUMMYFUNCTION("""COMPUTED_VALUE"""),0.0)</f>
        <v>0</v>
      </c>
      <c r="X190" s="37">
        <f>IFERROR(__xludf.DUMMYFUNCTION("""COMPUTED_VALUE"""),0.0)</f>
        <v>0</v>
      </c>
      <c r="Y190" s="37">
        <f>IFERROR(__xludf.DUMMYFUNCTION("""COMPUTED_VALUE"""),-0.07219128024543806)</f>
        <v>-0.07219128025</v>
      </c>
      <c r="Z190" s="37">
        <f>IFERROR(__xludf.DUMMYFUNCTION("""COMPUTED_VALUE"""),0.0)</f>
        <v>0</v>
      </c>
      <c r="AA190" t="str">
        <f>IFERROR(__xludf.DUMMYFUNCTION("SUBSTITUTE(REGEXREPLACE(REGEXREPLACE(REGEXREPLACE(REGEXREPLACE(REGEXREPLACE(REGEXREPLACE(E190,"","",),IF(Projections!$U$3="""",""PG"",),),IF(Projections!$V$3="""",""SG"",),),IF(Projections!$W$3="""",""SF"",),),IF(Projections!$X$3="""",""PF"",),),IF(Projec"&amp;"tions!$Y$3="""",""C"",),),""/"","""")"),"SFPF")</f>
        <v>SFPF</v>
      </c>
    </row>
    <row r="191">
      <c r="B191">
        <f>IFERROR(__xludf.DUMMYFUNCTION("""COMPUTED_VALUE"""),126.0)</f>
        <v>126</v>
      </c>
      <c r="C191" t="str">
        <f>IFERROR(__xludf.DUMMYFUNCTION("""COMPUTED_VALUE"""),"JaVale McGee")</f>
        <v>JaVale McGee</v>
      </c>
      <c r="D191">
        <f>IFERROR(__xludf.DUMMYFUNCTION("""COMPUTED_VALUE"""),68.0)</f>
        <v>68</v>
      </c>
      <c r="E191" t="str">
        <f>IFERROR(__xludf.DUMMYFUNCTION("""COMPUTED_VALUE"""),"C")</f>
        <v>C</v>
      </c>
      <c r="F191" s="37">
        <f>IFERROR(__xludf.DUMMYFUNCTION("""COMPUTED_VALUE"""),-2.8213086757509505)</f>
        <v>-2.821308676</v>
      </c>
      <c r="G191" s="37">
        <f>IFERROR(__xludf.DUMMYFUNCTION("""COMPUTED_VALUE"""),-6.204469719396129)</f>
        <v>-6.204469719</v>
      </c>
      <c r="H191" s="37">
        <f>IFERROR(__xludf.DUMMYFUNCTION("""COMPUTED_VALUE"""),-3.3831610436451784)</f>
        <v>-3.383161044</v>
      </c>
      <c r="I191" s="37">
        <f>IFERROR(__xludf.DUMMYFUNCTION("""COMPUTED_VALUE"""),11.8)</f>
        <v>11.8</v>
      </c>
      <c r="J191" s="37">
        <f>IFERROR(__xludf.DUMMYFUNCTION("""COMPUTED_VALUE"""),0.0)</f>
        <v>0</v>
      </c>
      <c r="K191" s="37">
        <f>IFERROR(__xludf.DUMMYFUNCTION("""COMPUTED_VALUE"""),8.8)</f>
        <v>8.8</v>
      </c>
      <c r="L191" s="37">
        <f>IFERROR(__xludf.DUMMYFUNCTION("""COMPUTED_VALUE"""),0.9)</f>
        <v>0.9</v>
      </c>
      <c r="M191" s="37">
        <f>IFERROR(__xludf.DUMMYFUNCTION("""COMPUTED_VALUE"""),0.4)</f>
        <v>0.4</v>
      </c>
      <c r="N191" s="37">
        <f>IFERROR(__xludf.DUMMYFUNCTION("""COMPUTED_VALUE"""),1.4)</f>
        <v>1.4</v>
      </c>
      <c r="O191" s="37">
        <f>IFERROR(__xludf.DUMMYFUNCTION("""COMPUTED_VALUE"""),57.954545454545446)</f>
        <v>57.95454545</v>
      </c>
      <c r="P191" s="37">
        <f>IFERROR(__xludf.DUMMYFUNCTION("""COMPUTED_VALUE"""),71.42857142857143)</f>
        <v>71.42857143</v>
      </c>
      <c r="Q191" s="37">
        <f>IFERROR(__xludf.DUMMYFUNCTION("""COMPUTED_VALUE"""),1.9)</f>
        <v>1.9</v>
      </c>
      <c r="R191" s="37">
        <f>IFERROR(__xludf.DUMMYFUNCTION("""COMPUTED_VALUE"""),-1.3721711983995732)</f>
        <v>-1.372171198</v>
      </c>
      <c r="S191" s="37">
        <f>IFERROR(__xludf.DUMMYFUNCTION("""COMPUTED_VALUE"""),-1.6133511223939103)</f>
        <v>-1.613351122</v>
      </c>
      <c r="T191" s="37">
        <f>IFERROR(__xludf.DUMMYFUNCTION("""COMPUTED_VALUE"""),1.1125924508340683)</f>
        <v>1.112592451</v>
      </c>
      <c r="U191" s="37">
        <f>IFERROR(__xludf.DUMMYFUNCTION("""COMPUTED_VALUE"""),-1.5990900369660455)</f>
        <v>-1.599090037</v>
      </c>
      <c r="V191" s="37">
        <f>IFERROR(__xludf.DUMMYFUNCTION("""COMPUTED_VALUE"""),-2.4692608929143676)</f>
        <v>-2.469260893</v>
      </c>
      <c r="W191" s="37">
        <f>IFERROR(__xludf.DUMMYFUNCTION("""COMPUTED_VALUE"""),0.0)</f>
        <v>0</v>
      </c>
      <c r="X191" s="37">
        <f>IFERROR(__xludf.DUMMYFUNCTION("""COMPUTED_VALUE"""),0.0)</f>
        <v>0</v>
      </c>
      <c r="Y191" s="37">
        <f>IFERROR(__xludf.DUMMYFUNCTION("""COMPUTED_VALUE"""),-0.26318891955629986)</f>
        <v>-0.2631889196</v>
      </c>
      <c r="Z191" s="37">
        <f>IFERROR(__xludf.DUMMYFUNCTION("""COMPUTED_VALUE"""),0.0)</f>
        <v>0</v>
      </c>
      <c r="AA191" t="str">
        <f>IFERROR(__xludf.DUMMYFUNCTION("SUBSTITUTE(REGEXREPLACE(REGEXREPLACE(REGEXREPLACE(REGEXREPLACE(REGEXREPLACE(REGEXREPLACE(E191,"","",),IF(Projections!$U$3="""",""PG"",),),IF(Projections!$V$3="""",""SG"",),),IF(Projections!$W$3="""",""SF"",),),IF(Projections!$X$3="""",""PF"",),),IF(Projec"&amp;"tions!$Y$3="""",""C"",),),""/"","""")"),"C")</f>
        <v>C</v>
      </c>
    </row>
    <row r="192">
      <c r="B192">
        <f>IFERROR(__xludf.DUMMYFUNCTION("""COMPUTED_VALUE"""),138.0)</f>
        <v>138</v>
      </c>
      <c r="C192" t="str">
        <f>IFERROR(__xludf.DUMMYFUNCTION("""COMPUTED_VALUE"""),"Nicolas Claxton")</f>
        <v>Nicolas Claxton</v>
      </c>
      <c r="D192">
        <f>IFERROR(__xludf.DUMMYFUNCTION("""COMPUTED_VALUE"""),70.0)</f>
        <v>70</v>
      </c>
      <c r="E192" t="str">
        <f>IFERROR(__xludf.DUMMYFUNCTION("""COMPUTED_VALUE"""),"PF/C")</f>
        <v>PF/C</v>
      </c>
      <c r="F192" s="37">
        <f>IFERROR(__xludf.DUMMYFUNCTION("""COMPUTED_VALUE"""),-3.1653456093230483)</f>
        <v>-3.165345609</v>
      </c>
      <c r="G192" s="37">
        <f>IFERROR(__xludf.DUMMYFUNCTION("""COMPUTED_VALUE"""),-6.219011818468836)</f>
        <v>-6.219011818</v>
      </c>
      <c r="H192" s="37">
        <f>IFERROR(__xludf.DUMMYFUNCTION("""COMPUTED_VALUE"""),-3.0536662091457876)</f>
        <v>-3.053666209</v>
      </c>
      <c r="I192" s="37">
        <f>IFERROR(__xludf.DUMMYFUNCTION("""COMPUTED_VALUE"""),10.8)</f>
        <v>10.8</v>
      </c>
      <c r="J192" s="37">
        <f>IFERROR(__xludf.DUMMYFUNCTION("""COMPUTED_VALUE"""),0.0)</f>
        <v>0</v>
      </c>
      <c r="K192" s="37">
        <f>IFERROR(__xludf.DUMMYFUNCTION("""COMPUTED_VALUE"""),7.5)</f>
        <v>7.5</v>
      </c>
      <c r="L192" s="37">
        <f>IFERROR(__xludf.DUMMYFUNCTION("""COMPUTED_VALUE"""),1.2)</f>
        <v>1.2</v>
      </c>
      <c r="M192" s="37">
        <f>IFERROR(__xludf.DUMMYFUNCTION("""COMPUTED_VALUE"""),0.7)</f>
        <v>0.7</v>
      </c>
      <c r="N192" s="37">
        <f>IFERROR(__xludf.DUMMYFUNCTION("""COMPUTED_VALUE"""),1.5)</f>
        <v>1.5</v>
      </c>
      <c r="O192" s="37">
        <f>IFERROR(__xludf.DUMMYFUNCTION("""COMPUTED_VALUE"""),63.013698630136986)</f>
        <v>63.01369863</v>
      </c>
      <c r="P192" s="37">
        <f>IFERROR(__xludf.DUMMYFUNCTION("""COMPUTED_VALUE"""),59.25925925925925)</f>
        <v>59.25925926</v>
      </c>
      <c r="Q192" s="37">
        <f>IFERROR(__xludf.DUMMYFUNCTION("""COMPUTED_VALUE"""),1.1)</f>
        <v>1.1</v>
      </c>
      <c r="R192" s="37">
        <f>IFERROR(__xludf.DUMMYFUNCTION("""COMPUTED_VALUE"""),-1.6384560493523432)</f>
        <v>-1.638456049</v>
      </c>
      <c r="S192" s="37">
        <f>IFERROR(__xludf.DUMMYFUNCTION("""COMPUTED_VALUE"""),-1.6133511223939103)</f>
        <v>-1.613351122</v>
      </c>
      <c r="T192" s="37">
        <f>IFERROR(__xludf.DUMMYFUNCTION("""COMPUTED_VALUE"""),0.5819124268829259)</f>
        <v>0.5819124269</v>
      </c>
      <c r="U192" s="37">
        <f>IFERROR(__xludf.DUMMYFUNCTION("""COMPUTED_VALUE"""),-1.427882073726807)</f>
        <v>-1.427882074</v>
      </c>
      <c r="V192" s="37">
        <f>IFERROR(__xludf.DUMMYFUNCTION("""COMPUTED_VALUE"""),-1.2428613161002313)</f>
        <v>-1.242861316</v>
      </c>
      <c r="W192" s="37">
        <f>IFERROR(__xludf.DUMMYFUNCTION("""COMPUTED_VALUE"""),0.0)</f>
        <v>0</v>
      </c>
      <c r="X192" s="37">
        <f>IFERROR(__xludf.DUMMYFUNCTION("""COMPUTED_VALUE"""),0.0)</f>
        <v>0</v>
      </c>
      <c r="Y192" s="37">
        <f>IFERROR(__xludf.DUMMYFUNCTION("""COMPUTED_VALUE"""),-0.87837368377847)</f>
        <v>-0.8783736838</v>
      </c>
      <c r="Z192" s="37">
        <f>IFERROR(__xludf.DUMMYFUNCTION("""COMPUTED_VALUE"""),0.0)</f>
        <v>0</v>
      </c>
      <c r="AA192" t="str">
        <f>IFERROR(__xludf.DUMMYFUNCTION("SUBSTITUTE(REGEXREPLACE(REGEXREPLACE(REGEXREPLACE(REGEXREPLACE(REGEXREPLACE(REGEXREPLACE(E192,"","",),IF(Projections!$U$3="""",""PG"",),),IF(Projections!$V$3="""",""SG"",),),IF(Projections!$W$3="""",""SF"",),),IF(Projections!$X$3="""",""PF"",),),IF(Projec"&amp;"tions!$Y$3="""",""C"",),),""/"","""")"),"PFC")</f>
        <v>PFC</v>
      </c>
    </row>
    <row r="193">
      <c r="B193">
        <f>IFERROR(__xludf.DUMMYFUNCTION("""COMPUTED_VALUE"""),157.0)</f>
        <v>157</v>
      </c>
      <c r="C193" t="str">
        <f>IFERROR(__xludf.DUMMYFUNCTION("""COMPUTED_VALUE"""),"Mo Bamba")</f>
        <v>Mo Bamba</v>
      </c>
      <c r="D193">
        <f>IFERROR(__xludf.DUMMYFUNCTION("""COMPUTED_VALUE"""),72.0)</f>
        <v>72</v>
      </c>
      <c r="E193" t="str">
        <f>IFERROR(__xludf.DUMMYFUNCTION("""COMPUTED_VALUE"""),"C")</f>
        <v>C</v>
      </c>
      <c r="F193" s="37">
        <f>IFERROR(__xludf.DUMMYFUNCTION("""COMPUTED_VALUE"""),-3.6982533563602717)</f>
        <v>-3.698253356</v>
      </c>
      <c r="G193" s="37">
        <f>IFERROR(__xludf.DUMMYFUNCTION("""COMPUTED_VALUE"""),-6.36423457447897)</f>
        <v>-6.364234574</v>
      </c>
      <c r="H193" s="37">
        <f>IFERROR(__xludf.DUMMYFUNCTION("""COMPUTED_VALUE"""),-2.665981218118698)</f>
        <v>-2.665981218</v>
      </c>
      <c r="I193" s="37">
        <f>IFERROR(__xludf.DUMMYFUNCTION("""COMPUTED_VALUE"""),8.6)</f>
        <v>8.6</v>
      </c>
      <c r="J193" s="37">
        <f>IFERROR(__xludf.DUMMYFUNCTION("""COMPUTED_VALUE"""),1.2)</f>
        <v>1.2</v>
      </c>
      <c r="K193" s="37">
        <f>IFERROR(__xludf.DUMMYFUNCTION("""COMPUTED_VALUE"""),6.5)</f>
        <v>6.5</v>
      </c>
      <c r="L193" s="37">
        <f>IFERROR(__xludf.DUMMYFUNCTION("""COMPUTED_VALUE"""),1.0)</f>
        <v>1</v>
      </c>
      <c r="M193" s="37">
        <f>IFERROR(__xludf.DUMMYFUNCTION("""COMPUTED_VALUE"""),0.4)</f>
        <v>0.4</v>
      </c>
      <c r="N193" s="37">
        <f>IFERROR(__xludf.DUMMYFUNCTION("""COMPUTED_VALUE"""),1.2)</f>
        <v>1.2</v>
      </c>
      <c r="O193" s="37">
        <f>IFERROR(__xludf.DUMMYFUNCTION("""COMPUTED_VALUE"""),48.57142857142857)</f>
        <v>48.57142857</v>
      </c>
      <c r="P193" s="37">
        <f>IFERROR(__xludf.DUMMYFUNCTION("""COMPUTED_VALUE"""),87.49999999999999)</f>
        <v>87.5</v>
      </c>
      <c r="Q193" s="37">
        <f>IFERROR(__xludf.DUMMYFUNCTION("""COMPUTED_VALUE"""),0.9)</f>
        <v>0.9</v>
      </c>
      <c r="R193" s="37">
        <f>IFERROR(__xludf.DUMMYFUNCTION("""COMPUTED_VALUE"""),-2.224282721448437)</f>
        <v>-2.224282721</v>
      </c>
      <c r="S193" s="37">
        <f>IFERROR(__xludf.DUMMYFUNCTION("""COMPUTED_VALUE"""),-0.41340444733554466)</f>
        <v>-0.4134044473</v>
      </c>
      <c r="T193" s="37">
        <f>IFERROR(__xludf.DUMMYFUNCTION("""COMPUTED_VALUE"""),0.1736970238435859)</f>
        <v>0.1736970238</v>
      </c>
      <c r="U193" s="37">
        <f>IFERROR(__xludf.DUMMYFUNCTION("""COMPUTED_VALUE"""),-1.542020715886299)</f>
        <v>-1.542020716</v>
      </c>
      <c r="V193" s="37">
        <f>IFERROR(__xludf.DUMMYFUNCTION("""COMPUTED_VALUE"""),-2.4692608929143676)</f>
        <v>-2.469260893</v>
      </c>
      <c r="W193" s="37">
        <f>IFERROR(__xludf.DUMMYFUNCTION("""COMPUTED_VALUE"""),0.0)</f>
        <v>0</v>
      </c>
      <c r="X193" s="37">
        <f>IFERROR(__xludf.DUMMYFUNCTION("""COMPUTED_VALUE"""),0.0)</f>
        <v>0</v>
      </c>
      <c r="Y193" s="37">
        <f>IFERROR(__xludf.DUMMYFUNCTION("""COMPUTED_VALUE"""),0.11103717926209247)</f>
        <v>0.1110371793</v>
      </c>
      <c r="Z193" s="37">
        <f>IFERROR(__xludf.DUMMYFUNCTION("""COMPUTED_VALUE"""),0.0)</f>
        <v>0</v>
      </c>
      <c r="AA193" t="str">
        <f>IFERROR(__xludf.DUMMYFUNCTION("SUBSTITUTE(REGEXREPLACE(REGEXREPLACE(REGEXREPLACE(REGEXREPLACE(REGEXREPLACE(REGEXREPLACE(E193,"","",),IF(Projections!$U$3="""",""PG"",),),IF(Projections!$V$3="""",""SG"",),),IF(Projections!$W$3="""",""SF"",),),IF(Projections!$X$3="""",""PF"",),),IF(Projec"&amp;"tions!$Y$3="""",""C"",),),""/"","""")"),"C")</f>
        <v>C</v>
      </c>
    </row>
    <row r="194">
      <c r="B194">
        <f>IFERROR(__xludf.DUMMYFUNCTION("""COMPUTED_VALUE"""),188.0)</f>
        <v>188</v>
      </c>
      <c r="C194" t="str">
        <f>IFERROR(__xludf.DUMMYFUNCTION("""COMPUTED_VALUE"""),"Grant Williams")</f>
        <v>Grant Williams</v>
      </c>
      <c r="D194">
        <f>IFERROR(__xludf.DUMMYFUNCTION("""COMPUTED_VALUE"""),70.0)</f>
        <v>70</v>
      </c>
      <c r="E194" t="str">
        <f>IFERROR(__xludf.DUMMYFUNCTION("""COMPUTED_VALUE"""),"PF")</f>
        <v>PF</v>
      </c>
      <c r="F194" s="37">
        <f>IFERROR(__xludf.DUMMYFUNCTION("""COMPUTED_VALUE"""),-4.6950780104385474)</f>
        <v>-4.69507801</v>
      </c>
      <c r="G194" s="37">
        <f>IFERROR(__xludf.DUMMYFUNCTION("""COMPUTED_VALUE"""),-6.555075466566812)</f>
        <v>-6.555075467</v>
      </c>
      <c r="H194" s="37">
        <f>IFERROR(__xludf.DUMMYFUNCTION("""COMPUTED_VALUE"""),-1.8599974561282648)</f>
        <v>-1.859997456</v>
      </c>
      <c r="I194" s="37">
        <f>IFERROR(__xludf.DUMMYFUNCTION("""COMPUTED_VALUE"""),8.5)</f>
        <v>8.5</v>
      </c>
      <c r="J194" s="37">
        <f>IFERROR(__xludf.DUMMYFUNCTION("""COMPUTED_VALUE"""),1.5)</f>
        <v>1.5</v>
      </c>
      <c r="K194" s="37">
        <f>IFERROR(__xludf.DUMMYFUNCTION("""COMPUTED_VALUE"""),3.8)</f>
        <v>3.8</v>
      </c>
      <c r="L194" s="37">
        <f>IFERROR(__xludf.DUMMYFUNCTION("""COMPUTED_VALUE"""),1.1)</f>
        <v>1.1</v>
      </c>
      <c r="M194" s="37">
        <f>IFERROR(__xludf.DUMMYFUNCTION("""COMPUTED_VALUE"""),0.5)</f>
        <v>0.5</v>
      </c>
      <c r="N194" s="37">
        <f>IFERROR(__xludf.DUMMYFUNCTION("""COMPUTED_VALUE"""),0.8)</f>
        <v>0.8</v>
      </c>
      <c r="O194" s="37">
        <f>IFERROR(__xludf.DUMMYFUNCTION("""COMPUTED_VALUE"""),47.54098360655738)</f>
        <v>47.54098361</v>
      </c>
      <c r="P194" s="37">
        <f>IFERROR(__xludf.DUMMYFUNCTION("""COMPUTED_VALUE"""),92.3076923076923)</f>
        <v>92.30769231</v>
      </c>
      <c r="Q194" s="37">
        <f>IFERROR(__xludf.DUMMYFUNCTION("""COMPUTED_VALUE"""),0.9)</f>
        <v>0.9</v>
      </c>
      <c r="R194" s="37">
        <f>IFERROR(__xludf.DUMMYFUNCTION("""COMPUTED_VALUE"""),-2.2509112065437136)</f>
        <v>-2.250911207</v>
      </c>
      <c r="S194" s="37">
        <f>IFERROR(__xludf.DUMMYFUNCTION("""COMPUTED_VALUE"""),-0.1134177785709532)</f>
        <v>-0.1134177786</v>
      </c>
      <c r="T194" s="37">
        <f>IFERROR(__xludf.DUMMYFUNCTION("""COMPUTED_VALUE"""),-0.9284845643626322)</f>
        <v>-0.9284845644</v>
      </c>
      <c r="U194" s="37">
        <f>IFERROR(__xludf.DUMMYFUNCTION("""COMPUTED_VALUE"""),-1.484951394806553)</f>
        <v>-1.484951395</v>
      </c>
      <c r="V194" s="37">
        <f>IFERROR(__xludf.DUMMYFUNCTION("""COMPUTED_VALUE"""),-2.0604610339763223)</f>
        <v>-2.060461034</v>
      </c>
      <c r="W194" s="37">
        <f>IFERROR(__xludf.DUMMYFUNCTION("""COMPUTED_VALUE"""),0.0)</f>
        <v>0</v>
      </c>
      <c r="X194" s="37">
        <f>IFERROR(__xludf.DUMMYFUNCTION("""COMPUTED_VALUE"""),0.0)</f>
        <v>0</v>
      </c>
      <c r="Y194" s="37">
        <f>IFERROR(__xludf.DUMMYFUNCTION("""COMPUTED_VALUE"""),0.2831505116933621)</f>
        <v>0.2831505117</v>
      </c>
      <c r="Z194" s="37">
        <f>IFERROR(__xludf.DUMMYFUNCTION("""COMPUTED_VALUE"""),0.0)</f>
        <v>0</v>
      </c>
      <c r="AA194" t="str">
        <f>IFERROR(__xludf.DUMMYFUNCTION("SUBSTITUTE(REGEXREPLACE(REGEXREPLACE(REGEXREPLACE(REGEXREPLACE(REGEXREPLACE(REGEXREPLACE(E194,"","",),IF(Projections!$U$3="""",""PG"",),),IF(Projections!$V$3="""",""SG"",),),IF(Projections!$W$3="""",""SF"",),),IF(Projections!$X$3="""",""PF"",),),IF(Projec"&amp;"tions!$Y$3="""",""C"",),),""/"","""")"),"PF")</f>
        <v>PF</v>
      </c>
    </row>
    <row r="195">
      <c r="B195">
        <f>IFERROR(__xludf.DUMMYFUNCTION("""COMPUTED_VALUE"""),184.0)</f>
        <v>184</v>
      </c>
      <c r="C195" t="str">
        <f>IFERROR(__xludf.DUMMYFUNCTION("""COMPUTED_VALUE"""),"Isaiah Stewart")</f>
        <v>Isaiah Stewart</v>
      </c>
      <c r="D195">
        <f>IFERROR(__xludf.DUMMYFUNCTION("""COMPUTED_VALUE"""),76.0)</f>
        <v>76</v>
      </c>
      <c r="E195" t="str">
        <f>IFERROR(__xludf.DUMMYFUNCTION("""COMPUTED_VALUE"""),"PF/C")</f>
        <v>PF/C</v>
      </c>
      <c r="F195" s="37">
        <f>IFERROR(__xludf.DUMMYFUNCTION("""COMPUTED_VALUE"""),-4.418701799667862)</f>
        <v>-4.4187018</v>
      </c>
      <c r="G195" s="37">
        <f>IFERROR(__xludf.DUMMYFUNCTION("""COMPUTED_VALUE"""),-6.627838229155532)</f>
        <v>-6.627838229</v>
      </c>
      <c r="H195" s="37">
        <f>IFERROR(__xludf.DUMMYFUNCTION("""COMPUTED_VALUE"""),-2.2091364294876694)</f>
        <v>-2.209136429</v>
      </c>
      <c r="I195" s="37">
        <f>IFERROR(__xludf.DUMMYFUNCTION("""COMPUTED_VALUE"""),9.6)</f>
        <v>9.6</v>
      </c>
      <c r="J195" s="37">
        <f>IFERROR(__xludf.DUMMYFUNCTION("""COMPUTED_VALUE"""),0.7)</f>
        <v>0.7</v>
      </c>
      <c r="K195" s="37">
        <f>IFERROR(__xludf.DUMMYFUNCTION("""COMPUTED_VALUE"""),8.0)</f>
        <v>8</v>
      </c>
      <c r="L195" s="37">
        <f>IFERROR(__xludf.DUMMYFUNCTION("""COMPUTED_VALUE"""),1.2)</f>
        <v>1.2</v>
      </c>
      <c r="M195" s="37">
        <f>IFERROR(__xludf.DUMMYFUNCTION("""COMPUTED_VALUE"""),0.3)</f>
        <v>0.3</v>
      </c>
      <c r="N195" s="37">
        <f>IFERROR(__xludf.DUMMYFUNCTION("""COMPUTED_VALUE"""),1.1)</f>
        <v>1.1</v>
      </c>
      <c r="O195" s="37">
        <f>IFERROR(__xludf.DUMMYFUNCTION("""COMPUTED_VALUE"""),50.0)</f>
        <v>50</v>
      </c>
      <c r="P195" s="37">
        <f>IFERROR(__xludf.DUMMYFUNCTION("""COMPUTED_VALUE"""),70.58823529411765)</f>
        <v>70.58823529</v>
      </c>
      <c r="Q195" s="37">
        <f>IFERROR(__xludf.DUMMYFUNCTION("""COMPUTED_VALUE"""),1.2)</f>
        <v>1.2</v>
      </c>
      <c r="R195" s="37">
        <f>IFERROR(__xludf.DUMMYFUNCTION("""COMPUTED_VALUE"""),-1.9579978704956669)</f>
        <v>-1.95799787</v>
      </c>
      <c r="S195" s="37">
        <f>IFERROR(__xludf.DUMMYFUNCTION("""COMPUTED_VALUE"""),-0.9133822286098637)</f>
        <v>-0.9133822286</v>
      </c>
      <c r="T195" s="37">
        <f>IFERROR(__xludf.DUMMYFUNCTION("""COMPUTED_VALUE"""),0.7860201284025959)</f>
        <v>0.7860201284</v>
      </c>
      <c r="U195" s="37">
        <f>IFERROR(__xludf.DUMMYFUNCTION("""COMPUTED_VALUE"""),-1.427882073726807)</f>
        <v>-1.427882074</v>
      </c>
      <c r="V195" s="37">
        <f>IFERROR(__xludf.DUMMYFUNCTION("""COMPUTED_VALUE"""),-2.8780607518524133)</f>
        <v>-2.878060752</v>
      </c>
      <c r="W195" s="37">
        <f>IFERROR(__xludf.DUMMYFUNCTION("""COMPUTED_VALUE"""),0.0)</f>
        <v>0</v>
      </c>
      <c r="X195" s="37">
        <f>IFERROR(__xludf.DUMMYFUNCTION("""COMPUTED_VALUE"""),0.0)</f>
        <v>0</v>
      </c>
      <c r="Y195" s="37">
        <f>IFERROR(__xludf.DUMMYFUNCTION("""COMPUTED_VALUE"""),-0.23653543287337675)</f>
        <v>-0.2365354329</v>
      </c>
      <c r="Z195" s="37">
        <f>IFERROR(__xludf.DUMMYFUNCTION("""COMPUTED_VALUE"""),0.0)</f>
        <v>0</v>
      </c>
      <c r="AA195" t="str">
        <f>IFERROR(__xludf.DUMMYFUNCTION("SUBSTITUTE(REGEXREPLACE(REGEXREPLACE(REGEXREPLACE(REGEXREPLACE(REGEXREPLACE(REGEXREPLACE(E195,"","",),IF(Projections!$U$3="""",""PG"",),),IF(Projections!$V$3="""",""SG"",),),IF(Projections!$W$3="""",""SF"",),),IF(Projections!$X$3="""",""PF"",),),IF(Projec"&amp;"tions!$Y$3="""",""C"",),),""/"","""")"),"PFC")</f>
        <v>PFC</v>
      </c>
    </row>
    <row r="196">
      <c r="B196">
        <f>IFERROR(__xludf.DUMMYFUNCTION("""COMPUTED_VALUE"""),197.0)</f>
        <v>197</v>
      </c>
      <c r="C196" t="str">
        <f>IFERROR(__xludf.DUMMYFUNCTION("""COMPUTED_VALUE"""),"Trendon Watford")</f>
        <v>Trendon Watford</v>
      </c>
      <c r="D196">
        <f>IFERROR(__xludf.DUMMYFUNCTION("""COMPUTED_VALUE"""),69.0)</f>
        <v>69</v>
      </c>
      <c r="E196" t="str">
        <f>IFERROR(__xludf.DUMMYFUNCTION("""COMPUTED_VALUE"""),"PF")</f>
        <v>PF</v>
      </c>
      <c r="F196" s="37">
        <f>IFERROR(__xludf.DUMMYFUNCTION("""COMPUTED_VALUE"""),-5.260331128174739)</f>
        <v>-5.260331128</v>
      </c>
      <c r="G196" s="37">
        <f>IFERROR(__xludf.DUMMYFUNCTION("""COMPUTED_VALUE"""),-6.745842023067917)</f>
        <v>-6.745842023</v>
      </c>
      <c r="H196" s="37">
        <f>IFERROR(__xludf.DUMMYFUNCTION("""COMPUTED_VALUE"""),-1.485510894893178)</f>
        <v>-1.485510895</v>
      </c>
      <c r="I196" s="37">
        <f>IFERROR(__xludf.DUMMYFUNCTION("""COMPUTED_VALUE"""),8.7)</f>
        <v>8.7</v>
      </c>
      <c r="J196" s="37">
        <f>IFERROR(__xludf.DUMMYFUNCTION("""COMPUTED_VALUE"""),0.2)</f>
        <v>0.2</v>
      </c>
      <c r="K196" s="37">
        <f>IFERROR(__xludf.DUMMYFUNCTION("""COMPUTED_VALUE"""),4.8)</f>
        <v>4.8</v>
      </c>
      <c r="L196" s="37">
        <f>IFERROR(__xludf.DUMMYFUNCTION("""COMPUTED_VALUE"""),1.9)</f>
        <v>1.9</v>
      </c>
      <c r="M196" s="37">
        <f>IFERROR(__xludf.DUMMYFUNCTION("""COMPUTED_VALUE"""),0.6)</f>
        <v>0.6</v>
      </c>
      <c r="N196" s="37">
        <f>IFERROR(__xludf.DUMMYFUNCTION("""COMPUTED_VALUE"""),0.7)</f>
        <v>0.7</v>
      </c>
      <c r="O196" s="37">
        <f>IFERROR(__xludf.DUMMYFUNCTION("""COMPUTED_VALUE"""),50.74626865671642)</f>
        <v>50.74626866</v>
      </c>
      <c r="P196" s="37">
        <f>IFERROR(__xludf.DUMMYFUNCTION("""COMPUTED_VALUE"""),80.95238095238095)</f>
        <v>80.95238095</v>
      </c>
      <c r="Q196" s="37">
        <f>IFERROR(__xludf.DUMMYFUNCTION("""COMPUTED_VALUE"""),1.0)</f>
        <v>1</v>
      </c>
      <c r="R196" s="37">
        <f>IFERROR(__xludf.DUMMYFUNCTION("""COMPUTED_VALUE"""),-2.19765423635316)</f>
        <v>-2.197654236</v>
      </c>
      <c r="S196" s="37">
        <f>IFERROR(__xludf.DUMMYFUNCTION("""COMPUTED_VALUE"""),-1.4133600098841828)</f>
        <v>-1.41336001</v>
      </c>
      <c r="T196" s="37">
        <f>IFERROR(__xludf.DUMMYFUNCTION("""COMPUTED_VALUE"""),-0.5202691613232922)</f>
        <v>-0.5202691613</v>
      </c>
      <c r="U196" s="37">
        <f>IFERROR(__xludf.DUMMYFUNCTION("""COMPUTED_VALUE"""),-1.0283968261685825)</f>
        <v>-1.028396826</v>
      </c>
      <c r="V196" s="37">
        <f>IFERROR(__xludf.DUMMYFUNCTION("""COMPUTED_VALUE"""),-1.6516611750382768)</f>
        <v>-1.651661175</v>
      </c>
      <c r="W196" s="37">
        <f>IFERROR(__xludf.DUMMYFUNCTION("""COMPUTED_VALUE"""),0.0)</f>
        <v>0</v>
      </c>
      <c r="X196" s="37">
        <f>IFERROR(__xludf.DUMMYFUNCTION("""COMPUTED_VALUE"""),0.0)</f>
        <v>0</v>
      </c>
      <c r="Y196" s="37">
        <f>IFERROR(__xludf.DUMMYFUNCTION("""COMPUTED_VALUE"""),0.0654993856995771)</f>
        <v>0.0654993857</v>
      </c>
      <c r="Z196" s="37">
        <f>IFERROR(__xludf.DUMMYFUNCTION("""COMPUTED_VALUE"""),0.0)</f>
        <v>0</v>
      </c>
      <c r="AA196" t="str">
        <f>IFERROR(__xludf.DUMMYFUNCTION("SUBSTITUTE(REGEXREPLACE(REGEXREPLACE(REGEXREPLACE(REGEXREPLACE(REGEXREPLACE(REGEXREPLACE(E196,"","",),IF(Projections!$U$3="""",""PG"",),),IF(Projections!$V$3="""",""SG"",),),IF(Projections!$W$3="""",""SF"",),),IF(Projections!$X$3="""",""PF"",),),IF(Projec"&amp;"tions!$Y$3="""",""C"",),),""/"","""")"),"PF")</f>
        <v>PF</v>
      </c>
    </row>
    <row r="197">
      <c r="B197">
        <f>IFERROR(__xludf.DUMMYFUNCTION("""COMPUTED_VALUE"""),147.0)</f>
        <v>147</v>
      </c>
      <c r="C197" t="str">
        <f>IFERROR(__xludf.DUMMYFUNCTION("""COMPUTED_VALUE"""),"Mitchell Robinson")</f>
        <v>Mitchell Robinson</v>
      </c>
      <c r="D197">
        <f>IFERROR(__xludf.DUMMYFUNCTION("""COMPUTED_VALUE"""),68.0)</f>
        <v>68</v>
      </c>
      <c r="E197" t="str">
        <f>IFERROR(__xludf.DUMMYFUNCTION("""COMPUTED_VALUE"""),"C")</f>
        <v>C</v>
      </c>
      <c r="F197" s="37">
        <f>IFERROR(__xludf.DUMMYFUNCTION("""COMPUTED_VALUE"""),-3.3740873912409075)</f>
        <v>-3.374087391</v>
      </c>
      <c r="G197" s="37">
        <f>IFERROR(__xludf.DUMMYFUNCTION("""COMPUTED_VALUE"""),-6.797277544260773)</f>
        <v>-6.797277544</v>
      </c>
      <c r="H197" s="37">
        <f>IFERROR(__xludf.DUMMYFUNCTION("""COMPUTED_VALUE"""),-3.423190153019865)</f>
        <v>-3.423190153</v>
      </c>
      <c r="I197" s="37">
        <f>IFERROR(__xludf.DUMMYFUNCTION("""COMPUTED_VALUE"""),8.4)</f>
        <v>8.4</v>
      </c>
      <c r="J197" s="37">
        <f>IFERROR(__xludf.DUMMYFUNCTION("""COMPUTED_VALUE"""),0.0)</f>
        <v>0</v>
      </c>
      <c r="K197" s="37">
        <f>IFERROR(__xludf.DUMMYFUNCTION("""COMPUTED_VALUE"""),8.6)</f>
        <v>8.6</v>
      </c>
      <c r="L197" s="37">
        <f>IFERROR(__xludf.DUMMYFUNCTION("""COMPUTED_VALUE"""),0.5)</f>
        <v>0.5</v>
      </c>
      <c r="M197" s="37">
        <f>IFERROR(__xludf.DUMMYFUNCTION("""COMPUTED_VALUE"""),0.8)</f>
        <v>0.8</v>
      </c>
      <c r="N197" s="37">
        <f>IFERROR(__xludf.DUMMYFUNCTION("""COMPUTED_VALUE"""),1.7)</f>
        <v>1.7</v>
      </c>
      <c r="O197" s="37">
        <f>IFERROR(__xludf.DUMMYFUNCTION("""COMPUTED_VALUE"""),72.0)</f>
        <v>72</v>
      </c>
      <c r="P197" s="37">
        <f>IFERROR(__xludf.DUMMYFUNCTION("""COMPUTED_VALUE"""),48.0)</f>
        <v>48</v>
      </c>
      <c r="Q197" s="37">
        <f>IFERROR(__xludf.DUMMYFUNCTION("""COMPUTED_VALUE"""),0.8)</f>
        <v>0.8</v>
      </c>
      <c r="R197" s="37">
        <f>IFERROR(__xludf.DUMMYFUNCTION("""COMPUTED_VALUE"""),-2.2775396916389905)</f>
        <v>-2.277539692</v>
      </c>
      <c r="S197" s="37">
        <f>IFERROR(__xludf.DUMMYFUNCTION("""COMPUTED_VALUE"""),-1.6133511223939103)</f>
        <v>-1.613351122</v>
      </c>
      <c r="T197" s="37">
        <f>IFERROR(__xludf.DUMMYFUNCTION("""COMPUTED_VALUE"""),1.0309493702261998)</f>
        <v>1.03094937</v>
      </c>
      <c r="U197" s="37">
        <f>IFERROR(__xludf.DUMMYFUNCTION("""COMPUTED_VALUE"""),-1.8273673212850308)</f>
        <v>-1.827367321</v>
      </c>
      <c r="V197" s="37">
        <f>IFERROR(__xludf.DUMMYFUNCTION("""COMPUTED_VALUE"""),-0.8340614571621854)</f>
        <v>-0.8340614572</v>
      </c>
      <c r="W197" s="37">
        <f>IFERROR(__xludf.DUMMYFUNCTION("""COMPUTED_VALUE"""),0.0)</f>
        <v>0</v>
      </c>
      <c r="X197" s="37">
        <f>IFERROR(__xludf.DUMMYFUNCTION("""COMPUTED_VALUE"""),0.0)</f>
        <v>0</v>
      </c>
      <c r="Y197" s="37">
        <f>IFERROR(__xludf.DUMMYFUNCTION("""COMPUTED_VALUE"""),-1.275907322006855)</f>
        <v>-1.275907322</v>
      </c>
      <c r="Z197" s="37">
        <f>IFERROR(__xludf.DUMMYFUNCTION("""COMPUTED_VALUE"""),0.0)</f>
        <v>0</v>
      </c>
      <c r="AA197" t="str">
        <f>IFERROR(__xludf.DUMMYFUNCTION("SUBSTITUTE(REGEXREPLACE(REGEXREPLACE(REGEXREPLACE(REGEXREPLACE(REGEXREPLACE(REGEXREPLACE(E197,"","",),IF(Projections!$U$3="""",""PG"",),),IF(Projections!$V$3="""",""SG"",),),IF(Projections!$W$3="""",""SF"",),),IF(Projections!$X$3="""",""PF"",),),IF(Projec"&amp;"tions!$Y$3="""",""C"",),),""/"","""")"),"C")</f>
        <v>C</v>
      </c>
    </row>
    <row r="198">
      <c r="B198">
        <f>IFERROR(__xludf.DUMMYFUNCTION("""COMPUTED_VALUE"""),180.0)</f>
        <v>180</v>
      </c>
      <c r="C198" t="str">
        <f>IFERROR(__xludf.DUMMYFUNCTION("""COMPUTED_VALUE"""),"Isaiah Jackson")</f>
        <v>Isaiah Jackson</v>
      </c>
      <c r="D198">
        <f>IFERROR(__xludf.DUMMYFUNCTION("""COMPUTED_VALUE"""),40.0)</f>
        <v>40</v>
      </c>
      <c r="E198" t="str">
        <f>IFERROR(__xludf.DUMMYFUNCTION("""COMPUTED_VALUE"""),"PF/C")</f>
        <v>PF/C</v>
      </c>
      <c r="F198" s="37">
        <f>IFERROR(__xludf.DUMMYFUNCTION("""COMPUTED_VALUE"""),-4.255863491915825)</f>
        <v>-4.255863492</v>
      </c>
      <c r="G198" s="37">
        <f>IFERROR(__xludf.DUMMYFUNCTION("""COMPUTED_VALUE"""),-6.823568423661339)</f>
        <v>-6.823568424</v>
      </c>
      <c r="H198" s="37">
        <f>IFERROR(__xludf.DUMMYFUNCTION("""COMPUTED_VALUE"""),-2.5677049317455136)</f>
        <v>-2.567704932</v>
      </c>
      <c r="I198" s="37">
        <f>IFERROR(__xludf.DUMMYFUNCTION("""COMPUTED_VALUE"""),10.4)</f>
        <v>10.4</v>
      </c>
      <c r="J198" s="37">
        <f>IFERROR(__xludf.DUMMYFUNCTION("""COMPUTED_VALUE"""),0.2)</f>
        <v>0.2</v>
      </c>
      <c r="K198" s="37">
        <f>IFERROR(__xludf.DUMMYFUNCTION("""COMPUTED_VALUE"""),6.6)</f>
        <v>6.6</v>
      </c>
      <c r="L198" s="37">
        <f>IFERROR(__xludf.DUMMYFUNCTION("""COMPUTED_VALUE"""),0.5)</f>
        <v>0.5</v>
      </c>
      <c r="M198" s="37">
        <f>IFERROR(__xludf.DUMMYFUNCTION("""COMPUTED_VALUE"""),0.7)</f>
        <v>0.7</v>
      </c>
      <c r="N198" s="37">
        <f>IFERROR(__xludf.DUMMYFUNCTION("""COMPUTED_VALUE"""),1.4)</f>
        <v>1.4</v>
      </c>
      <c r="O198" s="37">
        <f>IFERROR(__xludf.DUMMYFUNCTION("""COMPUTED_VALUE"""),57.53424657534247)</f>
        <v>57.53424658</v>
      </c>
      <c r="P198" s="37">
        <f>IFERROR(__xludf.DUMMYFUNCTION("""COMPUTED_VALUE"""),62.06896551724138)</f>
        <v>62.06896552</v>
      </c>
      <c r="Q198" s="37">
        <f>IFERROR(__xludf.DUMMYFUNCTION("""COMPUTED_VALUE"""),1.8)</f>
        <v>1.8</v>
      </c>
      <c r="R198" s="37">
        <f>IFERROR(__xludf.DUMMYFUNCTION("""COMPUTED_VALUE"""),-1.744969989733451)</f>
        <v>-1.74496999</v>
      </c>
      <c r="S198" s="37">
        <f>IFERROR(__xludf.DUMMYFUNCTION("""COMPUTED_VALUE"""),-1.4133600098841828)</f>
        <v>-1.41336001</v>
      </c>
      <c r="T198" s="37">
        <f>IFERROR(__xludf.DUMMYFUNCTION("""COMPUTED_VALUE"""),0.21451856414751977)</f>
        <v>0.2145185641</v>
      </c>
      <c r="U198" s="37">
        <f>IFERROR(__xludf.DUMMYFUNCTION("""COMPUTED_VALUE"""),-1.8273673212850308)</f>
        <v>-1.827367321</v>
      </c>
      <c r="V198" s="37">
        <f>IFERROR(__xludf.DUMMYFUNCTION("""COMPUTED_VALUE"""),-1.2428613161002313)</f>
        <v>-1.242861316</v>
      </c>
      <c r="W198" s="37">
        <f>IFERROR(__xludf.DUMMYFUNCTION("""COMPUTED_VALUE"""),0.0)</f>
        <v>0</v>
      </c>
      <c r="X198" s="37">
        <f>IFERROR(__xludf.DUMMYFUNCTION("""COMPUTED_VALUE"""),0.0)</f>
        <v>0</v>
      </c>
      <c r="Y198" s="37">
        <f>IFERROR(__xludf.DUMMYFUNCTION("""COMPUTED_VALUE"""),-0.8095283508059619)</f>
        <v>-0.8095283508</v>
      </c>
      <c r="Z198" s="37">
        <f>IFERROR(__xludf.DUMMYFUNCTION("""COMPUTED_VALUE"""),0.0)</f>
        <v>0</v>
      </c>
      <c r="AA198" t="str">
        <f>IFERROR(__xludf.DUMMYFUNCTION("SUBSTITUTE(REGEXREPLACE(REGEXREPLACE(REGEXREPLACE(REGEXREPLACE(REGEXREPLACE(REGEXREPLACE(E198,"","",),IF(Projections!$U$3="""",""PG"",),),IF(Projections!$V$3="""",""SG"",),),IF(Projections!$W$3="""",""SF"",),),IF(Projections!$X$3="""",""PF"",),),IF(Projec"&amp;"tions!$Y$3="""",""C"",),),""/"","""")"),"PFC")</f>
        <v>PFC</v>
      </c>
    </row>
    <row r="199">
      <c r="B199">
        <f>IFERROR(__xludf.DUMMYFUNCTION("""COMPUTED_VALUE"""),199.0)</f>
        <v>199</v>
      </c>
      <c r="C199" t="str">
        <f>IFERROR(__xludf.DUMMYFUNCTION("""COMPUTED_VALUE"""),"Obi Toppin")</f>
        <v>Obi Toppin</v>
      </c>
      <c r="D199">
        <f>IFERROR(__xludf.DUMMYFUNCTION("""COMPUTED_VALUE"""),72.0)</f>
        <v>72</v>
      </c>
      <c r="E199" t="str">
        <f>IFERROR(__xludf.DUMMYFUNCTION("""COMPUTED_VALUE"""),"PF")</f>
        <v>PF</v>
      </c>
      <c r="F199" s="37">
        <f>IFERROR(__xludf.DUMMYFUNCTION("""COMPUTED_VALUE"""),-5.623007218152929)</f>
        <v>-5.623007218</v>
      </c>
      <c r="G199" s="37">
        <f>IFERROR(__xludf.DUMMYFUNCTION("""COMPUTED_VALUE"""),-6.9660448910330155)</f>
        <v>-6.966044891</v>
      </c>
      <c r="H199" s="37">
        <f>IFERROR(__xludf.DUMMYFUNCTION("""COMPUTED_VALUE"""),-1.3430376728800866)</f>
        <v>-1.343037673</v>
      </c>
      <c r="I199" s="37">
        <f>IFERROR(__xludf.DUMMYFUNCTION("""COMPUTED_VALUE"""),10.9)</f>
        <v>10.9</v>
      </c>
      <c r="J199" s="37">
        <f>IFERROR(__xludf.DUMMYFUNCTION("""COMPUTED_VALUE"""),0.8)</f>
        <v>0.8</v>
      </c>
      <c r="K199" s="37">
        <f>IFERROR(__xludf.DUMMYFUNCTION("""COMPUTED_VALUE"""),4.6)</f>
        <v>4.6</v>
      </c>
      <c r="L199" s="37">
        <f>IFERROR(__xludf.DUMMYFUNCTION("""COMPUTED_VALUE"""),1.3)</f>
        <v>1.3</v>
      </c>
      <c r="M199" s="37">
        <f>IFERROR(__xludf.DUMMYFUNCTION("""COMPUTED_VALUE"""),0.4)</f>
        <v>0.4</v>
      </c>
      <c r="N199" s="37">
        <f>IFERROR(__xludf.DUMMYFUNCTION("""COMPUTED_VALUE"""),0.6)</f>
        <v>0.6</v>
      </c>
      <c r="O199" s="37">
        <f>IFERROR(__xludf.DUMMYFUNCTION("""COMPUTED_VALUE"""),52.5)</f>
        <v>52.5</v>
      </c>
      <c r="P199" s="37">
        <f>IFERROR(__xludf.DUMMYFUNCTION("""COMPUTED_VALUE"""),76.19047619047619)</f>
        <v>76.19047619</v>
      </c>
      <c r="Q199" s="37">
        <f>IFERROR(__xludf.DUMMYFUNCTION("""COMPUTED_VALUE"""),1.0)</f>
        <v>1</v>
      </c>
      <c r="R199" s="37">
        <f>IFERROR(__xludf.DUMMYFUNCTION("""COMPUTED_VALUE"""),-1.6118275642570663)</f>
        <v>-1.611827564</v>
      </c>
      <c r="S199" s="37">
        <f>IFERROR(__xludf.DUMMYFUNCTION("""COMPUTED_VALUE"""),-0.8133866723549998)</f>
        <v>-0.8133866724</v>
      </c>
      <c r="T199" s="37">
        <f>IFERROR(__xludf.DUMMYFUNCTION("""COMPUTED_VALUE"""),-0.6019122419311602)</f>
        <v>-0.6019122419</v>
      </c>
      <c r="U199" s="37">
        <f>IFERROR(__xludf.DUMMYFUNCTION("""COMPUTED_VALUE"""),-1.3708127526470602)</f>
        <v>-1.370812753</v>
      </c>
      <c r="V199" s="37">
        <f>IFERROR(__xludf.DUMMYFUNCTION("""COMPUTED_VALUE"""),-2.4692608929143676)</f>
        <v>-2.469260893</v>
      </c>
      <c r="W199" s="37">
        <f>IFERROR(__xludf.DUMMYFUNCTION("""COMPUTED_VALUE"""),0.0)</f>
        <v>0</v>
      </c>
      <c r="X199" s="37">
        <f>IFERROR(__xludf.DUMMYFUNCTION("""COMPUTED_VALUE"""),0.0)</f>
        <v>0</v>
      </c>
      <c r="Y199" s="37">
        <f>IFERROR(__xludf.DUMMYFUNCTION("""COMPUTED_VALUE"""),-0.0988447669283614)</f>
        <v>-0.09884476693</v>
      </c>
      <c r="Z199" s="37">
        <f>IFERROR(__xludf.DUMMYFUNCTION("""COMPUTED_VALUE"""),0.0)</f>
        <v>0</v>
      </c>
      <c r="AA199" t="str">
        <f>IFERROR(__xludf.DUMMYFUNCTION("SUBSTITUTE(REGEXREPLACE(REGEXREPLACE(REGEXREPLACE(REGEXREPLACE(REGEXREPLACE(REGEXREPLACE(E199,"","",),IF(Projections!$U$3="""",""PG"",),),IF(Projections!$V$3="""",""SG"",),),IF(Projections!$W$3="""",""SF"",),),IF(Projections!$X$3="""",""PF"",),),IF(Projec"&amp;"tions!$Y$3="""",""C"",),),""/"","""")"),"PF")</f>
        <v>PF</v>
      </c>
    </row>
    <row r="200">
      <c r="B200">
        <f>IFERROR(__xludf.DUMMYFUNCTION("""COMPUTED_VALUE"""),171.0)</f>
        <v>171</v>
      </c>
      <c r="C200" t="str">
        <f>IFERROR(__xludf.DUMMYFUNCTION("""COMPUTED_VALUE"""),"Richaun Holmes")</f>
        <v>Richaun Holmes</v>
      </c>
      <c r="D200">
        <f>IFERROR(__xludf.DUMMYFUNCTION("""COMPUTED_VALUE"""),64.0)</f>
        <v>64</v>
      </c>
      <c r="E200" t="str">
        <f>IFERROR(__xludf.DUMMYFUNCTION("""COMPUTED_VALUE"""),"PF/C")</f>
        <v>PF/C</v>
      </c>
      <c r="F200" s="37">
        <f>IFERROR(__xludf.DUMMYFUNCTION("""COMPUTED_VALUE"""),-4.041045474905978)</f>
        <v>-4.041045475</v>
      </c>
      <c r="G200" s="37">
        <f>IFERROR(__xludf.DUMMYFUNCTION("""COMPUTED_VALUE"""),-7.167053183050866)</f>
        <v>-7.167053183</v>
      </c>
      <c r="H200" s="37">
        <f>IFERROR(__xludf.DUMMYFUNCTION("""COMPUTED_VALUE"""),-3.126007708144888)</f>
        <v>-3.126007708</v>
      </c>
      <c r="I200" s="37">
        <f>IFERROR(__xludf.DUMMYFUNCTION("""COMPUTED_VALUE"""),10.0)</f>
        <v>10</v>
      </c>
      <c r="J200" s="37">
        <f>IFERROR(__xludf.DUMMYFUNCTION("""COMPUTED_VALUE"""),0.0)</f>
        <v>0</v>
      </c>
      <c r="K200" s="37">
        <f>IFERROR(__xludf.DUMMYFUNCTION("""COMPUTED_VALUE"""),6.7)</f>
        <v>6.7</v>
      </c>
      <c r="L200" s="37">
        <f>IFERROR(__xludf.DUMMYFUNCTION("""COMPUTED_VALUE"""),1.1)</f>
        <v>1.1</v>
      </c>
      <c r="M200" s="37">
        <f>IFERROR(__xludf.DUMMYFUNCTION("""COMPUTED_VALUE"""),0.4)</f>
        <v>0.4</v>
      </c>
      <c r="N200" s="37">
        <f>IFERROR(__xludf.DUMMYFUNCTION("""COMPUTED_VALUE"""),0.9)</f>
        <v>0.9</v>
      </c>
      <c r="O200" s="37">
        <f>IFERROR(__xludf.DUMMYFUNCTION("""COMPUTED_VALUE"""),66.15384615384615)</f>
        <v>66.15384615</v>
      </c>
      <c r="P200" s="37">
        <f>IFERROR(__xludf.DUMMYFUNCTION("""COMPUTED_VALUE"""),78.94736842105263)</f>
        <v>78.94736842</v>
      </c>
      <c r="Q200" s="37">
        <f>IFERROR(__xludf.DUMMYFUNCTION("""COMPUTED_VALUE"""),1.2)</f>
        <v>1.2</v>
      </c>
      <c r="R200" s="37">
        <f>IFERROR(__xludf.DUMMYFUNCTION("""COMPUTED_VALUE"""),-1.851483930114559)</f>
        <v>-1.85148393</v>
      </c>
      <c r="S200" s="37">
        <f>IFERROR(__xludf.DUMMYFUNCTION("""COMPUTED_VALUE"""),-1.6133511223939103)</f>
        <v>-1.613351122</v>
      </c>
      <c r="T200" s="37">
        <f>IFERROR(__xludf.DUMMYFUNCTION("""COMPUTED_VALUE"""),0.255340104451454)</f>
        <v>0.2553401045</v>
      </c>
      <c r="U200" s="37">
        <f>IFERROR(__xludf.DUMMYFUNCTION("""COMPUTED_VALUE"""),-1.484951394806553)</f>
        <v>-1.484951395</v>
      </c>
      <c r="V200" s="37">
        <f>IFERROR(__xludf.DUMMYFUNCTION("""COMPUTED_VALUE"""),-2.4692608929143676)</f>
        <v>-2.469260893</v>
      </c>
      <c r="W200" s="37">
        <f>IFERROR(__xludf.DUMMYFUNCTION("""COMPUTED_VALUE"""),0.0)</f>
        <v>0</v>
      </c>
      <c r="X200" s="37">
        <f>IFERROR(__xludf.DUMMYFUNCTION("""COMPUTED_VALUE"""),0.0)</f>
        <v>0</v>
      </c>
      <c r="Y200" s="37">
        <f>IFERROR(__xludf.DUMMYFUNCTION("""COMPUTED_VALUE"""),-0.0033459472729303564)</f>
        <v>-0.003345947273</v>
      </c>
      <c r="Z200" s="37">
        <f>IFERROR(__xludf.DUMMYFUNCTION("""COMPUTED_VALUE"""),0.0)</f>
        <v>0</v>
      </c>
      <c r="AA200" t="str">
        <f>IFERROR(__xludf.DUMMYFUNCTION("SUBSTITUTE(REGEXREPLACE(REGEXREPLACE(REGEXREPLACE(REGEXREPLACE(REGEXREPLACE(REGEXREPLACE(E200,"","",),IF(Projections!$U$3="""",""PG"",),),IF(Projections!$V$3="""",""SG"",),),IF(Projections!$W$3="""",""SF"",),),IF(Projections!$X$3="""",""PF"",),),IF(Projec"&amp;"tions!$Y$3="""",""C"",),),""/"","""")"),"PFC")</f>
        <v>PFC</v>
      </c>
    </row>
    <row r="201">
      <c r="B201">
        <f>IFERROR(__xludf.DUMMYFUNCTION("""COMPUTED_VALUE"""),190.0)</f>
        <v>190</v>
      </c>
      <c r="C201" t="str">
        <f>IFERROR(__xludf.DUMMYFUNCTION("""COMPUTED_VALUE"""),"Damian Jones")</f>
        <v>Damian Jones</v>
      </c>
      <c r="D201">
        <f>IFERROR(__xludf.DUMMYFUNCTION("""COMPUTED_VALUE"""),65.0)</f>
        <v>65</v>
      </c>
      <c r="E201" t="str">
        <f>IFERROR(__xludf.DUMMYFUNCTION("""COMPUTED_VALUE"""),"C")</f>
        <v>C</v>
      </c>
      <c r="F201" s="37">
        <f>IFERROR(__xludf.DUMMYFUNCTION("""COMPUTED_VALUE"""),-4.7989353332678935)</f>
        <v>-4.798935333</v>
      </c>
      <c r="G201" s="37">
        <f>IFERROR(__xludf.DUMMYFUNCTION("""COMPUTED_VALUE"""),-7.261841594313899)</f>
        <v>-7.261841594</v>
      </c>
      <c r="H201" s="37">
        <f>IFERROR(__xludf.DUMMYFUNCTION("""COMPUTED_VALUE"""),-2.4629062610460055)</f>
        <v>-2.462906261</v>
      </c>
      <c r="I201" s="37">
        <f>IFERROR(__xludf.DUMMYFUNCTION("""COMPUTED_VALUE"""),9.1)</f>
        <v>9.1</v>
      </c>
      <c r="J201" s="37">
        <f>IFERROR(__xludf.DUMMYFUNCTION("""COMPUTED_VALUE"""),0.2)</f>
        <v>0.2</v>
      </c>
      <c r="K201" s="37">
        <f>IFERROR(__xludf.DUMMYFUNCTION("""COMPUTED_VALUE"""),4.9)</f>
        <v>4.9</v>
      </c>
      <c r="L201" s="37">
        <f>IFERROR(__xludf.DUMMYFUNCTION("""COMPUTED_VALUE"""),1.3)</f>
        <v>1.3</v>
      </c>
      <c r="M201" s="37">
        <f>IFERROR(__xludf.DUMMYFUNCTION("""COMPUTED_VALUE"""),0.6)</f>
        <v>0.6</v>
      </c>
      <c r="N201" s="37">
        <f>IFERROR(__xludf.DUMMYFUNCTION("""COMPUTED_VALUE"""),0.9)</f>
        <v>0.9</v>
      </c>
      <c r="O201" s="37">
        <f>IFERROR(__xludf.DUMMYFUNCTION("""COMPUTED_VALUE"""),64.81481481481481)</f>
        <v>64.81481481</v>
      </c>
      <c r="P201" s="37">
        <f>IFERROR(__xludf.DUMMYFUNCTION("""COMPUTED_VALUE"""),73.07692307692307)</f>
        <v>73.07692308</v>
      </c>
      <c r="Q201" s="37">
        <f>IFERROR(__xludf.DUMMYFUNCTION("""COMPUTED_VALUE"""),1.2)</f>
        <v>1.2</v>
      </c>
      <c r="R201" s="37">
        <f>IFERROR(__xludf.DUMMYFUNCTION("""COMPUTED_VALUE"""),-2.091140295972052)</f>
        <v>-2.091140296</v>
      </c>
      <c r="S201" s="37">
        <f>IFERROR(__xludf.DUMMYFUNCTION("""COMPUTED_VALUE"""),-1.4133600098841828)</f>
        <v>-1.41336001</v>
      </c>
      <c r="T201" s="37">
        <f>IFERROR(__xludf.DUMMYFUNCTION("""COMPUTED_VALUE"""),-0.47944762101935795)</f>
        <v>-0.479447621</v>
      </c>
      <c r="U201" s="37">
        <f>IFERROR(__xludf.DUMMYFUNCTION("""COMPUTED_VALUE"""),-1.3708127526470602)</f>
        <v>-1.370812753</v>
      </c>
      <c r="V201" s="37">
        <f>IFERROR(__xludf.DUMMYFUNCTION("""COMPUTED_VALUE"""),-1.6516611750382768)</f>
        <v>-1.651661175</v>
      </c>
      <c r="W201" s="37">
        <f>IFERROR(__xludf.DUMMYFUNCTION("""COMPUTED_VALUE"""),0.0)</f>
        <v>0</v>
      </c>
      <c r="X201" s="37">
        <f>IFERROR(__xludf.DUMMYFUNCTION("""COMPUTED_VALUE"""),0.0)</f>
        <v>0</v>
      </c>
      <c r="Y201" s="37">
        <f>IFERROR(__xludf.DUMMYFUNCTION("""COMPUTED_VALUE"""),-0.2554197397529692)</f>
        <v>-0.2554197398</v>
      </c>
      <c r="Z201" s="37">
        <f>IFERROR(__xludf.DUMMYFUNCTION("""COMPUTED_VALUE"""),0.0)</f>
        <v>0</v>
      </c>
      <c r="AA201" t="str">
        <f>IFERROR(__xludf.DUMMYFUNCTION("SUBSTITUTE(REGEXREPLACE(REGEXREPLACE(REGEXREPLACE(REGEXREPLACE(REGEXREPLACE(REGEXREPLACE(E201,"","",),IF(Projections!$U$3="""",""PG"",),),IF(Projections!$V$3="""",""SG"",),),IF(Projections!$W$3="""",""SF"",),),IF(Projections!$X$3="""",""PF"",),),IF(Projec"&amp;"tions!$Y$3="""",""C"",),),""/"","""")"),"C")</f>
        <v>C</v>
      </c>
    </row>
    <row r="202">
      <c r="B202">
        <f>IFERROR(__xludf.DUMMYFUNCTION("""COMPUTED_VALUE"""),160.0)</f>
        <v>160</v>
      </c>
      <c r="C202" t="str">
        <f>IFERROR(__xludf.DUMMYFUNCTION("""COMPUTED_VALUE"""),"Daniel Gafford")</f>
        <v>Daniel Gafford</v>
      </c>
      <c r="D202">
        <f>IFERROR(__xludf.DUMMYFUNCTION("""COMPUTED_VALUE"""),69.0)</f>
        <v>69</v>
      </c>
      <c r="E202" t="str">
        <f>IFERROR(__xludf.DUMMYFUNCTION("""COMPUTED_VALUE"""),"PF/C")</f>
        <v>PF/C</v>
      </c>
      <c r="F202" s="37">
        <f>IFERROR(__xludf.DUMMYFUNCTION("""COMPUTED_VALUE"""),-3.781995402157282)</f>
        <v>-3.781995402</v>
      </c>
      <c r="G202" s="37">
        <f>IFERROR(__xludf.DUMMYFUNCTION("""COMPUTED_VALUE"""),-7.338591846842746)</f>
        <v>-7.338591847</v>
      </c>
      <c r="H202" s="37">
        <f>IFERROR(__xludf.DUMMYFUNCTION("""COMPUTED_VALUE"""),-3.5565964446854643)</f>
        <v>-3.556596445</v>
      </c>
      <c r="I202" s="37">
        <f>IFERROR(__xludf.DUMMYFUNCTION("""COMPUTED_VALUE"""),9.7)</f>
        <v>9.7</v>
      </c>
      <c r="J202" s="37">
        <f>IFERROR(__xludf.DUMMYFUNCTION("""COMPUTED_VALUE"""),0.0)</f>
        <v>0</v>
      </c>
      <c r="K202" s="37">
        <f>IFERROR(__xludf.DUMMYFUNCTION("""COMPUTED_VALUE"""),6.4)</f>
        <v>6.4</v>
      </c>
      <c r="L202" s="37">
        <f>IFERROR(__xludf.DUMMYFUNCTION("""COMPUTED_VALUE"""),1.0)</f>
        <v>1</v>
      </c>
      <c r="M202" s="37">
        <f>IFERROR(__xludf.DUMMYFUNCTION("""COMPUTED_VALUE"""),0.5)</f>
        <v>0.5</v>
      </c>
      <c r="N202" s="37">
        <f>IFERROR(__xludf.DUMMYFUNCTION("""COMPUTED_VALUE"""),1.4)</f>
        <v>1.4</v>
      </c>
      <c r="O202" s="37">
        <f>IFERROR(__xludf.DUMMYFUNCTION("""COMPUTED_VALUE"""),63.49206349206349)</f>
        <v>63.49206349</v>
      </c>
      <c r="P202" s="37">
        <f>IFERROR(__xludf.DUMMYFUNCTION("""COMPUTED_VALUE"""),70.83333333333334)</f>
        <v>70.83333333</v>
      </c>
      <c r="Q202" s="37">
        <f>IFERROR(__xludf.DUMMYFUNCTION("""COMPUTED_VALUE"""),1.0)</f>
        <v>1</v>
      </c>
      <c r="R202" s="37">
        <f>IFERROR(__xludf.DUMMYFUNCTION("""COMPUTED_VALUE"""),-1.93136938540039)</f>
        <v>-1.931369385</v>
      </c>
      <c r="S202" s="37">
        <f>IFERROR(__xludf.DUMMYFUNCTION("""COMPUTED_VALUE"""),-1.6133511223939103)</f>
        <v>-1.613351122</v>
      </c>
      <c r="T202" s="37">
        <f>IFERROR(__xludf.DUMMYFUNCTION("""COMPUTED_VALUE"""),0.13287548353965203)</f>
        <v>0.1328754835</v>
      </c>
      <c r="U202" s="37">
        <f>IFERROR(__xludf.DUMMYFUNCTION("""COMPUTED_VALUE"""),-1.542020715886299)</f>
        <v>-1.542020716</v>
      </c>
      <c r="V202" s="37">
        <f>IFERROR(__xludf.DUMMYFUNCTION("""COMPUTED_VALUE"""),-2.0604610339763223)</f>
        <v>-2.060461034</v>
      </c>
      <c r="W202" s="37">
        <f>IFERROR(__xludf.DUMMYFUNCTION("""COMPUTED_VALUE"""),0.0)</f>
        <v>0</v>
      </c>
      <c r="X202" s="37">
        <f>IFERROR(__xludf.DUMMYFUNCTION("""COMPUTED_VALUE"""),0.0)</f>
        <v>0</v>
      </c>
      <c r="Y202" s="37">
        <f>IFERROR(__xludf.DUMMYFUNCTION("""COMPUTED_VALUE"""),-0.3242650727254767)</f>
        <v>-0.3242650727</v>
      </c>
      <c r="Z202" s="37">
        <f>IFERROR(__xludf.DUMMYFUNCTION("""COMPUTED_VALUE"""),0.0)</f>
        <v>0</v>
      </c>
      <c r="AA202" t="str">
        <f>IFERROR(__xludf.DUMMYFUNCTION("SUBSTITUTE(REGEXREPLACE(REGEXREPLACE(REGEXREPLACE(REGEXREPLACE(REGEXREPLACE(REGEXREPLACE(E202,"","",),IF(Projections!$U$3="""",""PG"",),),IF(Projections!$V$3="""",""SG"",),),IF(Projections!$W$3="""",""SF"",),),IF(Projections!$X$3="""",""PF"",),),IF(Projec"&amp;"tions!$Y$3="""",""C"",),),""/"","""")"),"PFC")</f>
        <v>PFC</v>
      </c>
    </row>
    <row r="203">
      <c r="B203">
        <f>IFERROR(__xludf.DUMMYFUNCTION("""COMPUTED_VALUE"""),195.0)</f>
        <v>195</v>
      </c>
      <c r="C203" t="str">
        <f>IFERROR(__xludf.DUMMYFUNCTION("""COMPUTED_VALUE"""),"Thomas Bryant")</f>
        <v>Thomas Bryant</v>
      </c>
      <c r="D203">
        <f>IFERROR(__xludf.DUMMYFUNCTION("""COMPUTED_VALUE"""),72.0)</f>
        <v>72</v>
      </c>
      <c r="E203" t="str">
        <f>IFERROR(__xludf.DUMMYFUNCTION("""COMPUTED_VALUE"""),"C")</f>
        <v>C</v>
      </c>
      <c r="F203" s="37">
        <f>IFERROR(__xludf.DUMMYFUNCTION("""COMPUTED_VALUE"""),-5.1221026364218885)</f>
        <v>-5.122102636</v>
      </c>
      <c r="G203" s="37">
        <f>IFERROR(__xludf.DUMMYFUNCTION("""COMPUTED_VALUE"""),-7.548032402961378)</f>
        <v>-7.548032403</v>
      </c>
      <c r="H203" s="37">
        <f>IFERROR(__xludf.DUMMYFUNCTION("""COMPUTED_VALUE"""),-2.4259297665394897)</f>
        <v>-2.425929767</v>
      </c>
      <c r="I203" s="37">
        <f>IFERROR(__xludf.DUMMYFUNCTION("""COMPUTED_VALUE"""),10.4)</f>
        <v>10.4</v>
      </c>
      <c r="J203" s="37">
        <f>IFERROR(__xludf.DUMMYFUNCTION("""COMPUTED_VALUE"""),0.4)</f>
        <v>0.4</v>
      </c>
      <c r="K203" s="37">
        <f>IFERROR(__xludf.DUMMYFUNCTION("""COMPUTED_VALUE"""),5.8)</f>
        <v>5.8</v>
      </c>
      <c r="L203" s="37">
        <f>IFERROR(__xludf.DUMMYFUNCTION("""COMPUTED_VALUE"""),1.3)</f>
        <v>1.3</v>
      </c>
      <c r="M203" s="37">
        <f>IFERROR(__xludf.DUMMYFUNCTION("""COMPUTED_VALUE"""),0.3)</f>
        <v>0.3</v>
      </c>
      <c r="N203" s="37">
        <f>IFERROR(__xludf.DUMMYFUNCTION("""COMPUTED_VALUE"""),1.1)</f>
        <v>1.1</v>
      </c>
      <c r="O203" s="37">
        <f>IFERROR(__xludf.DUMMYFUNCTION("""COMPUTED_VALUE"""),53.16455696202531)</f>
        <v>53.16455696</v>
      </c>
      <c r="P203" s="37">
        <f>IFERROR(__xludf.DUMMYFUNCTION("""COMPUTED_VALUE"""),72.72727272727273)</f>
        <v>72.72727273</v>
      </c>
      <c r="Q203" s="37">
        <f>IFERROR(__xludf.DUMMYFUNCTION("""COMPUTED_VALUE"""),1.0)</f>
        <v>1</v>
      </c>
      <c r="R203" s="37">
        <f>IFERROR(__xludf.DUMMYFUNCTION("""COMPUTED_VALUE"""),-1.744969989733451)</f>
        <v>-1.74496999</v>
      </c>
      <c r="S203" s="37">
        <f>IFERROR(__xludf.DUMMYFUNCTION("""COMPUTED_VALUE"""),-1.2133688973744552)</f>
        <v>-1.213368897</v>
      </c>
      <c r="T203" s="37">
        <f>IFERROR(__xludf.DUMMYFUNCTION("""COMPUTED_VALUE"""),-0.11205375828395218)</f>
        <v>-0.1120537583</v>
      </c>
      <c r="U203" s="37">
        <f>IFERROR(__xludf.DUMMYFUNCTION("""COMPUTED_VALUE"""),-1.3708127526470602)</f>
        <v>-1.370812753</v>
      </c>
      <c r="V203" s="37">
        <f>IFERROR(__xludf.DUMMYFUNCTION("""COMPUTED_VALUE"""),-2.8780607518524133)</f>
        <v>-2.878060752</v>
      </c>
      <c r="W203" s="37">
        <f>IFERROR(__xludf.DUMMYFUNCTION("""COMPUTED_VALUE"""),0.0)</f>
        <v>0</v>
      </c>
      <c r="X203" s="37">
        <f>IFERROR(__xludf.DUMMYFUNCTION("""COMPUTED_VALUE"""),0.0)</f>
        <v>0</v>
      </c>
      <c r="Y203" s="37">
        <f>IFERROR(__xludf.DUMMYFUNCTION("""COMPUTED_VALUE"""),-0.22876625307004594)</f>
        <v>-0.2287662531</v>
      </c>
      <c r="Z203" s="37">
        <f>IFERROR(__xludf.DUMMYFUNCTION("""COMPUTED_VALUE"""),0.0)</f>
        <v>0</v>
      </c>
      <c r="AA203" t="str">
        <f>IFERROR(__xludf.DUMMYFUNCTION("SUBSTITUTE(REGEXREPLACE(REGEXREPLACE(REGEXREPLACE(REGEXREPLACE(REGEXREPLACE(REGEXREPLACE(E203,"","",),IF(Projections!$U$3="""",""PG"",),),IF(Projections!$V$3="""",""SG"",),),IF(Projections!$W$3="""",""SF"",),),IF(Projections!$X$3="""",""PF"",),),IF(Projec"&amp;"tions!$Y$3="""",""C"",),),""/"","""")"),"C")</f>
        <v>C</v>
      </c>
    </row>
    <row r="204">
      <c r="B204">
        <f>IFERROR(__xludf.DUMMYFUNCTION("""COMPUTED_VALUE"""),198.0)</f>
        <v>198</v>
      </c>
      <c r="C204" t="str">
        <f>IFERROR(__xludf.DUMMYFUNCTION("""COMPUTED_VALUE"""),"Jaxson Hayes")</f>
        <v>Jaxson Hayes</v>
      </c>
      <c r="D204">
        <f>IFERROR(__xludf.DUMMYFUNCTION("""COMPUTED_VALUE"""),67.0)</f>
        <v>67</v>
      </c>
      <c r="E204" t="str">
        <f>IFERROR(__xludf.DUMMYFUNCTION("""COMPUTED_VALUE"""),"PF/C")</f>
        <v>PF/C</v>
      </c>
      <c r="F204" s="37">
        <f>IFERROR(__xludf.DUMMYFUNCTION("""COMPUTED_VALUE"""),-5.569815878824355)</f>
        <v>-5.569815879</v>
      </c>
      <c r="G204" s="37">
        <f>IFERROR(__xludf.DUMMYFUNCTION("""COMPUTED_VALUE"""),-8.002075510468412)</f>
        <v>-8.00207551</v>
      </c>
      <c r="H204" s="37">
        <f>IFERROR(__xludf.DUMMYFUNCTION("""COMPUTED_VALUE"""),-2.4322596316440572)</f>
        <v>-2.432259632</v>
      </c>
      <c r="I204" s="37">
        <f>IFERROR(__xludf.DUMMYFUNCTION("""COMPUTED_VALUE"""),8.9)</f>
        <v>8.9</v>
      </c>
      <c r="J204" s="37">
        <f>IFERROR(__xludf.DUMMYFUNCTION("""COMPUTED_VALUE"""),0.3)</f>
        <v>0.3</v>
      </c>
      <c r="K204" s="37">
        <f>IFERROR(__xludf.DUMMYFUNCTION("""COMPUTED_VALUE"""),4.4)</f>
        <v>4.4</v>
      </c>
      <c r="L204" s="37">
        <f>IFERROR(__xludf.DUMMYFUNCTION("""COMPUTED_VALUE"""),0.6)</f>
        <v>0.6</v>
      </c>
      <c r="M204" s="37">
        <f>IFERROR(__xludf.DUMMYFUNCTION("""COMPUTED_VALUE"""),0.5)</f>
        <v>0.5</v>
      </c>
      <c r="N204" s="37">
        <f>IFERROR(__xludf.DUMMYFUNCTION("""COMPUTED_VALUE"""),0.8)</f>
        <v>0.8</v>
      </c>
      <c r="O204" s="37">
        <f>IFERROR(__xludf.DUMMYFUNCTION("""COMPUTED_VALUE"""),60.71428571428572)</f>
        <v>60.71428571</v>
      </c>
      <c r="P204" s="37">
        <f>IFERROR(__xludf.DUMMYFUNCTION("""COMPUTED_VALUE"""),78.26086956521739)</f>
        <v>78.26086957</v>
      </c>
      <c r="Q204" s="37">
        <f>IFERROR(__xludf.DUMMYFUNCTION("""COMPUTED_VALUE"""),0.8)</f>
        <v>0.8</v>
      </c>
      <c r="R204" s="37">
        <f>IFERROR(__xludf.DUMMYFUNCTION("""COMPUTED_VALUE"""),-2.144397266162606)</f>
        <v>-2.144397266</v>
      </c>
      <c r="S204" s="37">
        <f>IFERROR(__xludf.DUMMYFUNCTION("""COMPUTED_VALUE"""),-1.313364453629319)</f>
        <v>-1.313364454</v>
      </c>
      <c r="T204" s="37">
        <f>IFERROR(__xludf.DUMMYFUNCTION("""COMPUTED_VALUE"""),-0.683555322539028)</f>
        <v>-0.6835553225</v>
      </c>
      <c r="U204" s="37">
        <f>IFERROR(__xludf.DUMMYFUNCTION("""COMPUTED_VALUE"""),-1.7702980002052842)</f>
        <v>-1.770298</v>
      </c>
      <c r="V204" s="37">
        <f>IFERROR(__xludf.DUMMYFUNCTION("""COMPUTED_VALUE"""),-2.0604610339763223)</f>
        <v>-2.060461034</v>
      </c>
      <c r="W204" s="37">
        <f>IFERROR(__xludf.DUMMYFUNCTION("""COMPUTED_VALUE"""),0.0)</f>
        <v>0</v>
      </c>
      <c r="X204" s="37">
        <f>IFERROR(__xludf.DUMMYFUNCTION("""COMPUTED_VALUE"""),0.0)</f>
        <v>0</v>
      </c>
      <c r="Y204" s="37">
        <f>IFERROR(__xludf.DUMMYFUNCTION("""COMPUTED_VALUE"""),-0.029999433955853298)</f>
        <v>-0.02999943396</v>
      </c>
      <c r="Z204" s="37">
        <f>IFERROR(__xludf.DUMMYFUNCTION("""COMPUTED_VALUE"""),0.0)</f>
        <v>0</v>
      </c>
      <c r="AA204" t="str">
        <f>IFERROR(__xludf.DUMMYFUNCTION("SUBSTITUTE(REGEXREPLACE(REGEXREPLACE(REGEXREPLACE(REGEXREPLACE(REGEXREPLACE(REGEXREPLACE(E204,"","",),IF(Projections!$U$3="""",""PG"",),),IF(Projections!$V$3="""",""SG"",),),IF(Projections!$W$3="""",""SF"",),),IF(Projections!$X$3="""",""PF"",),),IF(Projec"&amp;"tions!$Y$3="""",""C"",),),""/"","""")"),"PFC")</f>
        <v>PFC</v>
      </c>
    </row>
    <row r="205">
      <c r="B205">
        <f>IFERROR(__xludf.DUMMYFUNCTION("""COMPUTED_VALUE"""),200.0)</f>
        <v>200</v>
      </c>
      <c r="C205" t="str">
        <f>IFERROR(__xludf.DUMMYFUNCTION("""COMPUTED_VALUE"""),"Montrezl Harrell")</f>
        <v>Montrezl Harrell</v>
      </c>
      <c r="D205">
        <f>IFERROR(__xludf.DUMMYFUNCTION("""COMPUTED_VALUE"""),73.0)</f>
        <v>73</v>
      </c>
      <c r="E205" t="str">
        <f>IFERROR(__xludf.DUMMYFUNCTION("""COMPUTED_VALUE"""),"PF/C")</f>
        <v>PF/C</v>
      </c>
      <c r="F205" s="37">
        <f>IFERROR(__xludf.DUMMYFUNCTION("""COMPUTED_VALUE"""),-6.043416030323476)</f>
        <v>-6.04341603</v>
      </c>
      <c r="G205" s="37">
        <f>IFERROR(__xludf.DUMMYFUNCTION("""COMPUTED_VALUE"""),-8.022486895995648)</f>
        <v>-8.022486896</v>
      </c>
      <c r="H205" s="37">
        <f>IFERROR(__xludf.DUMMYFUNCTION("""COMPUTED_VALUE"""),-1.9790708656721723)</f>
        <v>-1.979070866</v>
      </c>
      <c r="I205" s="37">
        <f>IFERROR(__xludf.DUMMYFUNCTION("""COMPUTED_VALUE"""),11.8)</f>
        <v>11.8</v>
      </c>
      <c r="J205" s="37">
        <f>IFERROR(__xludf.DUMMYFUNCTION("""COMPUTED_VALUE"""),0.0)</f>
        <v>0</v>
      </c>
      <c r="K205" s="37">
        <f>IFERROR(__xludf.DUMMYFUNCTION("""COMPUTED_VALUE"""),4.6)</f>
        <v>4.6</v>
      </c>
      <c r="L205" s="37">
        <f>IFERROR(__xludf.DUMMYFUNCTION("""COMPUTED_VALUE"""),1.1)</f>
        <v>1.1</v>
      </c>
      <c r="M205" s="37">
        <f>IFERROR(__xludf.DUMMYFUNCTION("""COMPUTED_VALUE"""),0.4)</f>
        <v>0.4</v>
      </c>
      <c r="N205" s="37">
        <f>IFERROR(__xludf.DUMMYFUNCTION("""COMPUTED_VALUE"""),0.7)</f>
        <v>0.7</v>
      </c>
      <c r="O205" s="37">
        <f>IFERROR(__xludf.DUMMYFUNCTION("""COMPUTED_VALUE"""),62.0253164556962)</f>
        <v>62.02531646</v>
      </c>
      <c r="P205" s="37">
        <f>IFERROR(__xludf.DUMMYFUNCTION("""COMPUTED_VALUE"""),68.96551724137932)</f>
        <v>68.96551724</v>
      </c>
      <c r="Q205" s="37">
        <f>IFERROR(__xludf.DUMMYFUNCTION("""COMPUTED_VALUE"""),1.1)</f>
        <v>1.1</v>
      </c>
      <c r="R205" s="37">
        <f>IFERROR(__xludf.DUMMYFUNCTION("""COMPUTED_VALUE"""),-1.3721711983995732)</f>
        <v>-1.372171198</v>
      </c>
      <c r="S205" s="37">
        <f>IFERROR(__xludf.DUMMYFUNCTION("""COMPUTED_VALUE"""),-1.6133511223939103)</f>
        <v>-1.613351122</v>
      </c>
      <c r="T205" s="37">
        <f>IFERROR(__xludf.DUMMYFUNCTION("""COMPUTED_VALUE"""),-0.6019122419311602)</f>
        <v>-0.6019122419</v>
      </c>
      <c r="U205" s="37">
        <f>IFERROR(__xludf.DUMMYFUNCTION("""COMPUTED_VALUE"""),-1.484951394806553)</f>
        <v>-1.484951395</v>
      </c>
      <c r="V205" s="37">
        <f>IFERROR(__xludf.DUMMYFUNCTION("""COMPUTED_VALUE"""),-2.4692608929143676)</f>
        <v>-2.469260893</v>
      </c>
      <c r="W205" s="37">
        <f>IFERROR(__xludf.DUMMYFUNCTION("""COMPUTED_VALUE"""),0.0)</f>
        <v>0</v>
      </c>
      <c r="X205" s="37">
        <f>IFERROR(__xludf.DUMMYFUNCTION("""COMPUTED_VALUE"""),0.0)</f>
        <v>0</v>
      </c>
      <c r="Y205" s="37">
        <f>IFERROR(__xludf.DUMMYFUNCTION("""COMPUTED_VALUE"""),-0.4808400455500844)</f>
        <v>-0.4808400456</v>
      </c>
      <c r="Z205" s="37">
        <f>IFERROR(__xludf.DUMMYFUNCTION("""COMPUTED_VALUE"""),0.0)</f>
        <v>0</v>
      </c>
      <c r="AA205" t="str">
        <f>IFERROR(__xludf.DUMMYFUNCTION("SUBSTITUTE(REGEXREPLACE(REGEXREPLACE(REGEXREPLACE(REGEXREPLACE(REGEXREPLACE(REGEXREPLACE(E205,"","",),IF(Projections!$U$3="""",""PG"",),),IF(Projections!$V$3="""",""SG"",),),IF(Projections!$W$3="""",""SF"",),),IF(Projections!$X$3="""",""PF"",),),IF(Projec"&amp;"tions!$Y$3="""",""C"",),),""/"","""")"),"PFC")</f>
        <v>PFC</v>
      </c>
    </row>
    <row r="206"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t="str">
        <f>IFERROR(__xludf.DUMMYFUNCTION("REGEXREPLACE(REGEXREPLACE(REGEXREPLACE(REGEXREPLACE(REGEXREPLACE(REGEXREPLACE(E206,"","",),IF(Projections!$U$3="""",""PG"",),),IF(Projections!$V$3="""",""SG"",),),IF(Projections!$W$3="""",""SF"",),),IF(Projections!$X$3="""",""PF"",),),IF(Projections!$Y$3="&amp;""""",""C"",),)"),"")</f>
        <v/>
      </c>
    </row>
    <row r="207"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t="str">
        <f>IFERROR(__xludf.DUMMYFUNCTION("REGEXREPLACE(REGEXREPLACE(REGEXREPLACE(REGEXREPLACE(REGEXREPLACE(REGEXREPLACE(E207,"","",),IF(Projections!$U$3="""",""PG"",),),IF(Projections!$V$3="""",""SG"",),),IF(Projections!$W$3="""",""SF"",),),IF(Projections!$X$3="""",""PF"",),),IF(Projections!$Y$3="&amp;""""",""C"",),)"),"")</f>
        <v/>
      </c>
    </row>
    <row r="208"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t="str">
        <f>IFERROR(__xludf.DUMMYFUNCTION("REGEXREPLACE(REGEXREPLACE(REGEXREPLACE(REGEXREPLACE(REGEXREPLACE(REGEXREPLACE(E208,"","",),IF(Projections!$U$3="""",""PG"",),),IF(Projections!$V$3="""",""SG"",),),IF(Projections!$W$3="""",""SF"",),),IF(Projections!$X$3="""",""PF"",),),IF(Projections!$Y$3="&amp;""""",""C"",),)"),"")</f>
        <v/>
      </c>
    </row>
    <row r="209"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t="str">
        <f>IFERROR(__xludf.DUMMYFUNCTION("REGEXREPLACE(REGEXREPLACE(REGEXREPLACE(REGEXREPLACE(REGEXREPLACE(REGEXREPLACE(E209,"","",),IF(Projections!$U$3="""",""PG"",),),IF(Projections!$V$3="""",""SG"",),),IF(Projections!$W$3="""",""SF"",),),IF(Projections!$X$3="""",""PF"",),),IF(Projections!$Y$3="&amp;""""",""C"",),)"),"")</f>
        <v/>
      </c>
    </row>
    <row r="210"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t="str">
        <f>IFERROR(__xludf.DUMMYFUNCTION("REGEXREPLACE(REGEXREPLACE(REGEXREPLACE(REGEXREPLACE(REGEXREPLACE(REGEXREPLACE(E210,"","",),IF(Projections!$U$3="""",""PG"",),),IF(Projections!$V$3="""",""SG"",),),IF(Projections!$W$3="""",""SF"",),),IF(Projections!$X$3="""",""PF"",),),IF(Projections!$Y$3="&amp;""""",""C"",),)"),"")</f>
        <v/>
      </c>
    </row>
    <row r="211"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t="str">
        <f>IFERROR(__xludf.DUMMYFUNCTION("REGEXREPLACE(REGEXREPLACE(REGEXREPLACE(REGEXREPLACE(REGEXREPLACE(REGEXREPLACE(E211,"","",),IF(Projections!$U$3="""",""PG"",),),IF(Projections!$V$3="""",""SG"",),),IF(Projections!$W$3="""",""SF"",),),IF(Projections!$X$3="""",""PF"",),),IF(Projections!$Y$3="&amp;""""",""C"",),)"),"")</f>
        <v/>
      </c>
    </row>
    <row r="212"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t="str">
        <f>IFERROR(__xludf.DUMMYFUNCTION("REGEXREPLACE(REGEXREPLACE(REGEXREPLACE(REGEXREPLACE(REGEXREPLACE(REGEXREPLACE(E212,"","",),IF(Projections!$U$3="""",""PG"",),),IF(Projections!$V$3="""",""SG"",),),IF(Projections!$W$3="""",""SF"",),),IF(Projections!$X$3="""",""PF"",),),IF(Projections!$Y$3="&amp;""""",""C"",),)"),"")</f>
        <v/>
      </c>
    </row>
    <row r="213"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t="str">
        <f>IFERROR(__xludf.DUMMYFUNCTION("REGEXREPLACE(REGEXREPLACE(REGEXREPLACE(REGEXREPLACE(REGEXREPLACE(REGEXREPLACE(E213,"","",),IF(Projections!$U$3="""",""PG"",),),IF(Projections!$V$3="""",""SG"",),),IF(Projections!$W$3="""",""SF"",),),IF(Projections!$X$3="""",""PF"",),),IF(Projections!$Y$3="&amp;""""",""C"",),)"),"")</f>
        <v/>
      </c>
    </row>
    <row r="214"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t="str">
        <f>IFERROR(__xludf.DUMMYFUNCTION("REGEXREPLACE(REGEXREPLACE(REGEXREPLACE(REGEXREPLACE(REGEXREPLACE(REGEXREPLACE(E214,"","",),IF(Projections!$U$3="""",""PG"",),),IF(Projections!$V$3="""",""SG"",),),IF(Projections!$W$3="""",""SF"",),),IF(Projections!$X$3="""",""PF"",),),IF(Projections!$Y$3="&amp;""""",""C"",),)"),"")</f>
        <v/>
      </c>
    </row>
    <row r="215"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t="str">
        <f>IFERROR(__xludf.DUMMYFUNCTION("REGEXREPLACE(REGEXREPLACE(REGEXREPLACE(REGEXREPLACE(REGEXREPLACE(REGEXREPLACE(E215,"","",),IF(Projections!$U$3="""",""PG"",),),IF(Projections!$V$3="""",""SG"",),),IF(Projections!$W$3="""",""SF"",),),IF(Projections!$X$3="""",""PF"",),),IF(Projections!$Y$3="&amp;""""",""C"",),)"),"")</f>
        <v/>
      </c>
    </row>
    <row r="216"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t="str">
        <f>IFERROR(__xludf.DUMMYFUNCTION("REGEXREPLACE(REGEXREPLACE(REGEXREPLACE(REGEXREPLACE(REGEXREPLACE(REGEXREPLACE(E216,"","",),IF(Projections!$U$3="""",""PG"",),),IF(Projections!$V$3="""",""SG"",),),IF(Projections!$W$3="""",""SF"",),),IF(Projections!$X$3="""",""PF"",),),IF(Projections!$Y$3="&amp;""""",""C"",),)"),"")</f>
        <v/>
      </c>
    </row>
    <row r="217"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t="str">
        <f>IFERROR(__xludf.DUMMYFUNCTION("REGEXREPLACE(REGEXREPLACE(REGEXREPLACE(REGEXREPLACE(REGEXREPLACE(REGEXREPLACE(E217,"","",),IF(Projections!$U$3="""",""PG"",),),IF(Projections!$V$3="""",""SG"",),),IF(Projections!$W$3="""",""SF"",),),IF(Projections!$X$3="""",""PF"",),),IF(Projections!$Y$3="&amp;""""",""C"",),)"),"")</f>
        <v/>
      </c>
    </row>
    <row r="218"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t="str">
        <f>IFERROR(__xludf.DUMMYFUNCTION("REGEXREPLACE(REGEXREPLACE(REGEXREPLACE(REGEXREPLACE(REGEXREPLACE(REGEXREPLACE(E218,"","",),IF(Projections!$U$3="""",""PG"",),),IF(Projections!$V$3="""",""SG"",),),IF(Projections!$W$3="""",""SF"",),),IF(Projections!$X$3="""",""PF"",),),IF(Projections!$Y$3="&amp;""""",""C"",),)"),"")</f>
        <v/>
      </c>
    </row>
    <row r="219"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t="str">
        <f>IFERROR(__xludf.DUMMYFUNCTION("REGEXREPLACE(REGEXREPLACE(REGEXREPLACE(REGEXREPLACE(REGEXREPLACE(REGEXREPLACE(E219,"","",),IF(Projections!$U$3="""",""PG"",),),IF(Projections!$V$3="""",""SG"",),),IF(Projections!$W$3="""",""SF"",),),IF(Projections!$X$3="""",""PF"",),),IF(Projections!$Y$3="&amp;""""",""C"",),)"),"")</f>
        <v/>
      </c>
    </row>
    <row r="220"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t="str">
        <f>IFERROR(__xludf.DUMMYFUNCTION("REGEXREPLACE(REGEXREPLACE(REGEXREPLACE(REGEXREPLACE(REGEXREPLACE(REGEXREPLACE(E220,"","",),IF(Projections!$U$3="""",""PG"",),),IF(Projections!$V$3="""",""SG"",),),IF(Projections!$W$3="""",""SF"",),),IF(Projections!$X$3="""",""PF"",),),IF(Projections!$Y$3="&amp;""""",""C"",),)"),"")</f>
        <v/>
      </c>
    </row>
    <row r="221"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t="str">
        <f>IFERROR(__xludf.DUMMYFUNCTION("REGEXREPLACE(REGEXREPLACE(REGEXREPLACE(REGEXREPLACE(REGEXREPLACE(REGEXREPLACE(E221,"","",),IF(Projections!$U$3="""",""PG"",),),IF(Projections!$V$3="""",""SG"",),),IF(Projections!$W$3="""",""SF"",),),IF(Projections!$X$3="""",""PF"",),),IF(Projections!$Y$3="&amp;""""",""C"",),)"),"")</f>
        <v/>
      </c>
    </row>
    <row r="222"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t="str">
        <f>IFERROR(__xludf.DUMMYFUNCTION("REGEXREPLACE(REGEXREPLACE(REGEXREPLACE(REGEXREPLACE(REGEXREPLACE(REGEXREPLACE(E222,"","",),IF(Projections!$U$3="""",""PG"",),),IF(Projections!$V$3="""",""SG"",),),IF(Projections!$W$3="""",""SF"",),),IF(Projections!$X$3="""",""PF"",),),IF(Projections!$Y$3="&amp;""""",""C"",),)"),"")</f>
        <v/>
      </c>
    </row>
    <row r="223"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t="str">
        <f>IFERROR(__xludf.DUMMYFUNCTION("REGEXREPLACE(REGEXREPLACE(REGEXREPLACE(REGEXREPLACE(REGEXREPLACE(REGEXREPLACE(E223,"","",),IF(Projections!$U$3="""",""PG"",),),IF(Projections!$V$3="""",""SG"",),),IF(Projections!$W$3="""",""SF"",),),IF(Projections!$X$3="""",""PF"",),),IF(Projections!$Y$3="&amp;""""",""C"",),)"),"")</f>
        <v/>
      </c>
    </row>
    <row r="224"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t="str">
        <f>IFERROR(__xludf.DUMMYFUNCTION("REGEXREPLACE(REGEXREPLACE(REGEXREPLACE(REGEXREPLACE(REGEXREPLACE(REGEXREPLACE(E224,"","",),IF(Projections!$U$3="""",""PG"",),),IF(Projections!$V$3="""",""SG"",),),IF(Projections!$W$3="""",""SF"",),),IF(Projections!$X$3="""",""PF"",),),IF(Projections!$Y$3="&amp;""""",""C"",),)"),"")</f>
        <v/>
      </c>
    </row>
    <row r="225"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t="str">
        <f>IFERROR(__xludf.DUMMYFUNCTION("REGEXREPLACE(REGEXREPLACE(REGEXREPLACE(REGEXREPLACE(REGEXREPLACE(REGEXREPLACE(E225,"","",),IF(Projections!$U$3="""",""PG"",),),IF(Projections!$V$3="""",""SG"",),),IF(Projections!$W$3="""",""SF"",),),IF(Projections!$X$3="""",""PF"",),),IF(Projections!$Y$3="&amp;""""",""C"",),)"),"")</f>
        <v/>
      </c>
    </row>
    <row r="226"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t="str">
        <f>IFERROR(__xludf.DUMMYFUNCTION("REGEXREPLACE(REGEXREPLACE(REGEXREPLACE(REGEXREPLACE(REGEXREPLACE(REGEXREPLACE(E226,"","",),IF(Projections!$U$3="""",""PG"",),),IF(Projections!$V$3="""",""SG"",),),IF(Projections!$W$3="""",""SF"",),),IF(Projections!$X$3="""",""PF"",),),IF(Projections!$Y$3="&amp;""""",""C"",),)"),"")</f>
        <v/>
      </c>
    </row>
    <row r="227"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t="str">
        <f>IFERROR(__xludf.DUMMYFUNCTION("REGEXREPLACE(REGEXREPLACE(REGEXREPLACE(REGEXREPLACE(REGEXREPLACE(REGEXREPLACE(E227,"","",),IF(Projections!$U$3="""",""PG"",),),IF(Projections!$V$3="""",""SG"",),),IF(Projections!$W$3="""",""SF"",),),IF(Projections!$X$3="""",""PF"",),),IF(Projections!$Y$3="&amp;""""",""C"",),)"),"")</f>
        <v/>
      </c>
    </row>
    <row r="228"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t="str">
        <f>IFERROR(__xludf.DUMMYFUNCTION("REGEXREPLACE(REGEXREPLACE(REGEXREPLACE(REGEXREPLACE(REGEXREPLACE(REGEXREPLACE(E228,"","",),IF(Projections!$U$3="""",""PG"",),),IF(Projections!$V$3="""",""SG"",),),IF(Projections!$W$3="""",""SF"",),),IF(Projections!$X$3="""",""PF"",),),IF(Projections!$Y$3="&amp;""""",""C"",),)"),"")</f>
        <v/>
      </c>
    </row>
    <row r="229"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t="str">
        <f>IFERROR(__xludf.DUMMYFUNCTION("REGEXREPLACE(REGEXREPLACE(REGEXREPLACE(REGEXREPLACE(REGEXREPLACE(REGEXREPLACE(E229,"","",),IF(Projections!$U$3="""",""PG"",),),IF(Projections!$V$3="""",""SG"",),),IF(Projections!$W$3="""",""SF"",),),IF(Projections!$X$3="""",""PF"",),),IF(Projections!$Y$3="&amp;""""",""C"",),)"),"")</f>
        <v/>
      </c>
    </row>
    <row r="230"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t="str">
        <f>IFERROR(__xludf.DUMMYFUNCTION("REGEXREPLACE(REGEXREPLACE(REGEXREPLACE(REGEXREPLACE(REGEXREPLACE(REGEXREPLACE(E230,"","",),IF(Projections!$U$3="""",""PG"",),),IF(Projections!$V$3="""",""SG"",),),IF(Projections!$W$3="""",""SF"",),),IF(Projections!$X$3="""",""PF"",),),IF(Projections!$Y$3="&amp;""""",""C"",),)"),"")</f>
        <v/>
      </c>
    </row>
    <row r="231"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t="str">
        <f>IFERROR(__xludf.DUMMYFUNCTION("REGEXREPLACE(REGEXREPLACE(REGEXREPLACE(REGEXREPLACE(REGEXREPLACE(REGEXREPLACE(E231,"","",),IF(Projections!$U$3="""",""PG"",),),IF(Projections!$V$3="""",""SG"",),),IF(Projections!$W$3="""",""SF"",),),IF(Projections!$X$3="""",""PF"",),),IF(Projections!$Y$3="&amp;""""",""C"",),)"),"")</f>
        <v/>
      </c>
    </row>
    <row r="232"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t="str">
        <f>IFERROR(__xludf.DUMMYFUNCTION("REGEXREPLACE(REGEXREPLACE(REGEXREPLACE(REGEXREPLACE(REGEXREPLACE(REGEXREPLACE(E232,"","",),IF(Projections!$U$3="""",""PG"",),),IF(Projections!$V$3="""",""SG"",),),IF(Projections!$W$3="""",""SF"",),),IF(Projections!$X$3="""",""PF"",),),IF(Projections!$Y$3="&amp;""""",""C"",),)"),"")</f>
        <v/>
      </c>
    </row>
    <row r="233"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t="str">
        <f>IFERROR(__xludf.DUMMYFUNCTION("REGEXREPLACE(REGEXREPLACE(REGEXREPLACE(REGEXREPLACE(REGEXREPLACE(REGEXREPLACE(E233,"","",),IF(Projections!$U$3="""",""PG"",),),IF(Projections!$V$3="""",""SG"",),),IF(Projections!$W$3="""",""SF"",),),IF(Projections!$X$3="""",""PF"",),),IF(Projections!$Y$3="&amp;""""",""C"",),)"),"")</f>
        <v/>
      </c>
    </row>
    <row r="234"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t="str">
        <f>IFERROR(__xludf.DUMMYFUNCTION("REGEXREPLACE(REGEXREPLACE(REGEXREPLACE(REGEXREPLACE(REGEXREPLACE(REGEXREPLACE(E234,"","",),IF(Projections!$U$3="""",""PG"",),),IF(Projections!$V$3="""",""SG"",),),IF(Projections!$W$3="""",""SF"",),),IF(Projections!$X$3="""",""PF"",),),IF(Projections!$Y$3="&amp;""""",""C"",),)"),"")</f>
        <v/>
      </c>
    </row>
    <row r="235"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t="str">
        <f>IFERROR(__xludf.DUMMYFUNCTION("REGEXREPLACE(REGEXREPLACE(REGEXREPLACE(REGEXREPLACE(REGEXREPLACE(REGEXREPLACE(E235,"","",),IF(Projections!$U$3="""",""PG"",),),IF(Projections!$V$3="""",""SG"",),),IF(Projections!$W$3="""",""SF"",),),IF(Projections!$X$3="""",""PF"",),),IF(Projections!$Y$3="&amp;""""",""C"",),)"),"")</f>
        <v/>
      </c>
    </row>
    <row r="236"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t="str">
        <f>IFERROR(__xludf.DUMMYFUNCTION("REGEXREPLACE(REGEXREPLACE(REGEXREPLACE(REGEXREPLACE(REGEXREPLACE(REGEXREPLACE(E236,"","",),IF(Projections!$U$3="""",""PG"",),),IF(Projections!$V$3="""",""SG"",),),IF(Projections!$W$3="""",""SF"",),),IF(Projections!$X$3="""",""PF"",),),IF(Projections!$Y$3="&amp;""""",""C"",),)"),"")</f>
        <v/>
      </c>
    </row>
    <row r="237"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t="str">
        <f>IFERROR(__xludf.DUMMYFUNCTION("REGEXREPLACE(REGEXREPLACE(REGEXREPLACE(REGEXREPLACE(REGEXREPLACE(REGEXREPLACE(E237,"","",),IF(Projections!$U$3="""",""PG"",),),IF(Projections!$V$3="""",""SG"",),),IF(Projections!$W$3="""",""SF"",),),IF(Projections!$X$3="""",""PF"",),),IF(Projections!$Y$3="&amp;""""",""C"",),)"),"")</f>
        <v/>
      </c>
    </row>
    <row r="238"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t="str">
        <f>IFERROR(__xludf.DUMMYFUNCTION("REGEXREPLACE(REGEXREPLACE(REGEXREPLACE(REGEXREPLACE(REGEXREPLACE(REGEXREPLACE(E238,"","",),IF(Projections!$U$3="""",""PG"",),),IF(Projections!$V$3="""",""SG"",),),IF(Projections!$W$3="""",""SF"",),),IF(Projections!$X$3="""",""PF"",),),IF(Projections!$Y$3="&amp;""""",""C"",),)"),"")</f>
        <v/>
      </c>
    </row>
    <row r="239"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t="str">
        <f>IFERROR(__xludf.DUMMYFUNCTION("REGEXREPLACE(REGEXREPLACE(REGEXREPLACE(REGEXREPLACE(REGEXREPLACE(REGEXREPLACE(E239,"","",),IF(Projections!$U$3="""",""PG"",),),IF(Projections!$V$3="""",""SG"",),),IF(Projections!$W$3="""",""SF"",),),IF(Projections!$X$3="""",""PF"",),),IF(Projections!$Y$3="&amp;""""",""C"",),)"),"")</f>
        <v/>
      </c>
    </row>
    <row r="240"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t="str">
        <f>IFERROR(__xludf.DUMMYFUNCTION("REGEXREPLACE(REGEXREPLACE(REGEXREPLACE(REGEXREPLACE(REGEXREPLACE(REGEXREPLACE(E240,"","",),IF(Projections!$U$3="""",""PG"",),),IF(Projections!$V$3="""",""SG"",),),IF(Projections!$W$3="""",""SF"",),),IF(Projections!$X$3="""",""PF"",),),IF(Projections!$Y$3="&amp;""""",""C"",),)"),"")</f>
        <v/>
      </c>
    </row>
    <row r="241"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t="str">
        <f>IFERROR(__xludf.DUMMYFUNCTION("REGEXREPLACE(REGEXREPLACE(REGEXREPLACE(REGEXREPLACE(REGEXREPLACE(REGEXREPLACE(E241,"","",),IF(Projections!$U$3="""",""PG"",),),IF(Projections!$V$3="""",""SG"",),),IF(Projections!$W$3="""",""SF"",),),IF(Projections!$X$3="""",""PF"",),),IF(Projections!$Y$3="&amp;""""",""C"",),)"),"")</f>
        <v/>
      </c>
    </row>
    <row r="242"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t="str">
        <f>IFERROR(__xludf.DUMMYFUNCTION("REGEXREPLACE(REGEXREPLACE(REGEXREPLACE(REGEXREPLACE(REGEXREPLACE(REGEXREPLACE(E242,"","",),IF(Projections!$U$3="""",""PG"",),),IF(Projections!$V$3="""",""SG"",),),IF(Projections!$W$3="""",""SF"",),),IF(Projections!$X$3="""",""PF"",),),IF(Projections!$Y$3="&amp;""""",""C"",),)"),"")</f>
        <v/>
      </c>
    </row>
    <row r="243"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t="str">
        <f>IFERROR(__xludf.DUMMYFUNCTION("REGEXREPLACE(REGEXREPLACE(REGEXREPLACE(REGEXREPLACE(REGEXREPLACE(REGEXREPLACE(E243,"","",),IF(Projections!$U$3="""",""PG"",),),IF(Projections!$V$3="""",""SG"",),),IF(Projections!$W$3="""",""SF"",),),IF(Projections!$X$3="""",""PF"",),),IF(Projections!$Y$3="&amp;""""",""C"",),)"),"")</f>
        <v/>
      </c>
    </row>
    <row r="244"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t="str">
        <f>IFERROR(__xludf.DUMMYFUNCTION("REGEXREPLACE(REGEXREPLACE(REGEXREPLACE(REGEXREPLACE(REGEXREPLACE(REGEXREPLACE(E244,"","",),IF(Projections!$U$3="""",""PG"",),),IF(Projections!$V$3="""",""SG"",),),IF(Projections!$W$3="""",""SF"",),),IF(Projections!$X$3="""",""PF"",),),IF(Projections!$Y$3="&amp;""""",""C"",),)"),"")</f>
        <v/>
      </c>
    </row>
    <row r="245"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t="str">
        <f>IFERROR(__xludf.DUMMYFUNCTION("REGEXREPLACE(REGEXREPLACE(REGEXREPLACE(REGEXREPLACE(REGEXREPLACE(REGEXREPLACE(E245,"","",),IF(Projections!$U$3="""",""PG"",),),IF(Projections!$V$3="""",""SG"",),),IF(Projections!$W$3="""",""SF"",),),IF(Projections!$X$3="""",""PF"",),),IF(Projections!$Y$3="&amp;""""",""C"",),)"),"")</f>
        <v/>
      </c>
    </row>
    <row r="246"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t="str">
        <f>IFERROR(__xludf.DUMMYFUNCTION("REGEXREPLACE(REGEXREPLACE(REGEXREPLACE(REGEXREPLACE(REGEXREPLACE(REGEXREPLACE(E246,"","",),IF(Projections!$U$3="""",""PG"",),),IF(Projections!$V$3="""",""SG"",),),IF(Projections!$W$3="""",""SF"",),),IF(Projections!$X$3="""",""PF"",),),IF(Projections!$Y$3="&amp;""""",""C"",),)"),"")</f>
        <v/>
      </c>
    </row>
    <row r="247"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t="str">
        <f>IFERROR(__xludf.DUMMYFUNCTION("REGEXREPLACE(REGEXREPLACE(REGEXREPLACE(REGEXREPLACE(REGEXREPLACE(REGEXREPLACE(E247,"","",),IF(Projections!$U$3="""",""PG"",),),IF(Projections!$V$3="""",""SG"",),),IF(Projections!$W$3="""",""SF"",),),IF(Projections!$X$3="""",""PF"",),),IF(Projections!$Y$3="&amp;""""",""C"",),)"),"")</f>
        <v/>
      </c>
    </row>
    <row r="248"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t="str">
        <f>IFERROR(__xludf.DUMMYFUNCTION("REGEXREPLACE(REGEXREPLACE(REGEXREPLACE(REGEXREPLACE(REGEXREPLACE(REGEXREPLACE(E248,"","",),IF(Projections!$U$3="""",""PG"",),),IF(Projections!$V$3="""",""SG"",),),IF(Projections!$W$3="""",""SF"",),),IF(Projections!$X$3="""",""PF"",),),IF(Projections!$Y$3="&amp;""""",""C"",),)"),"")</f>
        <v/>
      </c>
    </row>
    <row r="249"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t="str">
        <f>IFERROR(__xludf.DUMMYFUNCTION("REGEXREPLACE(REGEXREPLACE(REGEXREPLACE(REGEXREPLACE(REGEXREPLACE(REGEXREPLACE(E249,"","",),IF(Projections!$U$3="""",""PG"",),),IF(Projections!$V$3="""",""SG"",),),IF(Projections!$W$3="""",""SF"",),),IF(Projections!$X$3="""",""PF"",),),IF(Projections!$Y$3="&amp;""""",""C"",),)"),"")</f>
        <v/>
      </c>
    </row>
    <row r="250"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t="str">
        <f>IFERROR(__xludf.DUMMYFUNCTION("REGEXREPLACE(REGEXREPLACE(REGEXREPLACE(REGEXREPLACE(REGEXREPLACE(REGEXREPLACE(E250,"","",),IF(Projections!$U$3="""",""PG"",),),IF(Projections!$V$3="""",""SG"",),),IF(Projections!$W$3="""",""SF"",),),IF(Projections!$X$3="""",""PF"",),),IF(Projections!$Y$3="&amp;""""",""C"",),)"),"")</f>
        <v/>
      </c>
    </row>
    <row r="251"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t="str">
        <f>IFERROR(__xludf.DUMMYFUNCTION("REGEXREPLACE(REGEXREPLACE(REGEXREPLACE(REGEXREPLACE(REGEXREPLACE(REGEXREPLACE(E251,"","",),IF(Projections!$U$3="""",""PG"",),),IF(Projections!$V$3="""",""SG"",),),IF(Projections!$W$3="""",""SF"",),),IF(Projections!$X$3="""",""PF"",),),IF(Projections!$Y$3="&amp;""""",""C"",),)"),"")</f>
        <v/>
      </c>
    </row>
    <row r="252"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t="str">
        <f>IFERROR(__xludf.DUMMYFUNCTION("REGEXREPLACE(REGEXREPLACE(REGEXREPLACE(REGEXREPLACE(REGEXREPLACE(REGEXREPLACE(E252,"","",),IF(Projections!$U$3="""",""PG"",),),IF(Projections!$V$3="""",""SG"",),),IF(Projections!$W$3="""",""SF"",),),IF(Projections!$X$3="""",""PF"",),),IF(Projections!$Y$3="&amp;""""",""C"",),)"),"")</f>
        <v/>
      </c>
    </row>
    <row r="253"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t="str">
        <f>IFERROR(__xludf.DUMMYFUNCTION("REGEXREPLACE(REGEXREPLACE(REGEXREPLACE(REGEXREPLACE(REGEXREPLACE(REGEXREPLACE(E253,"","",),IF(Projections!$U$3="""",""PG"",),),IF(Projections!$V$3="""",""SG"",),),IF(Projections!$W$3="""",""SF"",),),IF(Projections!$X$3="""",""PF"",),),IF(Projections!$Y$3="&amp;""""",""C"",),)"),"")</f>
        <v/>
      </c>
    </row>
    <row r="254"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t="str">
        <f>IFERROR(__xludf.DUMMYFUNCTION("REGEXREPLACE(REGEXREPLACE(REGEXREPLACE(REGEXREPLACE(REGEXREPLACE(REGEXREPLACE(E254,"","",),IF(Projections!$U$3="""",""PG"",),),IF(Projections!$V$3="""",""SG"",),),IF(Projections!$W$3="""",""SF"",),),IF(Projections!$X$3="""",""PF"",),),IF(Projections!$Y$3="&amp;""""",""C"",),)"),"")</f>
        <v/>
      </c>
    </row>
    <row r="255"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t="str">
        <f>IFERROR(__xludf.DUMMYFUNCTION("REGEXREPLACE(REGEXREPLACE(REGEXREPLACE(REGEXREPLACE(REGEXREPLACE(REGEXREPLACE(E255,"","",),IF(Projections!$U$3="""",""PG"",),),IF(Projections!$V$3="""",""SG"",),),IF(Projections!$W$3="""",""SF"",),),IF(Projections!$X$3="""",""PF"",),),IF(Projections!$Y$3="&amp;""""",""C"",),)"),"")</f>
        <v/>
      </c>
    </row>
    <row r="256"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t="str">
        <f>IFERROR(__xludf.DUMMYFUNCTION("REGEXREPLACE(REGEXREPLACE(REGEXREPLACE(REGEXREPLACE(REGEXREPLACE(REGEXREPLACE(E256,"","",),IF(Projections!$U$3="""",""PG"",),),IF(Projections!$V$3="""",""SG"",),),IF(Projections!$W$3="""",""SF"",),),IF(Projections!$X$3="""",""PF"",),),IF(Projections!$Y$3="&amp;""""",""C"",),)"),"")</f>
        <v/>
      </c>
    </row>
    <row r="257"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t="str">
        <f>IFERROR(__xludf.DUMMYFUNCTION("REGEXREPLACE(REGEXREPLACE(REGEXREPLACE(REGEXREPLACE(REGEXREPLACE(REGEXREPLACE(E257,"","",),IF(Projections!$U$3="""",""PG"",),),IF(Projections!$V$3="""",""SG"",),),IF(Projections!$W$3="""",""SF"",),),IF(Projections!$X$3="""",""PF"",),),IF(Projections!$Y$3="&amp;""""",""C"",),)"),"")</f>
        <v/>
      </c>
    </row>
    <row r="258"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t="str">
        <f>IFERROR(__xludf.DUMMYFUNCTION("REGEXREPLACE(REGEXREPLACE(REGEXREPLACE(REGEXREPLACE(REGEXREPLACE(REGEXREPLACE(E258,"","",),IF(Projections!$U$3="""",""PG"",),),IF(Projections!$V$3="""",""SG"",),),IF(Projections!$W$3="""",""SF"",),),IF(Projections!$X$3="""",""PF"",),),IF(Projections!$Y$3="&amp;""""",""C"",),)"),"")</f>
        <v/>
      </c>
    </row>
    <row r="259"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t="str">
        <f>IFERROR(__xludf.DUMMYFUNCTION("REGEXREPLACE(REGEXREPLACE(REGEXREPLACE(REGEXREPLACE(REGEXREPLACE(REGEXREPLACE(E259,"","",),IF(Projections!$U$3="""",""PG"",),),IF(Projections!$V$3="""",""SG"",),),IF(Projections!$W$3="""",""SF"",),),IF(Projections!$X$3="""",""PF"",),),IF(Projections!$Y$3="&amp;""""",""C"",),)"),"")</f>
        <v/>
      </c>
    </row>
    <row r="260"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t="str">
        <f>IFERROR(__xludf.DUMMYFUNCTION("REGEXREPLACE(REGEXREPLACE(REGEXREPLACE(REGEXREPLACE(REGEXREPLACE(REGEXREPLACE(E260,"","",),IF(Projections!$U$3="""",""PG"",),),IF(Projections!$V$3="""",""SG"",),),IF(Projections!$W$3="""",""SF"",),),IF(Projections!$X$3="""",""PF"",),),IF(Projections!$Y$3="&amp;""""",""C"",),)"),"")</f>
        <v/>
      </c>
    </row>
    <row r="261"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t="str">
        <f>IFERROR(__xludf.DUMMYFUNCTION("REGEXREPLACE(REGEXREPLACE(REGEXREPLACE(REGEXREPLACE(REGEXREPLACE(REGEXREPLACE(E261,"","",),IF(Projections!$U$3="""",""PG"",),),IF(Projections!$V$3="""",""SG"",),),IF(Projections!$W$3="""",""SF"",),),IF(Projections!$X$3="""",""PF"",),),IF(Projections!$Y$3="&amp;""""",""C"",),)"),"")</f>
        <v/>
      </c>
    </row>
    <row r="262"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t="str">
        <f>IFERROR(__xludf.DUMMYFUNCTION("REGEXREPLACE(REGEXREPLACE(REGEXREPLACE(REGEXREPLACE(REGEXREPLACE(REGEXREPLACE(E262,"","",),IF(Projections!$U$3="""",""PG"",),),IF(Projections!$V$3="""",""SG"",),),IF(Projections!$W$3="""",""SF"",),),IF(Projections!$X$3="""",""PF"",),),IF(Projections!$Y$3="&amp;""""",""C"",),)"),"")</f>
        <v/>
      </c>
    </row>
    <row r="263"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t="str">
        <f>IFERROR(__xludf.DUMMYFUNCTION("REGEXREPLACE(REGEXREPLACE(REGEXREPLACE(REGEXREPLACE(REGEXREPLACE(REGEXREPLACE(E263,"","",),IF(Projections!$U$3="""",""PG"",),),IF(Projections!$V$3="""",""SG"",),),IF(Projections!$W$3="""",""SF"",),),IF(Projections!$X$3="""",""PF"",),),IF(Projections!$Y$3="&amp;""""",""C"",),)"),"")</f>
        <v/>
      </c>
    </row>
    <row r="264"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t="str">
        <f>IFERROR(__xludf.DUMMYFUNCTION("REGEXREPLACE(REGEXREPLACE(REGEXREPLACE(REGEXREPLACE(REGEXREPLACE(REGEXREPLACE(E264,"","",),IF(Projections!$U$3="""",""PG"",),),IF(Projections!$V$3="""",""SG"",),),IF(Projections!$W$3="""",""SF"",),),IF(Projections!$X$3="""",""PF"",),),IF(Projections!$Y$3="&amp;""""",""C"",),)"),"")</f>
        <v/>
      </c>
    </row>
    <row r="265"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t="str">
        <f>IFERROR(__xludf.DUMMYFUNCTION("REGEXREPLACE(REGEXREPLACE(REGEXREPLACE(REGEXREPLACE(REGEXREPLACE(REGEXREPLACE(E265,"","",),IF(Projections!$U$3="""",""PG"",),),IF(Projections!$V$3="""",""SG"",),),IF(Projections!$W$3="""",""SF"",),),IF(Projections!$X$3="""",""PF"",),),IF(Projections!$Y$3="&amp;""""",""C"",),)"),"")</f>
        <v/>
      </c>
    </row>
    <row r="266"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t="str">
        <f>IFERROR(__xludf.DUMMYFUNCTION("REGEXREPLACE(REGEXREPLACE(REGEXREPLACE(REGEXREPLACE(REGEXREPLACE(REGEXREPLACE(E266,"","",),IF(Projections!$U$3="""",""PG"",),),IF(Projections!$V$3="""",""SG"",),),IF(Projections!$W$3="""",""SF"",),),IF(Projections!$X$3="""",""PF"",),),IF(Projections!$Y$3="&amp;""""",""C"",),)"),"")</f>
        <v/>
      </c>
    </row>
    <row r="267"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t="str">
        <f>IFERROR(__xludf.DUMMYFUNCTION("REGEXREPLACE(REGEXREPLACE(REGEXREPLACE(REGEXREPLACE(REGEXREPLACE(REGEXREPLACE(E267,"","",),IF(Projections!$U$3="""",""PG"",),),IF(Projections!$V$3="""",""SG"",),),IF(Projections!$W$3="""",""SF"",),),IF(Projections!$X$3="""",""PF"",),),IF(Projections!$Y$3="&amp;""""",""C"",),)"),"")</f>
        <v/>
      </c>
    </row>
    <row r="268"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t="str">
        <f>IFERROR(__xludf.DUMMYFUNCTION("REGEXREPLACE(REGEXREPLACE(REGEXREPLACE(REGEXREPLACE(REGEXREPLACE(REGEXREPLACE(E268,"","",),IF(Projections!$U$3="""",""PG"",),),IF(Projections!$V$3="""",""SG"",),),IF(Projections!$W$3="""",""SF"",),),IF(Projections!$X$3="""",""PF"",),),IF(Projections!$Y$3="&amp;""""",""C"",),)"),"")</f>
        <v/>
      </c>
    </row>
    <row r="269"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t="str">
        <f>IFERROR(__xludf.DUMMYFUNCTION("REGEXREPLACE(REGEXREPLACE(REGEXREPLACE(REGEXREPLACE(REGEXREPLACE(REGEXREPLACE(E269,"","",),IF(Projections!$U$3="""",""PG"",),),IF(Projections!$V$3="""",""SG"",),),IF(Projections!$W$3="""",""SF"",),),IF(Projections!$X$3="""",""PF"",),),IF(Projections!$Y$3="&amp;""""",""C"",),)"),"")</f>
        <v/>
      </c>
    </row>
    <row r="270"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t="str">
        <f>IFERROR(__xludf.DUMMYFUNCTION("REGEXREPLACE(REGEXREPLACE(REGEXREPLACE(REGEXREPLACE(REGEXREPLACE(REGEXREPLACE(E270,"","",),IF(Projections!$U$3="""",""PG"",),),IF(Projections!$V$3="""",""SG"",),),IF(Projections!$W$3="""",""SF"",),),IF(Projections!$X$3="""",""PF"",),),IF(Projections!$Y$3="&amp;""""",""C"",),)"),"")</f>
        <v/>
      </c>
    </row>
    <row r="271"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t="str">
        <f>IFERROR(__xludf.DUMMYFUNCTION("REGEXREPLACE(REGEXREPLACE(REGEXREPLACE(REGEXREPLACE(REGEXREPLACE(REGEXREPLACE(E271,"","",),IF(Projections!$U$3="""",""PG"",),),IF(Projections!$V$3="""",""SG"",),),IF(Projections!$W$3="""",""SF"",),),IF(Projections!$X$3="""",""PF"",),),IF(Projections!$Y$3="&amp;""""",""C"",),)"),"")</f>
        <v/>
      </c>
    </row>
    <row r="272"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t="str">
        <f>IFERROR(__xludf.DUMMYFUNCTION("REGEXREPLACE(REGEXREPLACE(REGEXREPLACE(REGEXREPLACE(REGEXREPLACE(REGEXREPLACE(E272,"","",),IF(Projections!$U$3="""",""PG"",),),IF(Projections!$V$3="""",""SG"",),),IF(Projections!$W$3="""",""SF"",),),IF(Projections!$X$3="""",""PF"",),),IF(Projections!$Y$3="&amp;""""",""C"",),)"),"")</f>
        <v/>
      </c>
    </row>
    <row r="273"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t="str">
        <f>IFERROR(__xludf.DUMMYFUNCTION("REGEXREPLACE(REGEXREPLACE(REGEXREPLACE(REGEXREPLACE(REGEXREPLACE(REGEXREPLACE(E273,"","",),IF(Projections!$U$3="""",""PG"",),),IF(Projections!$V$3="""",""SG"",),),IF(Projections!$W$3="""",""SF"",),),IF(Projections!$X$3="""",""PF"",),),IF(Projections!$Y$3="&amp;""""",""C"",),)"),"")</f>
        <v/>
      </c>
    </row>
    <row r="274"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t="str">
        <f>IFERROR(__xludf.DUMMYFUNCTION("REGEXREPLACE(REGEXREPLACE(REGEXREPLACE(REGEXREPLACE(REGEXREPLACE(REGEXREPLACE(E274,"","",),IF(Projections!$U$3="""",""PG"",),),IF(Projections!$V$3="""",""SG"",),),IF(Projections!$W$3="""",""SF"",),),IF(Projections!$X$3="""",""PF"",),),IF(Projections!$Y$3="&amp;""""",""C"",),)"),"")</f>
        <v/>
      </c>
    </row>
    <row r="275"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t="str">
        <f>IFERROR(__xludf.DUMMYFUNCTION("REGEXREPLACE(REGEXREPLACE(REGEXREPLACE(REGEXREPLACE(REGEXREPLACE(REGEXREPLACE(E275,"","",),IF(Projections!$U$3="""",""PG"",),),IF(Projections!$V$3="""",""SG"",),),IF(Projections!$W$3="""",""SF"",),),IF(Projections!$X$3="""",""PF"",),),IF(Projections!$Y$3="&amp;""""",""C"",),)"),"")</f>
        <v/>
      </c>
    </row>
    <row r="276"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t="str">
        <f>IFERROR(__xludf.DUMMYFUNCTION("REGEXREPLACE(REGEXREPLACE(REGEXREPLACE(REGEXREPLACE(REGEXREPLACE(REGEXREPLACE(E276,"","",),IF(Projections!$U$3="""",""PG"",),),IF(Projections!$V$3="""",""SG"",),),IF(Projections!$W$3="""",""SF"",),),IF(Projections!$X$3="""",""PF"",),),IF(Projections!$Y$3="&amp;""""",""C"",),)"),"")</f>
        <v/>
      </c>
    </row>
    <row r="277"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t="str">
        <f>IFERROR(__xludf.DUMMYFUNCTION("REGEXREPLACE(REGEXREPLACE(REGEXREPLACE(REGEXREPLACE(REGEXREPLACE(REGEXREPLACE(E277,"","",),IF(Projections!$U$3="""",""PG"",),),IF(Projections!$V$3="""",""SG"",),),IF(Projections!$W$3="""",""SF"",),),IF(Projections!$X$3="""",""PF"",),),IF(Projections!$Y$3="&amp;""""",""C"",),)"),"")</f>
        <v/>
      </c>
    </row>
    <row r="278"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t="str">
        <f>IFERROR(__xludf.DUMMYFUNCTION("REGEXREPLACE(REGEXREPLACE(REGEXREPLACE(REGEXREPLACE(REGEXREPLACE(REGEXREPLACE(E278,"","",),IF(Projections!$U$3="""",""PG"",),),IF(Projections!$V$3="""",""SG"",),),IF(Projections!$W$3="""",""SF"",),),IF(Projections!$X$3="""",""PF"",),),IF(Projections!$Y$3="&amp;""""",""C"",),)"),"")</f>
        <v/>
      </c>
    </row>
    <row r="279"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t="str">
        <f>IFERROR(__xludf.DUMMYFUNCTION("REGEXREPLACE(REGEXREPLACE(REGEXREPLACE(REGEXREPLACE(REGEXREPLACE(REGEXREPLACE(E279,"","",),IF(Projections!$U$3="""",""PG"",),),IF(Projections!$V$3="""",""SG"",),),IF(Projections!$W$3="""",""SF"",),),IF(Projections!$X$3="""",""PF"",),),IF(Projections!$Y$3="&amp;""""",""C"",),)"),"")</f>
        <v/>
      </c>
    </row>
    <row r="280"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t="str">
        <f>IFERROR(__xludf.DUMMYFUNCTION("REGEXREPLACE(REGEXREPLACE(REGEXREPLACE(REGEXREPLACE(REGEXREPLACE(REGEXREPLACE(E280,"","",),IF(Projections!$U$3="""",""PG"",),),IF(Projections!$V$3="""",""SG"",),),IF(Projections!$W$3="""",""SF"",),),IF(Projections!$X$3="""",""PF"",),),IF(Projections!$Y$3="&amp;""""",""C"",),)"),"")</f>
        <v/>
      </c>
    </row>
    <row r="281"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t="str">
        <f>IFERROR(__xludf.DUMMYFUNCTION("REGEXREPLACE(REGEXREPLACE(REGEXREPLACE(REGEXREPLACE(REGEXREPLACE(REGEXREPLACE(E281,"","",),IF(Projections!$U$3="""",""PG"",),),IF(Projections!$V$3="""",""SG"",),),IF(Projections!$W$3="""",""SF"",),),IF(Projections!$X$3="""",""PF"",),),IF(Projections!$Y$3="&amp;""""",""C"",),)"),"")</f>
        <v/>
      </c>
    </row>
    <row r="282"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t="str">
        <f>IFERROR(__xludf.DUMMYFUNCTION("REGEXREPLACE(REGEXREPLACE(REGEXREPLACE(REGEXREPLACE(REGEXREPLACE(REGEXREPLACE(E282,"","",),IF(Projections!$U$3="""",""PG"",),),IF(Projections!$V$3="""",""SG"",),),IF(Projections!$W$3="""",""SF"",),),IF(Projections!$X$3="""",""PF"",),),IF(Projections!$Y$3="&amp;""""",""C"",),)"),"")</f>
        <v/>
      </c>
    </row>
    <row r="283"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t="str">
        <f>IFERROR(__xludf.DUMMYFUNCTION("REGEXREPLACE(REGEXREPLACE(REGEXREPLACE(REGEXREPLACE(REGEXREPLACE(REGEXREPLACE(E283,"","",),IF(Projections!$U$3="""",""PG"",),),IF(Projections!$V$3="""",""SG"",),),IF(Projections!$W$3="""",""SF"",),),IF(Projections!$X$3="""",""PF"",),),IF(Projections!$Y$3="&amp;""""",""C"",),)"),"")</f>
        <v/>
      </c>
    </row>
    <row r="284"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t="str">
        <f>IFERROR(__xludf.DUMMYFUNCTION("REGEXREPLACE(REGEXREPLACE(REGEXREPLACE(REGEXREPLACE(REGEXREPLACE(REGEXREPLACE(E284,"","",),IF(Projections!$U$3="""",""PG"",),),IF(Projections!$V$3="""",""SG"",),),IF(Projections!$W$3="""",""SF"",),),IF(Projections!$X$3="""",""PF"",),),IF(Projections!$Y$3="&amp;""""",""C"",),)"),"")</f>
        <v/>
      </c>
    </row>
    <row r="285"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t="str">
        <f>IFERROR(__xludf.DUMMYFUNCTION("REGEXREPLACE(REGEXREPLACE(REGEXREPLACE(REGEXREPLACE(REGEXREPLACE(REGEXREPLACE(E285,"","",),IF(Projections!$U$3="""",""PG"",),),IF(Projections!$V$3="""",""SG"",),),IF(Projections!$W$3="""",""SF"",),),IF(Projections!$X$3="""",""PF"",),),IF(Projections!$Y$3="&amp;""""",""C"",),)"),"")</f>
        <v/>
      </c>
    </row>
    <row r="286"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t="str">
        <f>IFERROR(__xludf.DUMMYFUNCTION("REGEXREPLACE(REGEXREPLACE(REGEXREPLACE(REGEXREPLACE(REGEXREPLACE(REGEXREPLACE(E286,"","",),IF(Projections!$U$3="""",""PG"",),),IF(Projections!$V$3="""",""SG"",),),IF(Projections!$W$3="""",""SF"",),),IF(Projections!$X$3="""",""PF"",),),IF(Projections!$Y$3="&amp;""""",""C"",),)"),"")</f>
        <v/>
      </c>
    </row>
    <row r="287"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t="str">
        <f>IFERROR(__xludf.DUMMYFUNCTION("REGEXREPLACE(REGEXREPLACE(REGEXREPLACE(REGEXREPLACE(REGEXREPLACE(REGEXREPLACE(E287,"","",),IF(Projections!$U$3="""",""PG"",),),IF(Projections!$V$3="""",""SG"",),),IF(Projections!$W$3="""",""SF"",),),IF(Projections!$X$3="""",""PF"",),),IF(Projections!$Y$3="&amp;""""",""C"",),)"),"")</f>
        <v/>
      </c>
    </row>
    <row r="288"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t="str">
        <f>IFERROR(__xludf.DUMMYFUNCTION("REGEXREPLACE(REGEXREPLACE(REGEXREPLACE(REGEXREPLACE(REGEXREPLACE(REGEXREPLACE(E288,"","",),IF(Projections!$U$3="""",""PG"",),),IF(Projections!$V$3="""",""SG"",),),IF(Projections!$W$3="""",""SF"",),),IF(Projections!$X$3="""",""PF"",),),IF(Projections!$Y$3="&amp;""""",""C"",),)"),"")</f>
        <v/>
      </c>
    </row>
    <row r="289"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t="str">
        <f>IFERROR(__xludf.DUMMYFUNCTION("REGEXREPLACE(REGEXREPLACE(REGEXREPLACE(REGEXREPLACE(REGEXREPLACE(REGEXREPLACE(E289,"","",),IF(Projections!$U$3="""",""PG"",),),IF(Projections!$V$3="""",""SG"",),),IF(Projections!$W$3="""",""SF"",),),IF(Projections!$X$3="""",""PF"",),),IF(Projections!$Y$3="&amp;""""",""C"",),)"),"")</f>
        <v/>
      </c>
    </row>
    <row r="290"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t="str">
        <f>IFERROR(__xludf.DUMMYFUNCTION("REGEXREPLACE(REGEXREPLACE(REGEXREPLACE(REGEXREPLACE(REGEXREPLACE(REGEXREPLACE(E290,"","",),IF(Projections!$U$3="""",""PG"",),),IF(Projections!$V$3="""",""SG"",),),IF(Projections!$W$3="""",""SF"",),),IF(Projections!$X$3="""",""PF"",),),IF(Projections!$Y$3="&amp;""""",""C"",),)"),"")</f>
        <v/>
      </c>
    </row>
    <row r="291"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t="str">
        <f>IFERROR(__xludf.DUMMYFUNCTION("REGEXREPLACE(REGEXREPLACE(REGEXREPLACE(REGEXREPLACE(REGEXREPLACE(REGEXREPLACE(E291,"","",),IF(Projections!$U$3="""",""PG"",),),IF(Projections!$V$3="""",""SG"",),),IF(Projections!$W$3="""",""SF"",),),IF(Projections!$X$3="""",""PF"",),),IF(Projections!$Y$3="&amp;""""",""C"",),)"),"")</f>
        <v/>
      </c>
    </row>
    <row r="292"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t="str">
        <f>IFERROR(__xludf.DUMMYFUNCTION("REGEXREPLACE(REGEXREPLACE(REGEXREPLACE(REGEXREPLACE(REGEXREPLACE(REGEXREPLACE(E292,"","",),IF(Projections!$U$3="""",""PG"",),),IF(Projections!$V$3="""",""SG"",),),IF(Projections!$W$3="""",""SF"",),),IF(Projections!$X$3="""",""PF"",),),IF(Projections!$Y$3="&amp;""""",""C"",),)"),"")</f>
        <v/>
      </c>
    </row>
    <row r="293"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t="str">
        <f>IFERROR(__xludf.DUMMYFUNCTION("REGEXREPLACE(REGEXREPLACE(REGEXREPLACE(REGEXREPLACE(REGEXREPLACE(REGEXREPLACE(E293,"","",),IF(Projections!$U$3="""",""PG"",),),IF(Projections!$V$3="""",""SG"",),),IF(Projections!$W$3="""",""SF"",),),IF(Projections!$X$3="""",""PF"",),),IF(Projections!$Y$3="&amp;""""",""C"",),)"),"")</f>
        <v/>
      </c>
    </row>
    <row r="294"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t="str">
        <f>IFERROR(__xludf.DUMMYFUNCTION("REGEXREPLACE(REGEXREPLACE(REGEXREPLACE(REGEXREPLACE(REGEXREPLACE(REGEXREPLACE(E294,"","",),IF(Projections!$U$3="""",""PG"",),),IF(Projections!$V$3="""",""SG"",),),IF(Projections!$W$3="""",""SF"",),),IF(Projections!$X$3="""",""PF"",),),IF(Projections!$Y$3="&amp;""""",""C"",),)"),"")</f>
        <v/>
      </c>
    </row>
    <row r="295"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t="str">
        <f>IFERROR(__xludf.DUMMYFUNCTION("REGEXREPLACE(REGEXREPLACE(REGEXREPLACE(REGEXREPLACE(REGEXREPLACE(REGEXREPLACE(E295,"","",),IF(Projections!$U$3="""",""PG"",),),IF(Projections!$V$3="""",""SG"",),),IF(Projections!$W$3="""",""SF"",),),IF(Projections!$X$3="""",""PF"",),),IF(Projections!$Y$3="&amp;""""",""C"",),)"),"")</f>
        <v/>
      </c>
    </row>
    <row r="296"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t="str">
        <f>IFERROR(__xludf.DUMMYFUNCTION("REGEXREPLACE(REGEXREPLACE(REGEXREPLACE(REGEXREPLACE(REGEXREPLACE(REGEXREPLACE(E296,"","",),IF(Projections!$U$3="""",""PG"",),),IF(Projections!$V$3="""",""SG"",),),IF(Projections!$W$3="""",""SF"",),),IF(Projections!$X$3="""",""PF"",),),IF(Projections!$Y$3="&amp;""""",""C"",),)"),"")</f>
        <v/>
      </c>
    </row>
    <row r="297"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t="str">
        <f>IFERROR(__xludf.DUMMYFUNCTION("REGEXREPLACE(REGEXREPLACE(REGEXREPLACE(REGEXREPLACE(REGEXREPLACE(REGEXREPLACE(E297,"","",),IF(Projections!$U$3="""",""PG"",),),IF(Projections!$V$3="""",""SG"",),),IF(Projections!$W$3="""",""SF"",),),IF(Projections!$X$3="""",""PF"",),),IF(Projections!$Y$3="&amp;""""",""C"",),)"),"")</f>
        <v/>
      </c>
    </row>
    <row r="298"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t="str">
        <f>IFERROR(__xludf.DUMMYFUNCTION("REGEXREPLACE(REGEXREPLACE(REGEXREPLACE(REGEXREPLACE(REGEXREPLACE(REGEXREPLACE(E298,"","",),IF(Projections!$U$3="""",""PG"",),),IF(Projections!$V$3="""",""SG"",),),IF(Projections!$W$3="""",""SF"",),),IF(Projections!$X$3="""",""PF"",),),IF(Projections!$Y$3="&amp;""""",""C"",),)"),"")</f>
        <v/>
      </c>
    </row>
    <row r="299"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t="str">
        <f>IFERROR(__xludf.DUMMYFUNCTION("REGEXREPLACE(REGEXREPLACE(REGEXREPLACE(REGEXREPLACE(REGEXREPLACE(REGEXREPLACE(E299,"","",),IF(Projections!$U$3="""",""PG"",),),IF(Projections!$V$3="""",""SG"",),),IF(Projections!$W$3="""",""SF"",),),IF(Projections!$X$3="""",""PF"",),),IF(Projections!$Y$3="&amp;""""",""C"",),)"),"")</f>
        <v/>
      </c>
    </row>
    <row r="300"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t="str">
        <f>IFERROR(__xludf.DUMMYFUNCTION("REGEXREPLACE(REGEXREPLACE(REGEXREPLACE(REGEXREPLACE(REGEXREPLACE(REGEXREPLACE(E300,"","",),IF(Projections!$U$3="""",""PG"",),),IF(Projections!$V$3="""",""SG"",),),IF(Projections!$W$3="""",""SF"",),),IF(Projections!$X$3="""",""PF"",),),IF(Projections!$Y$3="&amp;""""",""C"",),)"),"")</f>
        <v/>
      </c>
    </row>
    <row r="301"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t="str">
        <f>IFERROR(__xludf.DUMMYFUNCTION("REGEXREPLACE(REGEXREPLACE(REGEXREPLACE(REGEXREPLACE(REGEXREPLACE(REGEXREPLACE(E301,"","",),IF(Projections!$U$3="""",""PG"",),),IF(Projections!$V$3="""",""SG"",),),IF(Projections!$W$3="""",""SF"",),),IF(Projections!$X$3="""",""PF"",),),IF(Projections!$Y$3="&amp;""""",""C"",),)"),"")</f>
        <v/>
      </c>
    </row>
    <row r="302"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t="str">
        <f>IFERROR(__xludf.DUMMYFUNCTION("REGEXREPLACE(REGEXREPLACE(REGEXREPLACE(REGEXREPLACE(REGEXREPLACE(REGEXREPLACE(E302,"","",),IF(Projections!$U$3="""",""PG"",),),IF(Projections!$V$3="""",""SG"",),),IF(Projections!$W$3="""",""SF"",),),IF(Projections!$X$3="""",""PF"",),),IF(Projections!$Y$3="&amp;""""",""C"",),)"),"")</f>
        <v/>
      </c>
    </row>
    <row r="303"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t="str">
        <f>IFERROR(__xludf.DUMMYFUNCTION("REGEXREPLACE(REGEXREPLACE(REGEXREPLACE(REGEXREPLACE(REGEXREPLACE(REGEXREPLACE(E303,"","",),IF(Projections!$U$3="""",""PG"",),),IF(Projections!$V$3="""",""SG"",),),IF(Projections!$W$3="""",""SF"",),),IF(Projections!$X$3="""",""PF"",),),IF(Projections!$Y$3="&amp;""""",""C"",),)"),"")</f>
        <v/>
      </c>
    </row>
    <row r="304"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t="str">
        <f>IFERROR(__xludf.DUMMYFUNCTION("REGEXREPLACE(REGEXREPLACE(REGEXREPLACE(REGEXREPLACE(REGEXREPLACE(REGEXREPLACE(E304,"","",),IF(Projections!$U$3="""",""PG"",),),IF(Projections!$V$3="""",""SG"",),),IF(Projections!$W$3="""",""SF"",),),IF(Projections!$X$3="""",""PF"",),),IF(Projections!$Y$3="&amp;""""",""C"",),)"),"")</f>
        <v/>
      </c>
    </row>
    <row r="305"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t="str">
        <f>IFERROR(__xludf.DUMMYFUNCTION("REGEXREPLACE(REGEXREPLACE(REGEXREPLACE(REGEXREPLACE(REGEXREPLACE(REGEXREPLACE(E305,"","",),IF(Projections!$U$3="""",""PG"",),),IF(Projections!$V$3="""",""SG"",),),IF(Projections!$W$3="""",""SF"",),),IF(Projections!$X$3="""",""PF"",),),IF(Projections!$Y$3="&amp;""""",""C"",),)"),"")</f>
        <v/>
      </c>
    </row>
    <row r="306"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t="str">
        <f>IFERROR(__xludf.DUMMYFUNCTION("REGEXREPLACE(REGEXREPLACE(REGEXREPLACE(REGEXREPLACE(REGEXREPLACE(REGEXREPLACE(E306,"","",),IF(Projections!$U$3="""",""PG"",),),IF(Projections!$V$3="""",""SG"",),),IF(Projections!$W$3="""",""SF"",),),IF(Projections!$X$3="""",""PF"",),),IF(Projections!$Y$3="&amp;""""",""C"",),)"),"")</f>
        <v/>
      </c>
    </row>
    <row r="307"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t="str">
        <f>IFERROR(__xludf.DUMMYFUNCTION("REGEXREPLACE(REGEXREPLACE(REGEXREPLACE(REGEXREPLACE(REGEXREPLACE(REGEXREPLACE(E307,"","",),IF(Projections!$U$3="""",""PG"",),),IF(Projections!$V$3="""",""SG"",),),IF(Projections!$W$3="""",""SF"",),),IF(Projections!$X$3="""",""PF"",),),IF(Projections!$Y$3="&amp;""""",""C"",),)"),"")</f>
        <v/>
      </c>
    </row>
    <row r="308"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t="str">
        <f>IFERROR(__xludf.DUMMYFUNCTION("REGEXREPLACE(REGEXREPLACE(REGEXREPLACE(REGEXREPLACE(REGEXREPLACE(REGEXREPLACE(E308,"","",),IF(Projections!$U$3="""",""PG"",),),IF(Projections!$V$3="""",""SG"",),),IF(Projections!$W$3="""",""SF"",),),IF(Projections!$X$3="""",""PF"",),),IF(Projections!$Y$3="&amp;""""",""C"",),)"),"")</f>
        <v/>
      </c>
    </row>
    <row r="309"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t="str">
        <f>IFERROR(__xludf.DUMMYFUNCTION("REGEXREPLACE(REGEXREPLACE(REGEXREPLACE(REGEXREPLACE(REGEXREPLACE(REGEXREPLACE(E309,"","",),IF(Projections!$U$3="""",""PG"",),),IF(Projections!$V$3="""",""SG"",),),IF(Projections!$W$3="""",""SF"",),),IF(Projections!$X$3="""",""PF"",),),IF(Projections!$Y$3="&amp;""""",""C"",),)"),"")</f>
        <v/>
      </c>
    </row>
    <row r="310"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t="str">
        <f>IFERROR(__xludf.DUMMYFUNCTION("REGEXREPLACE(REGEXREPLACE(REGEXREPLACE(REGEXREPLACE(REGEXREPLACE(REGEXREPLACE(E310,"","",),IF(Projections!$U$3="""",""PG"",),),IF(Projections!$V$3="""",""SG"",),),IF(Projections!$W$3="""",""SF"",),),IF(Projections!$X$3="""",""PF"",),),IF(Projections!$Y$3="&amp;""""",""C"",),)"),"")</f>
        <v/>
      </c>
    </row>
    <row r="311"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t="str">
        <f>IFERROR(__xludf.DUMMYFUNCTION("REGEXREPLACE(REGEXREPLACE(REGEXREPLACE(REGEXREPLACE(REGEXREPLACE(REGEXREPLACE(E311,"","",),IF(Projections!$U$3="""",""PG"",),),IF(Projections!$V$3="""",""SG"",),),IF(Projections!$W$3="""",""SF"",),),IF(Projections!$X$3="""",""PF"",),),IF(Projections!$Y$3="&amp;""""",""C"",),)"),"")</f>
        <v/>
      </c>
    </row>
    <row r="312"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t="str">
        <f>IFERROR(__xludf.DUMMYFUNCTION("REGEXREPLACE(REGEXREPLACE(REGEXREPLACE(REGEXREPLACE(REGEXREPLACE(REGEXREPLACE(E312,"","",),IF(Projections!$U$3="""",""PG"",),),IF(Projections!$V$3="""",""SG"",),),IF(Projections!$W$3="""",""SF"",),),IF(Projections!$X$3="""",""PF"",),),IF(Projections!$Y$3="&amp;""""",""C"",),)"),"")</f>
        <v/>
      </c>
    </row>
    <row r="313"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t="str">
        <f>IFERROR(__xludf.DUMMYFUNCTION("REGEXREPLACE(REGEXREPLACE(REGEXREPLACE(REGEXREPLACE(REGEXREPLACE(REGEXREPLACE(E313,"","",),IF(Projections!$U$3="""",""PG"",),),IF(Projections!$V$3="""",""SG"",),),IF(Projections!$W$3="""",""SF"",),),IF(Projections!$X$3="""",""PF"",),),IF(Projections!$Y$3="&amp;""""",""C"",),)"),"")</f>
        <v/>
      </c>
    </row>
    <row r="314"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t="str">
        <f>IFERROR(__xludf.DUMMYFUNCTION("REGEXREPLACE(REGEXREPLACE(REGEXREPLACE(REGEXREPLACE(REGEXREPLACE(REGEXREPLACE(E314,"","",),IF(Projections!$U$3="""",""PG"",),),IF(Projections!$V$3="""",""SG"",),),IF(Projections!$W$3="""",""SF"",),),IF(Projections!$X$3="""",""PF"",),),IF(Projections!$Y$3="&amp;""""",""C"",),)"),"")</f>
        <v/>
      </c>
    </row>
    <row r="315"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t="str">
        <f>IFERROR(__xludf.DUMMYFUNCTION("REGEXREPLACE(REGEXREPLACE(REGEXREPLACE(REGEXREPLACE(REGEXREPLACE(REGEXREPLACE(E315,"","",),IF(Projections!$U$3="""",""PG"",),),IF(Projections!$V$3="""",""SG"",),),IF(Projections!$W$3="""",""SF"",),),IF(Projections!$X$3="""",""PF"",),),IF(Projections!$Y$3="&amp;""""",""C"",),)"),"")</f>
        <v/>
      </c>
    </row>
    <row r="316"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t="str">
        <f>IFERROR(__xludf.DUMMYFUNCTION("REGEXREPLACE(REGEXREPLACE(REGEXREPLACE(REGEXREPLACE(REGEXREPLACE(REGEXREPLACE(E316,"","",),IF(Projections!$U$3="""",""PG"",),),IF(Projections!$V$3="""",""SG"",),),IF(Projections!$W$3="""",""SF"",),),IF(Projections!$X$3="""",""PF"",),),IF(Projections!$Y$3="&amp;""""",""C"",),)"),"")</f>
        <v/>
      </c>
    </row>
    <row r="317"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t="str">
        <f>IFERROR(__xludf.DUMMYFUNCTION("REGEXREPLACE(REGEXREPLACE(REGEXREPLACE(REGEXREPLACE(REGEXREPLACE(REGEXREPLACE(E317,"","",),IF(Projections!$U$3="""",""PG"",),),IF(Projections!$V$3="""",""SG"",),),IF(Projections!$W$3="""",""SF"",),),IF(Projections!$X$3="""",""PF"",),),IF(Projections!$Y$3="&amp;""""",""C"",),)"),"")</f>
        <v/>
      </c>
    </row>
    <row r="318"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t="str">
        <f>IFERROR(__xludf.DUMMYFUNCTION("REGEXREPLACE(REGEXREPLACE(REGEXREPLACE(REGEXREPLACE(REGEXREPLACE(REGEXREPLACE(E318,"","",),IF(Projections!$U$3="""",""PG"",),),IF(Projections!$V$3="""",""SG"",),),IF(Projections!$W$3="""",""SF"",),),IF(Projections!$X$3="""",""PF"",),),IF(Projections!$Y$3="&amp;""""",""C"",),)"),"")</f>
        <v/>
      </c>
    </row>
    <row r="319"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t="str">
        <f>IFERROR(__xludf.DUMMYFUNCTION("REGEXREPLACE(REGEXREPLACE(REGEXREPLACE(REGEXREPLACE(REGEXREPLACE(REGEXREPLACE(E319,"","",),IF(Projections!$U$3="""",""PG"",),),IF(Projections!$V$3="""",""SG"",),),IF(Projections!$W$3="""",""SF"",),),IF(Projections!$X$3="""",""PF"",),),IF(Projections!$Y$3="&amp;""""",""C"",),)"),"")</f>
        <v/>
      </c>
    </row>
    <row r="320"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t="str">
        <f>IFERROR(__xludf.DUMMYFUNCTION("REGEXREPLACE(REGEXREPLACE(REGEXREPLACE(REGEXREPLACE(REGEXREPLACE(REGEXREPLACE(E320,"","",),IF(Projections!$U$3="""",""PG"",),),IF(Projections!$V$3="""",""SG"",),),IF(Projections!$W$3="""",""SF"",),),IF(Projections!$X$3="""",""PF"",),),IF(Projections!$Y$3="&amp;""""",""C"",),)"),"")</f>
        <v/>
      </c>
    </row>
    <row r="321"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t="str">
        <f>IFERROR(__xludf.DUMMYFUNCTION("REGEXREPLACE(REGEXREPLACE(REGEXREPLACE(REGEXREPLACE(REGEXREPLACE(REGEXREPLACE(E321,"","",),IF(Projections!$U$3="""",""PG"",),),IF(Projections!$V$3="""",""SG"",),),IF(Projections!$W$3="""",""SF"",),),IF(Projections!$X$3="""",""PF"",),),IF(Projections!$Y$3="&amp;""""",""C"",),)"),"")</f>
        <v/>
      </c>
    </row>
    <row r="322"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t="str">
        <f>IFERROR(__xludf.DUMMYFUNCTION("REGEXREPLACE(REGEXREPLACE(REGEXREPLACE(REGEXREPLACE(REGEXREPLACE(REGEXREPLACE(E322,"","",),IF(Projections!$U$3="""",""PG"",),),IF(Projections!$V$3="""",""SG"",),),IF(Projections!$W$3="""",""SF"",),),IF(Projections!$X$3="""",""PF"",),),IF(Projections!$Y$3="&amp;""""",""C"",),)"),"")</f>
        <v/>
      </c>
    </row>
    <row r="323"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t="str">
        <f>IFERROR(__xludf.DUMMYFUNCTION("REGEXREPLACE(REGEXREPLACE(REGEXREPLACE(REGEXREPLACE(REGEXREPLACE(REGEXREPLACE(E323,"","",),IF(Projections!$U$3="""",""PG"",),),IF(Projections!$V$3="""",""SG"",),),IF(Projections!$W$3="""",""SF"",),),IF(Projections!$X$3="""",""PF"",),),IF(Projections!$Y$3="&amp;""""",""C"",),)"),"")</f>
        <v/>
      </c>
    </row>
    <row r="324"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t="str">
        <f>IFERROR(__xludf.DUMMYFUNCTION("REGEXREPLACE(REGEXREPLACE(REGEXREPLACE(REGEXREPLACE(REGEXREPLACE(REGEXREPLACE(E324,"","",),IF(Projections!$U$3="""",""PG"",),),IF(Projections!$V$3="""",""SG"",),),IF(Projections!$W$3="""",""SF"",),),IF(Projections!$X$3="""",""PF"",),),IF(Projections!$Y$3="&amp;""""",""C"",),)"),"")</f>
        <v/>
      </c>
    </row>
    <row r="325"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t="str">
        <f>IFERROR(__xludf.DUMMYFUNCTION("REGEXREPLACE(REGEXREPLACE(REGEXREPLACE(REGEXREPLACE(REGEXREPLACE(REGEXREPLACE(E325,"","",),IF(Projections!$U$3="""",""PG"",),),IF(Projections!$V$3="""",""SG"",),),IF(Projections!$W$3="""",""SF"",),),IF(Projections!$X$3="""",""PF"",),),IF(Projections!$Y$3="&amp;""""",""C"",),)"),"")</f>
        <v/>
      </c>
    </row>
    <row r="326"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t="str">
        <f>IFERROR(__xludf.DUMMYFUNCTION("REGEXREPLACE(REGEXREPLACE(REGEXREPLACE(REGEXREPLACE(REGEXREPLACE(REGEXREPLACE(E326,"","",),IF(Projections!$U$3="""",""PG"",),),IF(Projections!$V$3="""",""SG"",),),IF(Projections!$W$3="""",""SF"",),),IF(Projections!$X$3="""",""PF"",),),IF(Projections!$Y$3="&amp;""""",""C"",),)"),"")</f>
        <v/>
      </c>
    </row>
    <row r="327"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t="str">
        <f>IFERROR(__xludf.DUMMYFUNCTION("REGEXREPLACE(REGEXREPLACE(REGEXREPLACE(REGEXREPLACE(REGEXREPLACE(REGEXREPLACE(E327,"","",),IF(Projections!$U$3="""",""PG"",),),IF(Projections!$V$3="""",""SG"",),),IF(Projections!$W$3="""",""SF"",),),IF(Projections!$X$3="""",""PF"",),),IF(Projections!$Y$3="&amp;""""",""C"",),)"),"")</f>
        <v/>
      </c>
    </row>
    <row r="328"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t="str">
        <f>IFERROR(__xludf.DUMMYFUNCTION("REGEXREPLACE(REGEXREPLACE(REGEXREPLACE(REGEXREPLACE(REGEXREPLACE(REGEXREPLACE(E328,"","",),IF(Projections!$U$3="""",""PG"",),),IF(Projections!$V$3="""",""SG"",),),IF(Projections!$W$3="""",""SF"",),),IF(Projections!$X$3="""",""PF"",),),IF(Projections!$Y$3="&amp;""""",""C"",),)"),"")</f>
        <v/>
      </c>
    </row>
    <row r="329"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t="str">
        <f>IFERROR(__xludf.DUMMYFUNCTION("REGEXREPLACE(REGEXREPLACE(REGEXREPLACE(REGEXREPLACE(REGEXREPLACE(REGEXREPLACE(E329,"","",),IF(Projections!$U$3="""",""PG"",),),IF(Projections!$V$3="""",""SG"",),),IF(Projections!$W$3="""",""SF"",),),IF(Projections!$X$3="""",""PF"",),),IF(Projections!$Y$3="&amp;""""",""C"",),)"),"")</f>
        <v/>
      </c>
    </row>
    <row r="330"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t="str">
        <f>IFERROR(__xludf.DUMMYFUNCTION("REGEXREPLACE(REGEXREPLACE(REGEXREPLACE(REGEXREPLACE(REGEXREPLACE(REGEXREPLACE(E330,"","",),IF(Projections!$U$3="""",""PG"",),),IF(Projections!$V$3="""",""SG"",),),IF(Projections!$W$3="""",""SF"",),),IF(Projections!$X$3="""",""PF"",),),IF(Projections!$Y$3="&amp;""""",""C"",),)"),"")</f>
        <v/>
      </c>
    </row>
    <row r="331"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t="str">
        <f>IFERROR(__xludf.DUMMYFUNCTION("REGEXREPLACE(REGEXREPLACE(REGEXREPLACE(REGEXREPLACE(REGEXREPLACE(REGEXREPLACE(E331,"","",),IF(Projections!$U$3="""",""PG"",),),IF(Projections!$V$3="""",""SG"",),),IF(Projections!$W$3="""",""SF"",),),IF(Projections!$X$3="""",""PF"",),),IF(Projections!$Y$3="&amp;""""",""C"",),)"),"")</f>
        <v/>
      </c>
    </row>
    <row r="332"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t="str">
        <f>IFERROR(__xludf.DUMMYFUNCTION("REGEXREPLACE(REGEXREPLACE(REGEXREPLACE(REGEXREPLACE(REGEXREPLACE(REGEXREPLACE(E332,"","",),IF(Projections!$U$3="""",""PG"",),),IF(Projections!$V$3="""",""SG"",),),IF(Projections!$W$3="""",""SF"",),),IF(Projections!$X$3="""",""PF"",),),IF(Projections!$Y$3="&amp;""""",""C"",),)"),"")</f>
        <v/>
      </c>
    </row>
    <row r="333"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t="str">
        <f>IFERROR(__xludf.DUMMYFUNCTION("REGEXREPLACE(REGEXREPLACE(REGEXREPLACE(REGEXREPLACE(REGEXREPLACE(REGEXREPLACE(E333,"","",),IF(Projections!$U$3="""",""PG"",),),IF(Projections!$V$3="""",""SG"",),),IF(Projections!$W$3="""",""SF"",),),IF(Projections!$X$3="""",""PF"",),),IF(Projections!$Y$3="&amp;""""",""C"",),)"),"")</f>
        <v/>
      </c>
    </row>
    <row r="334"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t="str">
        <f>IFERROR(__xludf.DUMMYFUNCTION("REGEXREPLACE(REGEXREPLACE(REGEXREPLACE(REGEXREPLACE(REGEXREPLACE(REGEXREPLACE(E334,"","",),IF(Projections!$U$3="""",""PG"",),),IF(Projections!$V$3="""",""SG"",),),IF(Projections!$W$3="""",""SF"",),),IF(Projections!$X$3="""",""PF"",),),IF(Projections!$Y$3="&amp;""""",""C"",),)"),"")</f>
        <v/>
      </c>
    </row>
    <row r="335"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t="str">
        <f>IFERROR(__xludf.DUMMYFUNCTION("REGEXREPLACE(REGEXREPLACE(REGEXREPLACE(REGEXREPLACE(REGEXREPLACE(REGEXREPLACE(E335,"","",),IF(Projections!$U$3="""",""PG"",),),IF(Projections!$V$3="""",""SG"",),),IF(Projections!$W$3="""",""SF"",),),IF(Projections!$X$3="""",""PF"",),),IF(Projections!$Y$3="&amp;""""",""C"",),)"),"")</f>
        <v/>
      </c>
    </row>
    <row r="336"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t="str">
        <f>IFERROR(__xludf.DUMMYFUNCTION("REGEXREPLACE(REGEXREPLACE(REGEXREPLACE(REGEXREPLACE(REGEXREPLACE(REGEXREPLACE(E336,"","",),IF(Projections!$U$3="""",""PG"",),),IF(Projections!$V$3="""",""SG"",),),IF(Projections!$W$3="""",""SF"",),),IF(Projections!$X$3="""",""PF"",),),IF(Projections!$Y$3="&amp;""""",""C"",),)"),"")</f>
        <v/>
      </c>
    </row>
    <row r="337"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t="str">
        <f>IFERROR(__xludf.DUMMYFUNCTION("REGEXREPLACE(REGEXREPLACE(REGEXREPLACE(REGEXREPLACE(REGEXREPLACE(REGEXREPLACE(E337,"","",),IF(Projections!$U$3="""",""PG"",),),IF(Projections!$V$3="""",""SG"",),),IF(Projections!$W$3="""",""SF"",),),IF(Projections!$X$3="""",""PF"",),),IF(Projections!$Y$3="&amp;""""",""C"",),)"),"")</f>
        <v/>
      </c>
    </row>
    <row r="338"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t="str">
        <f>IFERROR(__xludf.DUMMYFUNCTION("REGEXREPLACE(REGEXREPLACE(REGEXREPLACE(REGEXREPLACE(REGEXREPLACE(REGEXREPLACE(E338,"","",),IF(Projections!$U$3="""",""PG"",),),IF(Projections!$V$3="""",""SG"",),),IF(Projections!$W$3="""",""SF"",),),IF(Projections!$X$3="""",""PF"",),),IF(Projections!$Y$3="&amp;""""",""C"",),)"),"")</f>
        <v/>
      </c>
    </row>
    <row r="339"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t="str">
        <f>IFERROR(__xludf.DUMMYFUNCTION("REGEXREPLACE(REGEXREPLACE(REGEXREPLACE(REGEXREPLACE(REGEXREPLACE(REGEXREPLACE(E339,"","",),IF(Projections!$U$3="""",""PG"",),),IF(Projections!$V$3="""",""SG"",),),IF(Projections!$W$3="""",""SF"",),),IF(Projections!$X$3="""",""PF"",),),IF(Projections!$Y$3="&amp;""""",""C"",),)"),"")</f>
        <v/>
      </c>
    </row>
    <row r="340"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t="str">
        <f>IFERROR(__xludf.DUMMYFUNCTION("REGEXREPLACE(REGEXREPLACE(REGEXREPLACE(REGEXREPLACE(REGEXREPLACE(REGEXREPLACE(E340,"","",),IF(Projections!$U$3="""",""PG"",),),IF(Projections!$V$3="""",""SG"",),),IF(Projections!$W$3="""",""SF"",),),IF(Projections!$X$3="""",""PF"",),),IF(Projections!$Y$3="&amp;""""",""C"",),)"),"")</f>
        <v/>
      </c>
    </row>
    <row r="341"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t="str">
        <f>IFERROR(__xludf.DUMMYFUNCTION("REGEXREPLACE(REGEXREPLACE(REGEXREPLACE(REGEXREPLACE(REGEXREPLACE(REGEXREPLACE(E341,"","",),IF(Projections!$U$3="""",""PG"",),),IF(Projections!$V$3="""",""SG"",),),IF(Projections!$W$3="""",""SF"",),),IF(Projections!$X$3="""",""PF"",),),IF(Projections!$Y$3="&amp;""""",""C"",),)"),"")</f>
        <v/>
      </c>
    </row>
    <row r="342"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t="str">
        <f>IFERROR(__xludf.DUMMYFUNCTION("REGEXREPLACE(REGEXREPLACE(REGEXREPLACE(REGEXREPLACE(REGEXREPLACE(REGEXREPLACE(E342,"","",),IF(Projections!$U$3="""",""PG"",),),IF(Projections!$V$3="""",""SG"",),),IF(Projections!$W$3="""",""SF"",),),IF(Projections!$X$3="""",""PF"",),),IF(Projections!$Y$3="&amp;""""",""C"",),)"),"")</f>
        <v/>
      </c>
    </row>
    <row r="343"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t="str">
        <f>IFERROR(__xludf.DUMMYFUNCTION("REGEXREPLACE(REGEXREPLACE(REGEXREPLACE(REGEXREPLACE(REGEXREPLACE(REGEXREPLACE(E343,"","",),IF(Projections!$U$3="""",""PG"",),),IF(Projections!$V$3="""",""SG"",),),IF(Projections!$W$3="""",""SF"",),),IF(Projections!$X$3="""",""PF"",),),IF(Projections!$Y$3="&amp;""""",""C"",),)"),"")</f>
        <v/>
      </c>
    </row>
    <row r="344"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t="str">
        <f>IFERROR(__xludf.DUMMYFUNCTION("REGEXREPLACE(REGEXREPLACE(REGEXREPLACE(REGEXREPLACE(REGEXREPLACE(REGEXREPLACE(E344,"","",),IF(Projections!$U$3="""",""PG"",),),IF(Projections!$V$3="""",""SG"",),),IF(Projections!$W$3="""",""SF"",),),IF(Projections!$X$3="""",""PF"",),),IF(Projections!$Y$3="&amp;""""",""C"",),)"),"")</f>
        <v/>
      </c>
    </row>
    <row r="345"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t="str">
        <f>IFERROR(__xludf.DUMMYFUNCTION("REGEXREPLACE(REGEXREPLACE(REGEXREPLACE(REGEXREPLACE(REGEXREPLACE(REGEXREPLACE(E345,"","",),IF(Projections!$U$3="""",""PG"",),),IF(Projections!$V$3="""",""SG"",),),IF(Projections!$W$3="""",""SF"",),),IF(Projections!$X$3="""",""PF"",),),IF(Projections!$Y$3="&amp;""""",""C"",),)"),"")</f>
        <v/>
      </c>
    </row>
    <row r="346"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t="str">
        <f>IFERROR(__xludf.DUMMYFUNCTION("REGEXREPLACE(REGEXREPLACE(REGEXREPLACE(REGEXREPLACE(REGEXREPLACE(REGEXREPLACE(E346,"","",),IF(Projections!$U$3="""",""PG"",),),IF(Projections!$V$3="""",""SG"",),),IF(Projections!$W$3="""",""SF"",),),IF(Projections!$X$3="""",""PF"",),),IF(Projections!$Y$3="&amp;""""",""C"",),)"),"")</f>
        <v/>
      </c>
    </row>
    <row r="347"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t="str">
        <f>IFERROR(__xludf.DUMMYFUNCTION("REGEXREPLACE(REGEXREPLACE(REGEXREPLACE(REGEXREPLACE(REGEXREPLACE(REGEXREPLACE(E347,"","",),IF(Projections!$U$3="""",""PG"",),),IF(Projections!$V$3="""",""SG"",),),IF(Projections!$W$3="""",""SF"",),),IF(Projections!$X$3="""",""PF"",),),IF(Projections!$Y$3="&amp;""""",""C"",),)"),"")</f>
        <v/>
      </c>
    </row>
    <row r="348"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t="str">
        <f>IFERROR(__xludf.DUMMYFUNCTION("REGEXREPLACE(REGEXREPLACE(REGEXREPLACE(REGEXREPLACE(REGEXREPLACE(REGEXREPLACE(E348,"","",),IF(Projections!$U$3="""",""PG"",),),IF(Projections!$V$3="""",""SG"",),),IF(Projections!$W$3="""",""SF"",),),IF(Projections!$X$3="""",""PF"",),),IF(Projections!$Y$3="&amp;""""",""C"",),)"),"")</f>
        <v/>
      </c>
    </row>
    <row r="349"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t="str">
        <f>IFERROR(__xludf.DUMMYFUNCTION("REGEXREPLACE(REGEXREPLACE(REGEXREPLACE(REGEXREPLACE(REGEXREPLACE(REGEXREPLACE(E349,"","",),IF(Projections!$U$3="""",""PG"",),),IF(Projections!$V$3="""",""SG"",),),IF(Projections!$W$3="""",""SF"",),),IF(Projections!$X$3="""",""PF"",),),IF(Projections!$Y$3="&amp;""""",""C"",),)"),"")</f>
        <v/>
      </c>
    </row>
    <row r="350"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t="str">
        <f>IFERROR(__xludf.DUMMYFUNCTION("REGEXREPLACE(REGEXREPLACE(REGEXREPLACE(REGEXREPLACE(REGEXREPLACE(REGEXREPLACE(E350,"","",),IF(Projections!$U$3="""",""PG"",),),IF(Projections!$V$3="""",""SG"",),),IF(Projections!$W$3="""",""SF"",),),IF(Projections!$X$3="""",""PF"",),),IF(Projections!$Y$3="&amp;""""",""C"",),)"),"")</f>
        <v/>
      </c>
    </row>
    <row r="351"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t="str">
        <f>IFERROR(__xludf.DUMMYFUNCTION("REGEXREPLACE(REGEXREPLACE(REGEXREPLACE(REGEXREPLACE(REGEXREPLACE(REGEXREPLACE(E351,"","",),IF(Projections!$U$3="""",""PG"",),),IF(Projections!$V$3="""",""SG"",),),IF(Projections!$W$3="""",""SF"",),),IF(Projections!$X$3="""",""PF"",),),IF(Projections!$Y$3="&amp;""""",""C"",),)"),"")</f>
        <v/>
      </c>
    </row>
    <row r="352"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t="str">
        <f>IFERROR(__xludf.DUMMYFUNCTION("REGEXREPLACE(REGEXREPLACE(REGEXREPLACE(REGEXREPLACE(REGEXREPLACE(REGEXREPLACE(E352,"","",),IF(Projections!$U$3="""",""PG"",),),IF(Projections!$V$3="""",""SG"",),),IF(Projections!$W$3="""",""SF"",),),IF(Projections!$X$3="""",""PF"",),),IF(Projections!$Y$3="&amp;""""",""C"",),)"),"")</f>
        <v/>
      </c>
    </row>
    <row r="353"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t="str">
        <f>IFERROR(__xludf.DUMMYFUNCTION("REGEXREPLACE(REGEXREPLACE(REGEXREPLACE(REGEXREPLACE(REGEXREPLACE(REGEXREPLACE(E353,"","",),IF(Projections!$U$3="""",""PG"",),),IF(Projections!$V$3="""",""SG"",),),IF(Projections!$W$3="""",""SF"",),),IF(Projections!$X$3="""",""PF"",),),IF(Projections!$Y$3="&amp;""""",""C"",),)"),"")</f>
        <v/>
      </c>
    </row>
    <row r="354"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t="str">
        <f>IFERROR(__xludf.DUMMYFUNCTION("REGEXREPLACE(REGEXREPLACE(REGEXREPLACE(REGEXREPLACE(REGEXREPLACE(REGEXREPLACE(E354,"","",),IF(Projections!$U$3="""",""PG"",),),IF(Projections!$V$3="""",""SG"",),),IF(Projections!$W$3="""",""SF"",),),IF(Projections!$X$3="""",""PF"",),),IF(Projections!$Y$3="&amp;""""",""C"",),)"),"")</f>
        <v/>
      </c>
    </row>
    <row r="355"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t="str">
        <f>IFERROR(__xludf.DUMMYFUNCTION("REGEXREPLACE(REGEXREPLACE(REGEXREPLACE(REGEXREPLACE(REGEXREPLACE(REGEXREPLACE(E355,"","",),IF(Projections!$U$3="""",""PG"",),),IF(Projections!$V$3="""",""SG"",),),IF(Projections!$W$3="""",""SF"",),),IF(Projections!$X$3="""",""PF"",),),IF(Projections!$Y$3="&amp;""""",""C"",),)"),"")</f>
        <v/>
      </c>
    </row>
    <row r="356"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t="str">
        <f>IFERROR(__xludf.DUMMYFUNCTION("REGEXREPLACE(REGEXREPLACE(REGEXREPLACE(REGEXREPLACE(REGEXREPLACE(REGEXREPLACE(E356,"","",),IF(Projections!$U$3="""",""PG"",),),IF(Projections!$V$3="""",""SG"",),),IF(Projections!$W$3="""",""SF"",),),IF(Projections!$X$3="""",""PF"",),),IF(Projections!$Y$3="&amp;""""",""C"",),)"),"")</f>
        <v/>
      </c>
    </row>
    <row r="357"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t="str">
        <f>IFERROR(__xludf.DUMMYFUNCTION("REGEXREPLACE(REGEXREPLACE(REGEXREPLACE(REGEXREPLACE(REGEXREPLACE(REGEXREPLACE(E357,"","",),IF(Projections!$U$3="""",""PG"",),),IF(Projections!$V$3="""",""SG"",),),IF(Projections!$W$3="""",""SF"",),),IF(Projections!$X$3="""",""PF"",),),IF(Projections!$Y$3="&amp;""""",""C"",),)"),"")</f>
        <v/>
      </c>
    </row>
    <row r="358"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t="str">
        <f>IFERROR(__xludf.DUMMYFUNCTION("REGEXREPLACE(REGEXREPLACE(REGEXREPLACE(REGEXREPLACE(REGEXREPLACE(REGEXREPLACE(E358,"","",),IF(Projections!$U$3="""",""PG"",),),IF(Projections!$V$3="""",""SG"",),),IF(Projections!$W$3="""",""SF"",),),IF(Projections!$X$3="""",""PF"",),),IF(Projections!$Y$3="&amp;""""",""C"",),)"),"")</f>
        <v/>
      </c>
    </row>
    <row r="359"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t="str">
        <f>IFERROR(__xludf.DUMMYFUNCTION("REGEXREPLACE(REGEXREPLACE(REGEXREPLACE(REGEXREPLACE(REGEXREPLACE(REGEXREPLACE(E359,"","",),IF(Projections!$U$3="""",""PG"",),),IF(Projections!$V$3="""",""SG"",),),IF(Projections!$W$3="""",""SF"",),),IF(Projections!$X$3="""",""PF"",),),IF(Projections!$Y$3="&amp;""""",""C"",),)"),"")</f>
        <v/>
      </c>
    </row>
    <row r="360"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t="str">
        <f>IFERROR(__xludf.DUMMYFUNCTION("REGEXREPLACE(REGEXREPLACE(REGEXREPLACE(REGEXREPLACE(REGEXREPLACE(REGEXREPLACE(E360,"","",),IF(Projections!$U$3="""",""PG"",),),IF(Projections!$V$3="""",""SG"",),),IF(Projections!$W$3="""",""SF"",),),IF(Projections!$X$3="""",""PF"",),),IF(Projections!$Y$3="&amp;""""",""C"",),)"),"")</f>
        <v/>
      </c>
    </row>
    <row r="361"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t="str">
        <f>IFERROR(__xludf.DUMMYFUNCTION("REGEXREPLACE(REGEXREPLACE(REGEXREPLACE(REGEXREPLACE(REGEXREPLACE(REGEXREPLACE(E361,"","",),IF(Projections!$U$3="""",""PG"",),),IF(Projections!$V$3="""",""SG"",),),IF(Projections!$W$3="""",""SF"",),),IF(Projections!$X$3="""",""PF"",),),IF(Projections!$Y$3="&amp;""""",""C"",),)"),"")</f>
        <v/>
      </c>
    </row>
    <row r="362"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t="str">
        <f>IFERROR(__xludf.DUMMYFUNCTION("REGEXREPLACE(REGEXREPLACE(REGEXREPLACE(REGEXREPLACE(REGEXREPLACE(REGEXREPLACE(E362,"","",),IF(Projections!$U$3="""",""PG"",),),IF(Projections!$V$3="""",""SG"",),),IF(Projections!$W$3="""",""SF"",),),IF(Projections!$X$3="""",""PF"",),),IF(Projections!$Y$3="&amp;""""",""C"",),)"),"")</f>
        <v/>
      </c>
    </row>
    <row r="363"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t="str">
        <f>IFERROR(__xludf.DUMMYFUNCTION("REGEXREPLACE(REGEXREPLACE(REGEXREPLACE(REGEXREPLACE(REGEXREPLACE(REGEXREPLACE(E363,"","",),IF(Projections!$U$3="""",""PG"",),),IF(Projections!$V$3="""",""SG"",),),IF(Projections!$W$3="""",""SF"",),),IF(Projections!$X$3="""",""PF"",),),IF(Projections!$Y$3="&amp;""""",""C"",),)"),"")</f>
        <v/>
      </c>
    </row>
    <row r="364"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t="str">
        <f>IFERROR(__xludf.DUMMYFUNCTION("REGEXREPLACE(REGEXREPLACE(REGEXREPLACE(REGEXREPLACE(REGEXREPLACE(REGEXREPLACE(E364,"","",),IF(Projections!$U$3="""",""PG"",),),IF(Projections!$V$3="""",""SG"",),),IF(Projections!$W$3="""",""SF"",),),IF(Projections!$X$3="""",""PF"",),),IF(Projections!$Y$3="&amp;""""",""C"",),)"),"")</f>
        <v/>
      </c>
    </row>
    <row r="365"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t="str">
        <f>IFERROR(__xludf.DUMMYFUNCTION("REGEXREPLACE(REGEXREPLACE(REGEXREPLACE(REGEXREPLACE(REGEXREPLACE(REGEXREPLACE(E365,"","",),IF(Projections!$U$3="""",""PG"",),),IF(Projections!$V$3="""",""SG"",),),IF(Projections!$W$3="""",""SF"",),),IF(Projections!$X$3="""",""PF"",),),IF(Projections!$Y$3="&amp;""""",""C"",),)"),"")</f>
        <v/>
      </c>
    </row>
    <row r="366"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t="str">
        <f>IFERROR(__xludf.DUMMYFUNCTION("REGEXREPLACE(REGEXREPLACE(REGEXREPLACE(REGEXREPLACE(REGEXREPLACE(REGEXREPLACE(E366,"","",),IF(Projections!$U$3="""",""PG"",),),IF(Projections!$V$3="""",""SG"",),),IF(Projections!$W$3="""",""SF"",),),IF(Projections!$X$3="""",""PF"",),),IF(Projections!$Y$3="&amp;""""",""C"",),)"),"")</f>
        <v/>
      </c>
    </row>
    <row r="367"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t="str">
        <f>IFERROR(__xludf.DUMMYFUNCTION("REGEXREPLACE(REGEXREPLACE(REGEXREPLACE(REGEXREPLACE(REGEXREPLACE(REGEXREPLACE(E367,"","",),IF(Projections!$U$3="""",""PG"",),),IF(Projections!$V$3="""",""SG"",),),IF(Projections!$W$3="""",""SF"",),),IF(Projections!$X$3="""",""PF"",),),IF(Projections!$Y$3="&amp;""""",""C"",),)"),"")</f>
        <v/>
      </c>
    </row>
    <row r="368"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t="str">
        <f>IFERROR(__xludf.DUMMYFUNCTION("REGEXREPLACE(REGEXREPLACE(REGEXREPLACE(REGEXREPLACE(REGEXREPLACE(REGEXREPLACE(E368,"","",),IF(Projections!$U$3="""",""PG"",),),IF(Projections!$V$3="""",""SG"",),),IF(Projections!$W$3="""",""SF"",),),IF(Projections!$X$3="""",""PF"",),),IF(Projections!$Y$3="&amp;""""",""C"",),)"),"")</f>
        <v/>
      </c>
    </row>
    <row r="369"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t="str">
        <f>IFERROR(__xludf.DUMMYFUNCTION("REGEXREPLACE(REGEXREPLACE(REGEXREPLACE(REGEXREPLACE(REGEXREPLACE(REGEXREPLACE(E369,"","",),IF(Projections!$U$3="""",""PG"",),),IF(Projections!$V$3="""",""SG"",),),IF(Projections!$W$3="""",""SF"",),),IF(Projections!$X$3="""",""PF"",),),IF(Projections!$Y$3="&amp;""""",""C"",),)"),"")</f>
        <v/>
      </c>
    </row>
    <row r="370"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t="str">
        <f>IFERROR(__xludf.DUMMYFUNCTION("REGEXREPLACE(REGEXREPLACE(REGEXREPLACE(REGEXREPLACE(REGEXREPLACE(REGEXREPLACE(E370,"","",),IF(Projections!$U$3="""",""PG"",),),IF(Projections!$V$3="""",""SG"",),),IF(Projections!$W$3="""",""SF"",),),IF(Projections!$X$3="""",""PF"",),),IF(Projections!$Y$3="&amp;""""",""C"",),)"),"")</f>
        <v/>
      </c>
    </row>
    <row r="371"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t="str">
        <f>IFERROR(__xludf.DUMMYFUNCTION("REGEXREPLACE(REGEXREPLACE(REGEXREPLACE(REGEXREPLACE(REGEXREPLACE(REGEXREPLACE(E371,"","",),IF(Projections!$U$3="""",""PG"",),),IF(Projections!$V$3="""",""SG"",),),IF(Projections!$W$3="""",""SF"",),),IF(Projections!$X$3="""",""PF"",),),IF(Projections!$Y$3="&amp;""""",""C"",),)"),"")</f>
        <v/>
      </c>
    </row>
    <row r="372"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t="str">
        <f>IFERROR(__xludf.DUMMYFUNCTION("REGEXREPLACE(REGEXREPLACE(REGEXREPLACE(REGEXREPLACE(REGEXREPLACE(REGEXREPLACE(E372,"","",),IF(Projections!$U$3="""",""PG"",),),IF(Projections!$V$3="""",""SG"",),),IF(Projections!$W$3="""",""SF"",),),IF(Projections!$X$3="""",""PF"",),),IF(Projections!$Y$3="&amp;""""",""C"",),)"),"")</f>
        <v/>
      </c>
    </row>
    <row r="373"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t="str">
        <f>IFERROR(__xludf.DUMMYFUNCTION("REGEXREPLACE(REGEXREPLACE(REGEXREPLACE(REGEXREPLACE(REGEXREPLACE(REGEXREPLACE(E373,"","",),IF(Projections!$U$3="""",""PG"",),),IF(Projections!$V$3="""",""SG"",),),IF(Projections!$W$3="""",""SF"",),),IF(Projections!$X$3="""",""PF"",),),IF(Projections!$Y$3="&amp;""""",""C"",),)"),"")</f>
        <v/>
      </c>
    </row>
    <row r="374"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t="str">
        <f>IFERROR(__xludf.DUMMYFUNCTION("REGEXREPLACE(REGEXREPLACE(REGEXREPLACE(REGEXREPLACE(REGEXREPLACE(REGEXREPLACE(E374,"","",),IF(Projections!$U$3="""",""PG"",),),IF(Projections!$V$3="""",""SG"",),),IF(Projections!$W$3="""",""SF"",),),IF(Projections!$X$3="""",""PF"",),),IF(Projections!$Y$3="&amp;""""",""C"",),)"),"")</f>
        <v/>
      </c>
    </row>
    <row r="375"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t="str">
        <f>IFERROR(__xludf.DUMMYFUNCTION("REGEXREPLACE(REGEXREPLACE(REGEXREPLACE(REGEXREPLACE(REGEXREPLACE(REGEXREPLACE(E375,"","",),IF(Projections!$U$3="""",""PG"",),),IF(Projections!$V$3="""",""SG"",),),IF(Projections!$W$3="""",""SF"",),),IF(Projections!$X$3="""",""PF"",),),IF(Projections!$Y$3="&amp;""""",""C"",),)"),"")</f>
        <v/>
      </c>
    </row>
    <row r="376"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t="str">
        <f>IFERROR(__xludf.DUMMYFUNCTION("REGEXREPLACE(REGEXREPLACE(REGEXREPLACE(REGEXREPLACE(REGEXREPLACE(REGEXREPLACE(E376,"","",),IF(Projections!$U$3="""",""PG"",),),IF(Projections!$V$3="""",""SG"",),),IF(Projections!$W$3="""",""SF"",),),IF(Projections!$X$3="""",""PF"",),),IF(Projections!$Y$3="&amp;""""",""C"",),)"),"")</f>
        <v/>
      </c>
    </row>
    <row r="377"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t="str">
        <f>IFERROR(__xludf.DUMMYFUNCTION("REGEXREPLACE(REGEXREPLACE(REGEXREPLACE(REGEXREPLACE(REGEXREPLACE(REGEXREPLACE(E377,"","",),IF(Projections!$U$3="""",""PG"",),),IF(Projections!$V$3="""",""SG"",),),IF(Projections!$W$3="""",""SF"",),),IF(Projections!$X$3="""",""PF"",),),IF(Projections!$Y$3="&amp;""""",""C"",),)"),"")</f>
        <v/>
      </c>
    </row>
    <row r="378"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t="str">
        <f>IFERROR(__xludf.DUMMYFUNCTION("REGEXREPLACE(REGEXREPLACE(REGEXREPLACE(REGEXREPLACE(REGEXREPLACE(REGEXREPLACE(E378,"","",),IF(Projections!$U$3="""",""PG"",),),IF(Projections!$V$3="""",""SG"",),),IF(Projections!$W$3="""",""SF"",),),IF(Projections!$X$3="""",""PF"",),),IF(Projections!$Y$3="&amp;""""",""C"",),)"),"")</f>
        <v/>
      </c>
    </row>
    <row r="379"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t="str">
        <f>IFERROR(__xludf.DUMMYFUNCTION("REGEXREPLACE(REGEXREPLACE(REGEXREPLACE(REGEXREPLACE(REGEXREPLACE(REGEXREPLACE(E379,"","",),IF(Projections!$U$3="""",""PG"",),),IF(Projections!$V$3="""",""SG"",),),IF(Projections!$W$3="""",""SF"",),),IF(Projections!$X$3="""",""PF"",),),IF(Projections!$Y$3="&amp;""""",""C"",),)"),"")</f>
        <v/>
      </c>
    </row>
    <row r="380"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t="str">
        <f>IFERROR(__xludf.DUMMYFUNCTION("REGEXREPLACE(REGEXREPLACE(REGEXREPLACE(REGEXREPLACE(REGEXREPLACE(REGEXREPLACE(E380,"","",),IF(Projections!$U$3="""",""PG"",),),IF(Projections!$V$3="""",""SG"",),),IF(Projections!$W$3="""",""SF"",),),IF(Projections!$X$3="""",""PF"",),),IF(Projections!$Y$3="&amp;""""",""C"",),)"),"")</f>
        <v/>
      </c>
    </row>
    <row r="381"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t="str">
        <f>IFERROR(__xludf.DUMMYFUNCTION("REGEXREPLACE(REGEXREPLACE(REGEXREPLACE(REGEXREPLACE(REGEXREPLACE(REGEXREPLACE(E381,"","",),IF(Projections!$U$3="""",""PG"",),),IF(Projections!$V$3="""",""SG"",),),IF(Projections!$W$3="""",""SF"",),),IF(Projections!$X$3="""",""PF"",),),IF(Projections!$Y$3="&amp;""""",""C"",),)"),"")</f>
        <v/>
      </c>
    </row>
    <row r="382"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t="str">
        <f>IFERROR(__xludf.DUMMYFUNCTION("REGEXREPLACE(REGEXREPLACE(REGEXREPLACE(REGEXREPLACE(REGEXREPLACE(REGEXREPLACE(E382,"","",),IF(Projections!$U$3="""",""PG"",),),IF(Projections!$V$3="""",""SG"",),),IF(Projections!$W$3="""",""SF"",),),IF(Projections!$X$3="""",""PF"",),),IF(Projections!$Y$3="&amp;""""",""C"",),)"),"")</f>
        <v/>
      </c>
    </row>
    <row r="383"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t="str">
        <f>IFERROR(__xludf.DUMMYFUNCTION("REGEXREPLACE(REGEXREPLACE(REGEXREPLACE(REGEXREPLACE(REGEXREPLACE(REGEXREPLACE(E383,"","",),IF(Projections!$U$3="""",""PG"",),),IF(Projections!$V$3="""",""SG"",),),IF(Projections!$W$3="""",""SF"",),),IF(Projections!$X$3="""",""PF"",),),IF(Projections!$Y$3="&amp;""""",""C"",),)"),"")</f>
        <v/>
      </c>
    </row>
    <row r="384"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t="str">
        <f>IFERROR(__xludf.DUMMYFUNCTION("REGEXREPLACE(REGEXREPLACE(REGEXREPLACE(REGEXREPLACE(REGEXREPLACE(REGEXREPLACE(E384,"","",),IF(Projections!$U$3="""",""PG"",),),IF(Projections!$V$3="""",""SG"",),),IF(Projections!$W$3="""",""SF"",),),IF(Projections!$X$3="""",""PF"",),),IF(Projections!$Y$3="&amp;""""",""C"",),)"),"")</f>
        <v/>
      </c>
    </row>
    <row r="385"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t="str">
        <f>IFERROR(__xludf.DUMMYFUNCTION("REGEXREPLACE(REGEXREPLACE(REGEXREPLACE(REGEXREPLACE(REGEXREPLACE(REGEXREPLACE(E385,"","",),IF(Projections!$U$3="""",""PG"",),),IF(Projections!$V$3="""",""SG"",),),IF(Projections!$W$3="""",""SF"",),),IF(Projections!$X$3="""",""PF"",),),IF(Projections!$Y$3="&amp;""""",""C"",),)"),"")</f>
        <v/>
      </c>
    </row>
    <row r="386"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t="str">
        <f>IFERROR(__xludf.DUMMYFUNCTION("REGEXREPLACE(REGEXREPLACE(REGEXREPLACE(REGEXREPLACE(REGEXREPLACE(REGEXREPLACE(E386,"","",),IF(Projections!$U$3="""",""PG"",),),IF(Projections!$V$3="""",""SG"",),),IF(Projections!$W$3="""",""SF"",),),IF(Projections!$X$3="""",""PF"",),),IF(Projections!$Y$3="&amp;""""",""C"",),)"),"")</f>
        <v/>
      </c>
    </row>
    <row r="387"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t="str">
        <f>IFERROR(__xludf.DUMMYFUNCTION("REGEXREPLACE(REGEXREPLACE(REGEXREPLACE(REGEXREPLACE(REGEXREPLACE(REGEXREPLACE(E387,"","",),IF(Projections!$U$3="""",""PG"",),),IF(Projections!$V$3="""",""SG"",),),IF(Projections!$W$3="""",""SF"",),),IF(Projections!$X$3="""",""PF"",),),IF(Projections!$Y$3="&amp;""""",""C"",),)"),"")</f>
        <v/>
      </c>
    </row>
    <row r="388"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t="str">
        <f>IFERROR(__xludf.DUMMYFUNCTION("REGEXREPLACE(REGEXREPLACE(REGEXREPLACE(REGEXREPLACE(REGEXREPLACE(REGEXREPLACE(E388,"","",),IF(Projections!$U$3="""",""PG"",),),IF(Projections!$V$3="""",""SG"",),),IF(Projections!$W$3="""",""SF"",),),IF(Projections!$X$3="""",""PF"",),),IF(Projections!$Y$3="&amp;""""",""C"",),)"),"")</f>
        <v/>
      </c>
    </row>
    <row r="389"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t="str">
        <f>IFERROR(__xludf.DUMMYFUNCTION("REGEXREPLACE(REGEXREPLACE(REGEXREPLACE(REGEXREPLACE(REGEXREPLACE(REGEXREPLACE(E389,"","",),IF(Projections!$U$3="""",""PG"",),),IF(Projections!$V$3="""",""SG"",),),IF(Projections!$W$3="""",""SF"",),),IF(Projections!$X$3="""",""PF"",),),IF(Projections!$Y$3="&amp;""""",""C"",),)"),"")</f>
        <v/>
      </c>
    </row>
    <row r="390"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t="str">
        <f>IFERROR(__xludf.DUMMYFUNCTION("REGEXREPLACE(REGEXREPLACE(REGEXREPLACE(REGEXREPLACE(REGEXREPLACE(REGEXREPLACE(E390,"","",),IF(Projections!$U$3="""",""PG"",),),IF(Projections!$V$3="""",""SG"",),),IF(Projections!$W$3="""",""SF"",),),IF(Projections!$X$3="""",""PF"",),),IF(Projections!$Y$3="&amp;""""",""C"",),)"),"")</f>
        <v/>
      </c>
    </row>
    <row r="391"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t="str">
        <f>IFERROR(__xludf.DUMMYFUNCTION("REGEXREPLACE(REGEXREPLACE(REGEXREPLACE(REGEXREPLACE(REGEXREPLACE(REGEXREPLACE(E391,"","",),IF(Projections!$U$3="""",""PG"",),),IF(Projections!$V$3="""",""SG"",),),IF(Projections!$W$3="""",""SF"",),),IF(Projections!$X$3="""",""PF"",),),IF(Projections!$Y$3="&amp;""""",""C"",),)"),"")</f>
        <v/>
      </c>
    </row>
    <row r="392"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t="str">
        <f>IFERROR(__xludf.DUMMYFUNCTION("REGEXREPLACE(REGEXREPLACE(REGEXREPLACE(REGEXREPLACE(REGEXREPLACE(REGEXREPLACE(E392,"","",),IF(Projections!$U$3="""",""PG"",),),IF(Projections!$V$3="""",""SG"",),),IF(Projections!$W$3="""",""SF"",),),IF(Projections!$X$3="""",""PF"",),),IF(Projections!$Y$3="&amp;""""",""C"",),)"),"")</f>
        <v/>
      </c>
    </row>
    <row r="393"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t="str">
        <f>IFERROR(__xludf.DUMMYFUNCTION("REGEXREPLACE(REGEXREPLACE(REGEXREPLACE(REGEXREPLACE(REGEXREPLACE(REGEXREPLACE(E393,"","",),IF(Projections!$U$3="""",""PG"",),),IF(Projections!$V$3="""",""SG"",),),IF(Projections!$W$3="""",""SF"",),),IF(Projections!$X$3="""",""PF"",),),IF(Projections!$Y$3="&amp;""""",""C"",),)"),"")</f>
        <v/>
      </c>
    </row>
    <row r="394"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t="str">
        <f>IFERROR(__xludf.DUMMYFUNCTION("REGEXREPLACE(REGEXREPLACE(REGEXREPLACE(REGEXREPLACE(REGEXREPLACE(REGEXREPLACE(E394,"","",),IF(Projections!$U$3="""",""PG"",),),IF(Projections!$V$3="""",""SG"",),),IF(Projections!$W$3="""",""SF"",),),IF(Projections!$X$3="""",""PF"",),),IF(Projections!$Y$3="&amp;""""",""C"",),)"),"")</f>
        <v/>
      </c>
    </row>
    <row r="395"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t="str">
        <f>IFERROR(__xludf.DUMMYFUNCTION("REGEXREPLACE(REGEXREPLACE(REGEXREPLACE(REGEXREPLACE(REGEXREPLACE(REGEXREPLACE(E395,"","",),IF(Projections!$U$3="""",""PG"",),),IF(Projections!$V$3="""",""SG"",),),IF(Projections!$W$3="""",""SF"",),),IF(Projections!$X$3="""",""PF"",),),IF(Projections!$Y$3="&amp;""""",""C"",),)"),"")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 t="s">
        <v>205</v>
      </c>
      <c r="B1" s="121" t="s">
        <v>534</v>
      </c>
      <c r="C1" s="121" t="s">
        <v>221</v>
      </c>
      <c r="D1" s="121" t="s">
        <v>207</v>
      </c>
      <c r="E1" s="121" t="s">
        <v>208</v>
      </c>
      <c r="F1" s="121" t="s">
        <v>81</v>
      </c>
      <c r="G1" s="121" t="s">
        <v>209</v>
      </c>
      <c r="H1" s="121" t="s">
        <v>12</v>
      </c>
      <c r="I1" s="121" t="s">
        <v>13</v>
      </c>
      <c r="J1" s="122">
        <v>0.625</v>
      </c>
      <c r="K1" s="121" t="s">
        <v>2</v>
      </c>
      <c r="L1" s="121" t="s">
        <v>213</v>
      </c>
      <c r="M1" s="121" t="s">
        <v>7</v>
      </c>
      <c r="N1" s="121" t="s">
        <v>9</v>
      </c>
      <c r="O1" s="121" t="s">
        <v>10</v>
      </c>
      <c r="P1" s="121" t="s">
        <v>15</v>
      </c>
      <c r="Q1" s="121" t="s">
        <v>535</v>
      </c>
    </row>
    <row r="2">
      <c r="A2" s="123">
        <v>1.0</v>
      </c>
      <c r="B2" s="123">
        <v>1.8</v>
      </c>
      <c r="C2" s="124" t="s">
        <v>39</v>
      </c>
      <c r="D2" s="125" t="s">
        <v>37</v>
      </c>
      <c r="E2" s="123" t="s">
        <v>536</v>
      </c>
      <c r="F2" s="123">
        <v>74.0</v>
      </c>
      <c r="G2" s="123">
        <v>33.5</v>
      </c>
      <c r="H2" s="126" t="s">
        <v>537</v>
      </c>
      <c r="I2" s="126" t="s">
        <v>538</v>
      </c>
      <c r="J2" s="127">
        <v>1.2</v>
      </c>
      <c r="K2" s="127">
        <v>26.3</v>
      </c>
      <c r="L2" s="128">
        <v>13.8</v>
      </c>
      <c r="M2" s="127">
        <v>8.4</v>
      </c>
      <c r="N2" s="126">
        <v>1.4</v>
      </c>
      <c r="O2" s="126">
        <v>0.9</v>
      </c>
      <c r="P2" s="129">
        <v>3.9</v>
      </c>
      <c r="Q2" s="123">
        <v>15.85</v>
      </c>
    </row>
    <row r="3">
      <c r="A3" s="123">
        <v>2.0</v>
      </c>
      <c r="B3" s="123">
        <v>11.7</v>
      </c>
      <c r="C3" s="124" t="s">
        <v>116</v>
      </c>
      <c r="D3" s="125" t="s">
        <v>539</v>
      </c>
      <c r="E3" s="123" t="s">
        <v>540</v>
      </c>
      <c r="F3" s="123">
        <v>68.0</v>
      </c>
      <c r="G3" s="123">
        <v>35.7</v>
      </c>
      <c r="H3" s="127" t="s">
        <v>541</v>
      </c>
      <c r="I3" s="129" t="s">
        <v>542</v>
      </c>
      <c r="J3" s="126">
        <v>2.1</v>
      </c>
      <c r="K3" s="126">
        <v>29.2</v>
      </c>
      <c r="L3" s="126">
        <v>7.2</v>
      </c>
      <c r="M3" s="126">
        <v>6.3</v>
      </c>
      <c r="N3" s="123">
        <v>0.9</v>
      </c>
      <c r="O3" s="127">
        <v>0.9</v>
      </c>
      <c r="P3" s="129">
        <v>3.4</v>
      </c>
      <c r="Q3" s="130">
        <v>12.97</v>
      </c>
    </row>
    <row r="4">
      <c r="A4" s="123">
        <v>3.0</v>
      </c>
      <c r="B4" s="123">
        <v>5.7</v>
      </c>
      <c r="C4" s="124" t="s">
        <v>62</v>
      </c>
      <c r="D4" s="123" t="s">
        <v>37</v>
      </c>
      <c r="E4" s="123" t="s">
        <v>543</v>
      </c>
      <c r="F4" s="123">
        <v>68.0</v>
      </c>
      <c r="G4" s="123">
        <v>33.8</v>
      </c>
      <c r="H4" s="129" t="s">
        <v>544</v>
      </c>
      <c r="I4" s="123" t="s">
        <v>545</v>
      </c>
      <c r="J4" s="126">
        <v>1.3</v>
      </c>
      <c r="K4" s="126">
        <v>30.4</v>
      </c>
      <c r="L4" s="129">
        <v>11.9</v>
      </c>
      <c r="M4" s="127">
        <v>4.0</v>
      </c>
      <c r="N4" s="129">
        <v>1.1</v>
      </c>
      <c r="O4" s="126">
        <v>1.5</v>
      </c>
      <c r="P4" s="129">
        <v>3.2</v>
      </c>
      <c r="Q4" s="129">
        <v>12.5</v>
      </c>
    </row>
    <row r="5">
      <c r="A5" s="123">
        <v>4.0</v>
      </c>
      <c r="B5" s="123">
        <v>9.9</v>
      </c>
      <c r="C5" s="124" t="s">
        <v>105</v>
      </c>
      <c r="D5" s="123" t="s">
        <v>546</v>
      </c>
      <c r="E5" s="123" t="s">
        <v>543</v>
      </c>
      <c r="F5" s="123">
        <v>70.0</v>
      </c>
      <c r="G5" s="123">
        <v>36.4</v>
      </c>
      <c r="H5" s="127" t="s">
        <v>547</v>
      </c>
      <c r="I5" s="127" t="s">
        <v>548</v>
      </c>
      <c r="J5" s="126">
        <v>2.3</v>
      </c>
      <c r="K5" s="126">
        <v>22.1</v>
      </c>
      <c r="L5" s="129">
        <v>7.5</v>
      </c>
      <c r="M5" s="127">
        <v>10.2</v>
      </c>
      <c r="N5" s="129">
        <v>1.3</v>
      </c>
      <c r="O5" s="129">
        <v>0.6</v>
      </c>
      <c r="P5" s="128">
        <v>4.4</v>
      </c>
      <c r="Q5" s="127">
        <v>10.84</v>
      </c>
    </row>
    <row r="6">
      <c r="A6" s="123">
        <v>5.0</v>
      </c>
      <c r="B6" s="123">
        <v>2.2</v>
      </c>
      <c r="C6" s="124" t="s">
        <v>52</v>
      </c>
      <c r="D6" s="125" t="s">
        <v>549</v>
      </c>
      <c r="E6" s="123" t="s">
        <v>550</v>
      </c>
      <c r="F6" s="123">
        <v>68.0</v>
      </c>
      <c r="G6" s="123">
        <v>32.8</v>
      </c>
      <c r="H6" s="126" t="s">
        <v>551</v>
      </c>
      <c r="I6" s="123" t="s">
        <v>552</v>
      </c>
      <c r="J6" s="126">
        <v>1.1</v>
      </c>
      <c r="K6" s="126">
        <v>30.3</v>
      </c>
      <c r="L6" s="129">
        <v>11.8</v>
      </c>
      <c r="M6" s="126">
        <v>5.9</v>
      </c>
      <c r="N6" s="123">
        <v>1.1</v>
      </c>
      <c r="O6" s="127">
        <v>1.4</v>
      </c>
      <c r="P6" s="129">
        <v>3.4</v>
      </c>
      <c r="Q6" s="128">
        <v>9.96</v>
      </c>
    </row>
    <row r="7">
      <c r="A7" s="123">
        <v>6.0</v>
      </c>
      <c r="B7" s="123">
        <v>9.6</v>
      </c>
      <c r="C7" s="124" t="s">
        <v>53</v>
      </c>
      <c r="D7" s="123" t="s">
        <v>553</v>
      </c>
      <c r="E7" s="123" t="s">
        <v>554</v>
      </c>
      <c r="F7" s="123">
        <v>68.0</v>
      </c>
      <c r="G7" s="123">
        <v>33.4</v>
      </c>
      <c r="H7" s="127" t="s">
        <v>555</v>
      </c>
      <c r="I7" s="128" t="s">
        <v>556</v>
      </c>
      <c r="J7" s="126">
        <v>2.7</v>
      </c>
      <c r="K7" s="126">
        <v>27.6</v>
      </c>
      <c r="L7" s="126">
        <v>7.5</v>
      </c>
      <c r="M7" s="127">
        <v>6.1</v>
      </c>
      <c r="N7" s="128">
        <v>1.2</v>
      </c>
      <c r="O7" s="127">
        <v>1.0</v>
      </c>
      <c r="P7" s="123">
        <v>3.2</v>
      </c>
      <c r="Q7" s="128">
        <v>9.7</v>
      </c>
    </row>
    <row r="8">
      <c r="A8" s="123">
        <v>7.0</v>
      </c>
      <c r="B8" s="123">
        <v>4.5</v>
      </c>
      <c r="C8" s="124" t="s">
        <v>127</v>
      </c>
      <c r="D8" s="125" t="s">
        <v>33</v>
      </c>
      <c r="E8" s="123" t="s">
        <v>557</v>
      </c>
      <c r="F8" s="123">
        <v>64.0</v>
      </c>
      <c r="G8" s="123">
        <v>34.4</v>
      </c>
      <c r="H8" s="127" t="s">
        <v>558</v>
      </c>
      <c r="I8" s="129" t="s">
        <v>559</v>
      </c>
      <c r="J8" s="126">
        <v>4.6</v>
      </c>
      <c r="K8" s="127">
        <v>25.1</v>
      </c>
      <c r="L8" s="128">
        <v>5.3</v>
      </c>
      <c r="M8" s="127">
        <v>6.4</v>
      </c>
      <c r="N8" s="127">
        <v>1.2</v>
      </c>
      <c r="O8" s="123">
        <v>0.4</v>
      </c>
      <c r="P8" s="123">
        <v>3.3</v>
      </c>
      <c r="Q8" s="127">
        <v>9.67</v>
      </c>
    </row>
    <row r="9">
      <c r="A9" s="123">
        <v>8.0</v>
      </c>
      <c r="B9" s="123">
        <v>13.6</v>
      </c>
      <c r="C9" s="124" t="s">
        <v>171</v>
      </c>
      <c r="D9" s="123" t="s">
        <v>37</v>
      </c>
      <c r="E9" s="123" t="s">
        <v>530</v>
      </c>
      <c r="F9" s="123">
        <v>74.0</v>
      </c>
      <c r="G9" s="123">
        <v>33.5</v>
      </c>
      <c r="H9" s="127" t="s">
        <v>560</v>
      </c>
      <c r="I9" s="129" t="s">
        <v>561</v>
      </c>
      <c r="J9" s="126">
        <v>2.2</v>
      </c>
      <c r="K9" s="127">
        <v>23.4</v>
      </c>
      <c r="L9" s="129">
        <v>8.7</v>
      </c>
      <c r="M9" s="127">
        <v>3.7</v>
      </c>
      <c r="N9" s="127">
        <v>1.0</v>
      </c>
      <c r="O9" s="129">
        <v>1.0</v>
      </c>
      <c r="P9" s="123">
        <v>3.2</v>
      </c>
      <c r="Q9" s="127">
        <v>8.78</v>
      </c>
    </row>
    <row r="10">
      <c r="A10" s="123">
        <v>9.0</v>
      </c>
      <c r="B10" s="123">
        <v>30.2</v>
      </c>
      <c r="C10" s="124" t="s">
        <v>106</v>
      </c>
      <c r="D10" s="125" t="s">
        <v>562</v>
      </c>
      <c r="E10" s="123" t="s">
        <v>540</v>
      </c>
      <c r="F10" s="123">
        <v>59.0</v>
      </c>
      <c r="G10" s="123">
        <v>36.4</v>
      </c>
      <c r="H10" s="127" t="s">
        <v>563</v>
      </c>
      <c r="I10" s="126" t="s">
        <v>564</v>
      </c>
      <c r="J10" s="126">
        <v>3.1</v>
      </c>
      <c r="K10" s="130">
        <v>26.6</v>
      </c>
      <c r="L10" s="128">
        <v>4.0</v>
      </c>
      <c r="M10" s="127">
        <v>5.2</v>
      </c>
      <c r="N10" s="126">
        <v>1.2</v>
      </c>
      <c r="O10" s="127">
        <v>0.6</v>
      </c>
      <c r="P10" s="129">
        <v>2.5</v>
      </c>
      <c r="Q10" s="127">
        <v>8.66</v>
      </c>
    </row>
    <row r="11">
      <c r="A11" s="123">
        <v>10.0</v>
      </c>
      <c r="B11" s="123">
        <v>3.5</v>
      </c>
      <c r="C11" s="124" t="s">
        <v>85</v>
      </c>
      <c r="D11" s="123" t="s">
        <v>562</v>
      </c>
      <c r="E11" s="123" t="s">
        <v>565</v>
      </c>
      <c r="F11" s="123">
        <v>69.0</v>
      </c>
      <c r="G11" s="123">
        <v>35.4</v>
      </c>
      <c r="H11" s="127" t="s">
        <v>566</v>
      </c>
      <c r="I11" s="123" t="s">
        <v>567</v>
      </c>
      <c r="J11" s="127">
        <v>3.2</v>
      </c>
      <c r="K11" s="127">
        <v>30.2</v>
      </c>
      <c r="L11" s="129">
        <v>9.4</v>
      </c>
      <c r="M11" s="127">
        <v>8.9</v>
      </c>
      <c r="N11" s="129">
        <v>1.2</v>
      </c>
      <c r="O11" s="129">
        <v>0.6</v>
      </c>
      <c r="P11" s="129">
        <v>4.6</v>
      </c>
      <c r="Q11" s="123">
        <v>8.57</v>
      </c>
    </row>
    <row r="12">
      <c r="A12" s="123">
        <v>11.0</v>
      </c>
      <c r="B12" s="123">
        <v>11.6</v>
      </c>
      <c r="C12" s="124" t="s">
        <v>160</v>
      </c>
      <c r="D12" s="125" t="s">
        <v>33</v>
      </c>
      <c r="E12" s="123" t="s">
        <v>568</v>
      </c>
      <c r="F12" s="123">
        <v>76.0</v>
      </c>
      <c r="G12" s="123">
        <v>34.2</v>
      </c>
      <c r="H12" s="127" t="s">
        <v>569</v>
      </c>
      <c r="I12" s="129" t="s">
        <v>570</v>
      </c>
      <c r="J12" s="126">
        <v>3.0</v>
      </c>
      <c r="K12" s="130">
        <v>27.4</v>
      </c>
      <c r="L12" s="129">
        <v>3.7</v>
      </c>
      <c r="M12" s="127">
        <v>8.7</v>
      </c>
      <c r="N12" s="129">
        <v>0.9</v>
      </c>
      <c r="O12" s="126">
        <v>0.1</v>
      </c>
      <c r="P12" s="123">
        <v>3.9</v>
      </c>
      <c r="Q12" s="123">
        <v>8.5</v>
      </c>
    </row>
    <row r="13">
      <c r="A13" s="123">
        <v>12.0</v>
      </c>
      <c r="B13" s="123">
        <v>15.5</v>
      </c>
      <c r="C13" s="124" t="s">
        <v>149</v>
      </c>
      <c r="D13" s="123" t="s">
        <v>33</v>
      </c>
      <c r="E13" s="123" t="s">
        <v>571</v>
      </c>
      <c r="F13" s="123">
        <v>76.0</v>
      </c>
      <c r="G13" s="123">
        <v>33.4</v>
      </c>
      <c r="H13" s="129" t="s">
        <v>572</v>
      </c>
      <c r="I13" s="128" t="s">
        <v>573</v>
      </c>
      <c r="J13" s="126">
        <v>3.1</v>
      </c>
      <c r="K13" s="126">
        <v>21.3</v>
      </c>
      <c r="L13" s="129">
        <v>6.9</v>
      </c>
      <c r="M13" s="127">
        <v>8.2</v>
      </c>
      <c r="N13" s="128">
        <v>1.6</v>
      </c>
      <c r="O13" s="126">
        <v>0.4</v>
      </c>
      <c r="P13" s="123">
        <v>3.5</v>
      </c>
      <c r="Q13" s="128">
        <v>8.24</v>
      </c>
    </row>
    <row r="14">
      <c r="A14" s="123">
        <v>13.0</v>
      </c>
      <c r="B14" s="123">
        <v>12.1</v>
      </c>
      <c r="C14" s="124" t="s">
        <v>183</v>
      </c>
      <c r="D14" s="123" t="s">
        <v>33</v>
      </c>
      <c r="E14" s="123" t="s">
        <v>574</v>
      </c>
      <c r="F14" s="123">
        <v>68.0</v>
      </c>
      <c r="G14" s="123">
        <v>36.5</v>
      </c>
      <c r="H14" s="126" t="s">
        <v>575</v>
      </c>
      <c r="I14" s="126" t="s">
        <v>576</v>
      </c>
      <c r="J14" s="126">
        <v>3.5</v>
      </c>
      <c r="K14" s="130">
        <v>25.5</v>
      </c>
      <c r="L14" s="130">
        <v>4.2</v>
      </c>
      <c r="M14" s="127">
        <v>7.5</v>
      </c>
      <c r="N14" s="129">
        <v>0.9</v>
      </c>
      <c r="O14" s="129">
        <v>0.3</v>
      </c>
      <c r="P14" s="123">
        <v>3.0</v>
      </c>
      <c r="Q14" s="123">
        <v>8.22</v>
      </c>
    </row>
    <row r="15">
      <c r="A15" s="123">
        <v>14.0</v>
      </c>
      <c r="B15" s="123">
        <v>6.8</v>
      </c>
      <c r="C15" s="124" t="s">
        <v>138</v>
      </c>
      <c r="D15" s="123" t="s">
        <v>539</v>
      </c>
      <c r="E15" s="123" t="s">
        <v>577</v>
      </c>
      <c r="F15" s="123">
        <v>74.0</v>
      </c>
      <c r="G15" s="123">
        <v>36.0</v>
      </c>
      <c r="H15" s="127" t="s">
        <v>578</v>
      </c>
      <c r="I15" s="129" t="s">
        <v>579</v>
      </c>
      <c r="J15" s="127">
        <v>3.1</v>
      </c>
      <c r="K15" s="123">
        <v>27.5</v>
      </c>
      <c r="L15" s="128">
        <v>8.2</v>
      </c>
      <c r="M15" s="127">
        <v>4.6</v>
      </c>
      <c r="N15" s="127">
        <v>1.0</v>
      </c>
      <c r="O15" s="128">
        <v>0.6</v>
      </c>
      <c r="P15" s="129">
        <v>3.0</v>
      </c>
      <c r="Q15" s="126">
        <v>8.2</v>
      </c>
    </row>
    <row r="16">
      <c r="A16" s="123">
        <v>15.0</v>
      </c>
      <c r="B16" s="123">
        <v>24.9</v>
      </c>
      <c r="C16" s="124" t="s">
        <v>86</v>
      </c>
      <c r="D16" s="125" t="s">
        <v>549</v>
      </c>
      <c r="E16" s="123" t="s">
        <v>554</v>
      </c>
      <c r="F16" s="123">
        <v>64.0</v>
      </c>
      <c r="G16" s="123">
        <v>35.1</v>
      </c>
      <c r="H16" s="129" t="s">
        <v>580</v>
      </c>
      <c r="I16" s="129" t="s">
        <v>581</v>
      </c>
      <c r="J16" s="126">
        <v>0.3</v>
      </c>
      <c r="K16" s="126">
        <v>23.8</v>
      </c>
      <c r="L16" s="130">
        <v>10.1</v>
      </c>
      <c r="M16" s="129">
        <v>3.2</v>
      </c>
      <c r="N16" s="123">
        <v>1.2</v>
      </c>
      <c r="O16" s="129">
        <v>2.0</v>
      </c>
      <c r="P16" s="127">
        <v>2.1</v>
      </c>
      <c r="Q16" s="128">
        <v>8.17</v>
      </c>
    </row>
    <row r="17">
      <c r="A17" s="123">
        <v>16.0</v>
      </c>
      <c r="B17" s="123">
        <v>41.5</v>
      </c>
      <c r="C17" s="124" t="s">
        <v>41</v>
      </c>
      <c r="D17" s="123" t="s">
        <v>562</v>
      </c>
      <c r="E17" s="123" t="s">
        <v>582</v>
      </c>
      <c r="F17" s="123">
        <v>75.0</v>
      </c>
      <c r="G17" s="123">
        <v>34.7</v>
      </c>
      <c r="H17" s="129" t="s">
        <v>583</v>
      </c>
      <c r="I17" s="127" t="s">
        <v>584</v>
      </c>
      <c r="J17" s="126">
        <v>2.2</v>
      </c>
      <c r="K17" s="129">
        <v>18.7</v>
      </c>
      <c r="L17" s="123">
        <v>4.1</v>
      </c>
      <c r="M17" s="127">
        <v>9.0</v>
      </c>
      <c r="N17" s="123">
        <v>1.6</v>
      </c>
      <c r="O17" s="127">
        <v>0.6</v>
      </c>
      <c r="P17" s="123">
        <v>2.6</v>
      </c>
      <c r="Q17" s="123">
        <v>8.11</v>
      </c>
    </row>
    <row r="18">
      <c r="A18" s="123">
        <v>17.0</v>
      </c>
      <c r="B18" s="123">
        <v>32.7</v>
      </c>
      <c r="C18" s="124" t="s">
        <v>184</v>
      </c>
      <c r="D18" s="123" t="s">
        <v>539</v>
      </c>
      <c r="E18" s="123" t="s">
        <v>585</v>
      </c>
      <c r="F18" s="123">
        <v>60.0</v>
      </c>
      <c r="G18" s="123">
        <v>32.0</v>
      </c>
      <c r="H18" s="127" t="s">
        <v>586</v>
      </c>
      <c r="I18" s="129" t="s">
        <v>587</v>
      </c>
      <c r="J18" s="129">
        <v>1.7</v>
      </c>
      <c r="K18" s="127">
        <v>23.5</v>
      </c>
      <c r="L18" s="129">
        <v>6.0</v>
      </c>
      <c r="M18" s="127">
        <v>4.4</v>
      </c>
      <c r="N18" s="128">
        <v>1.4</v>
      </c>
      <c r="O18" s="129">
        <v>0.4</v>
      </c>
      <c r="P18" s="129">
        <v>1.9</v>
      </c>
      <c r="Q18" s="123">
        <v>7.85</v>
      </c>
    </row>
    <row r="19">
      <c r="A19" s="123">
        <v>18.0</v>
      </c>
      <c r="B19" s="123">
        <v>17.9</v>
      </c>
      <c r="C19" s="124" t="s">
        <v>139</v>
      </c>
      <c r="D19" s="123" t="s">
        <v>546</v>
      </c>
      <c r="E19" s="123" t="s">
        <v>588</v>
      </c>
      <c r="F19" s="123">
        <v>70.0</v>
      </c>
      <c r="G19" s="123">
        <v>34.5</v>
      </c>
      <c r="H19" s="127" t="s">
        <v>589</v>
      </c>
      <c r="I19" s="128" t="s">
        <v>590</v>
      </c>
      <c r="J19" s="127">
        <v>2.8</v>
      </c>
      <c r="K19" s="129">
        <v>27.2</v>
      </c>
      <c r="L19" s="127">
        <v>5.2</v>
      </c>
      <c r="M19" s="127">
        <v>4.9</v>
      </c>
      <c r="N19" s="123">
        <v>1.1</v>
      </c>
      <c r="O19" s="129">
        <v>0.4</v>
      </c>
      <c r="P19" s="123">
        <v>2.5</v>
      </c>
      <c r="Q19" s="128">
        <v>7.5</v>
      </c>
    </row>
    <row r="20">
      <c r="A20" s="123">
        <v>19.0</v>
      </c>
      <c r="B20" s="123">
        <v>15.9</v>
      </c>
      <c r="C20" s="124" t="s">
        <v>63</v>
      </c>
      <c r="D20" s="125" t="s">
        <v>562</v>
      </c>
      <c r="E20" s="123" t="s">
        <v>585</v>
      </c>
      <c r="F20" s="123">
        <v>68.0</v>
      </c>
      <c r="G20" s="123">
        <v>34.1</v>
      </c>
      <c r="H20" s="127" t="s">
        <v>591</v>
      </c>
      <c r="I20" s="129" t="s">
        <v>592</v>
      </c>
      <c r="J20" s="127">
        <v>2.9</v>
      </c>
      <c r="K20" s="129">
        <v>23.5</v>
      </c>
      <c r="L20" s="127">
        <v>6.9</v>
      </c>
      <c r="M20" s="127">
        <v>4.7</v>
      </c>
      <c r="N20" s="123">
        <v>1.6</v>
      </c>
      <c r="O20" s="129">
        <v>0.4</v>
      </c>
      <c r="P20" s="128">
        <v>4.1</v>
      </c>
      <c r="Q20" s="123">
        <v>7.42</v>
      </c>
    </row>
    <row r="21">
      <c r="A21" s="123">
        <v>20.0</v>
      </c>
      <c r="B21" s="123">
        <v>18.1</v>
      </c>
      <c r="C21" s="124" t="s">
        <v>118</v>
      </c>
      <c r="D21" s="123" t="s">
        <v>562</v>
      </c>
      <c r="E21" s="123" t="s">
        <v>593</v>
      </c>
      <c r="F21" s="123">
        <v>58.0</v>
      </c>
      <c r="G21" s="123">
        <v>33.9</v>
      </c>
      <c r="H21" s="129" t="s">
        <v>594</v>
      </c>
      <c r="I21" s="126" t="s">
        <v>595</v>
      </c>
      <c r="J21" s="127">
        <v>0.5</v>
      </c>
      <c r="K21" s="123">
        <v>21.3</v>
      </c>
      <c r="L21" s="130">
        <v>6.0</v>
      </c>
      <c r="M21" s="129">
        <v>5.3</v>
      </c>
      <c r="N21" s="127">
        <v>1.6</v>
      </c>
      <c r="O21" s="129">
        <v>0.5</v>
      </c>
      <c r="P21" s="129">
        <v>2.1</v>
      </c>
      <c r="Q21" s="129">
        <v>7.17</v>
      </c>
    </row>
    <row r="22">
      <c r="A22" s="123">
        <v>21.0</v>
      </c>
      <c r="B22" s="123">
        <v>55.9</v>
      </c>
      <c r="C22" s="124" t="s">
        <v>55</v>
      </c>
      <c r="D22" s="123" t="s">
        <v>35</v>
      </c>
      <c r="E22" s="123" t="s">
        <v>550</v>
      </c>
      <c r="F22" s="123">
        <v>68.0</v>
      </c>
      <c r="G22" s="123">
        <v>32.4</v>
      </c>
      <c r="H22" s="127" t="s">
        <v>596</v>
      </c>
      <c r="I22" s="127" t="s">
        <v>597</v>
      </c>
      <c r="J22" s="129">
        <v>2.5</v>
      </c>
      <c r="K22" s="130">
        <v>20.7</v>
      </c>
      <c r="L22" s="129">
        <v>5.5</v>
      </c>
      <c r="M22" s="127">
        <v>5.5</v>
      </c>
      <c r="N22" s="129">
        <v>1.2</v>
      </c>
      <c r="O22" s="127">
        <v>0.3</v>
      </c>
      <c r="P22" s="129">
        <v>3.0</v>
      </c>
      <c r="Q22" s="123">
        <v>6.65</v>
      </c>
    </row>
    <row r="23">
      <c r="A23" s="123">
        <v>22.0</v>
      </c>
      <c r="B23" s="123">
        <v>52.5</v>
      </c>
      <c r="C23" s="124" t="s">
        <v>151</v>
      </c>
      <c r="D23" s="123" t="s">
        <v>549</v>
      </c>
      <c r="E23" s="123" t="s">
        <v>598</v>
      </c>
      <c r="F23" s="123">
        <v>60.0</v>
      </c>
      <c r="G23" s="123">
        <v>29.4</v>
      </c>
      <c r="H23" s="127" t="s">
        <v>599</v>
      </c>
      <c r="I23" s="129" t="s">
        <v>600</v>
      </c>
      <c r="J23" s="127">
        <v>1.6</v>
      </c>
      <c r="K23" s="127">
        <v>20.6</v>
      </c>
      <c r="L23" s="123">
        <v>8.1</v>
      </c>
      <c r="M23" s="127">
        <v>1.8</v>
      </c>
      <c r="N23" s="123">
        <v>0.7</v>
      </c>
      <c r="O23" s="129">
        <v>1.5</v>
      </c>
      <c r="P23" s="123">
        <v>1.7</v>
      </c>
      <c r="Q23" s="128">
        <v>6.4</v>
      </c>
    </row>
    <row r="24">
      <c r="A24" s="123">
        <v>23.0</v>
      </c>
      <c r="B24" s="123">
        <v>31.6</v>
      </c>
      <c r="C24" s="124" t="s">
        <v>117</v>
      </c>
      <c r="D24" s="125" t="s">
        <v>549</v>
      </c>
      <c r="E24" s="123" t="s">
        <v>593</v>
      </c>
      <c r="F24" s="123">
        <v>72.0</v>
      </c>
      <c r="G24" s="123">
        <v>33.6</v>
      </c>
      <c r="H24" s="129" t="s">
        <v>601</v>
      </c>
      <c r="I24" s="127" t="s">
        <v>602</v>
      </c>
      <c r="J24" s="129">
        <v>0.0</v>
      </c>
      <c r="K24" s="128">
        <v>19.9</v>
      </c>
      <c r="L24" s="128">
        <v>10.5</v>
      </c>
      <c r="M24" s="129">
        <v>3.7</v>
      </c>
      <c r="N24" s="126">
        <v>1.3</v>
      </c>
      <c r="O24" s="127">
        <v>1.0</v>
      </c>
      <c r="P24" s="129">
        <v>2.7</v>
      </c>
      <c r="Q24" s="123">
        <v>6.39</v>
      </c>
    </row>
    <row r="25">
      <c r="A25" s="123">
        <v>24.0</v>
      </c>
      <c r="B25" s="123">
        <v>22.1</v>
      </c>
      <c r="C25" s="124" t="s">
        <v>141</v>
      </c>
      <c r="D25" s="123" t="s">
        <v>603</v>
      </c>
      <c r="E25" s="123" t="s">
        <v>604</v>
      </c>
      <c r="F25" s="123">
        <v>77.0</v>
      </c>
      <c r="G25" s="123">
        <v>35.7</v>
      </c>
      <c r="H25" s="127" t="s">
        <v>605</v>
      </c>
      <c r="I25" s="123" t="s">
        <v>606</v>
      </c>
      <c r="J25" s="127">
        <v>0.7</v>
      </c>
      <c r="K25" s="127">
        <v>26.1</v>
      </c>
      <c r="L25" s="129">
        <v>5.1</v>
      </c>
      <c r="M25" s="127">
        <v>4.9</v>
      </c>
      <c r="N25" s="123">
        <v>0.9</v>
      </c>
      <c r="O25" s="129">
        <v>0.3</v>
      </c>
      <c r="P25" s="128">
        <v>2.4</v>
      </c>
      <c r="Q25" s="123">
        <v>6.25</v>
      </c>
    </row>
    <row r="26">
      <c r="A26" s="123">
        <v>25.0</v>
      </c>
      <c r="B26" s="123">
        <v>36.0</v>
      </c>
      <c r="C26" s="124" t="s">
        <v>129</v>
      </c>
      <c r="D26" s="123" t="s">
        <v>33</v>
      </c>
      <c r="E26" s="123" t="s">
        <v>588</v>
      </c>
      <c r="F26" s="123">
        <v>65.0</v>
      </c>
      <c r="G26" s="123">
        <v>31.4</v>
      </c>
      <c r="H26" s="127" t="s">
        <v>607</v>
      </c>
      <c r="I26" s="123" t="s">
        <v>608</v>
      </c>
      <c r="J26" s="127">
        <v>1.0</v>
      </c>
      <c r="K26" s="130">
        <v>14.4</v>
      </c>
      <c r="L26" s="123">
        <v>4.2</v>
      </c>
      <c r="M26" s="127">
        <v>10.5</v>
      </c>
      <c r="N26" s="128">
        <v>1.6</v>
      </c>
      <c r="O26" s="127">
        <v>0.3</v>
      </c>
      <c r="P26" s="127">
        <v>2.3</v>
      </c>
      <c r="Q26" s="123">
        <v>6.16</v>
      </c>
    </row>
    <row r="27">
      <c r="A27" s="123">
        <v>26.0</v>
      </c>
      <c r="B27" s="123">
        <v>22.8</v>
      </c>
      <c r="C27" s="124" t="s">
        <v>172</v>
      </c>
      <c r="D27" s="123" t="s">
        <v>549</v>
      </c>
      <c r="E27" s="123" t="s">
        <v>609</v>
      </c>
      <c r="F27" s="123">
        <v>69.0</v>
      </c>
      <c r="G27" s="123">
        <v>34.5</v>
      </c>
      <c r="H27" s="129" t="s">
        <v>610</v>
      </c>
      <c r="I27" s="130" t="s">
        <v>611</v>
      </c>
      <c r="J27" s="129">
        <v>0.6</v>
      </c>
      <c r="K27" s="127">
        <v>19.1</v>
      </c>
      <c r="L27" s="127">
        <v>11.8</v>
      </c>
      <c r="M27" s="129">
        <v>5.5</v>
      </c>
      <c r="N27" s="128">
        <v>1.0</v>
      </c>
      <c r="O27" s="127">
        <v>0.5</v>
      </c>
      <c r="P27" s="127">
        <v>3.2</v>
      </c>
      <c r="Q27" s="123">
        <v>6.09</v>
      </c>
    </row>
    <row r="28">
      <c r="A28" s="123">
        <v>27.0</v>
      </c>
      <c r="B28" s="123">
        <v>23.4</v>
      </c>
      <c r="C28" s="124" t="s">
        <v>152</v>
      </c>
      <c r="D28" s="125" t="s">
        <v>546</v>
      </c>
      <c r="E28" s="123" t="s">
        <v>612</v>
      </c>
      <c r="F28" s="123">
        <v>64.0</v>
      </c>
      <c r="G28" s="123">
        <v>34.7</v>
      </c>
      <c r="H28" s="129" t="s">
        <v>613</v>
      </c>
      <c r="I28" s="123" t="s">
        <v>614</v>
      </c>
      <c r="J28" s="127">
        <v>1.6</v>
      </c>
      <c r="K28" s="129">
        <v>24.9</v>
      </c>
      <c r="L28" s="123">
        <v>5.1</v>
      </c>
      <c r="M28" s="129">
        <v>5.7</v>
      </c>
      <c r="N28" s="127">
        <v>1.2</v>
      </c>
      <c r="O28" s="129">
        <v>0.8</v>
      </c>
      <c r="P28" s="123">
        <v>2.9</v>
      </c>
      <c r="Q28" s="128">
        <v>6.03</v>
      </c>
    </row>
    <row r="29">
      <c r="A29" s="123">
        <v>28.0</v>
      </c>
      <c r="B29" s="123">
        <v>42.2</v>
      </c>
      <c r="C29" s="124" t="s">
        <v>128</v>
      </c>
      <c r="D29" s="123" t="s">
        <v>546</v>
      </c>
      <c r="E29" s="123" t="s">
        <v>615</v>
      </c>
      <c r="F29" s="123">
        <v>65.0</v>
      </c>
      <c r="G29" s="123">
        <v>36.7</v>
      </c>
      <c r="H29" s="127" t="s">
        <v>616</v>
      </c>
      <c r="I29" s="123" t="s">
        <v>617</v>
      </c>
      <c r="J29" s="123">
        <v>3.6</v>
      </c>
      <c r="K29" s="129">
        <v>20.0</v>
      </c>
      <c r="L29" s="123">
        <v>4.4</v>
      </c>
      <c r="M29" s="129">
        <v>6.6</v>
      </c>
      <c r="N29" s="126">
        <v>1.5</v>
      </c>
      <c r="O29" s="123">
        <v>0.5</v>
      </c>
      <c r="P29" s="123">
        <v>2.6</v>
      </c>
      <c r="Q29" s="129">
        <v>6.0</v>
      </c>
    </row>
    <row r="30">
      <c r="A30" s="123">
        <v>29.0</v>
      </c>
      <c r="B30" s="123">
        <v>60.1</v>
      </c>
      <c r="C30" s="124" t="s">
        <v>78</v>
      </c>
      <c r="D30" s="125" t="s">
        <v>549</v>
      </c>
      <c r="E30" s="123" t="s">
        <v>577</v>
      </c>
      <c r="F30" s="123">
        <v>50.0</v>
      </c>
      <c r="G30" s="123">
        <v>28.4</v>
      </c>
      <c r="H30" s="123" t="s">
        <v>618</v>
      </c>
      <c r="I30" s="123" t="s">
        <v>619</v>
      </c>
      <c r="J30" s="127">
        <v>0.0</v>
      </c>
      <c r="K30" s="129">
        <v>9.8</v>
      </c>
      <c r="L30" s="123">
        <v>9.3</v>
      </c>
      <c r="M30" s="129">
        <v>1.9</v>
      </c>
      <c r="N30" s="129">
        <v>0.8</v>
      </c>
      <c r="O30" s="128">
        <v>2.1</v>
      </c>
      <c r="P30" s="129">
        <v>1.0</v>
      </c>
      <c r="Q30" s="126">
        <v>5.84</v>
      </c>
    </row>
    <row r="31">
      <c r="A31" s="123">
        <v>30.0</v>
      </c>
      <c r="B31" s="123">
        <v>33.8</v>
      </c>
      <c r="C31" s="124" t="s">
        <v>140</v>
      </c>
      <c r="D31" s="125" t="s">
        <v>562</v>
      </c>
      <c r="E31" s="123" t="s">
        <v>620</v>
      </c>
      <c r="F31" s="123">
        <v>72.0</v>
      </c>
      <c r="G31" s="123">
        <v>35.2</v>
      </c>
      <c r="H31" s="129" t="s">
        <v>621</v>
      </c>
      <c r="I31" s="128" t="s">
        <v>622</v>
      </c>
      <c r="J31" s="129">
        <v>2.4</v>
      </c>
      <c r="K31" s="123">
        <v>20.7</v>
      </c>
      <c r="L31" s="123">
        <v>3.1</v>
      </c>
      <c r="M31" s="129">
        <v>8.0</v>
      </c>
      <c r="N31" s="129">
        <v>1.3</v>
      </c>
      <c r="O31" s="127">
        <v>0.1</v>
      </c>
      <c r="P31" s="126">
        <v>3.4</v>
      </c>
      <c r="Q31" s="123">
        <v>5.77</v>
      </c>
    </row>
    <row r="32">
      <c r="A32" s="123">
        <v>31.0</v>
      </c>
      <c r="B32" s="123">
        <v>38.3</v>
      </c>
      <c r="C32" s="124" t="s">
        <v>54</v>
      </c>
      <c r="D32" s="123" t="s">
        <v>562</v>
      </c>
      <c r="E32" s="123" t="s">
        <v>550</v>
      </c>
      <c r="F32" s="123">
        <v>67.0</v>
      </c>
      <c r="G32" s="123">
        <v>32.9</v>
      </c>
      <c r="H32" s="129" t="s">
        <v>623</v>
      </c>
      <c r="I32" s="129" t="s">
        <v>624</v>
      </c>
      <c r="J32" s="129">
        <v>2.0</v>
      </c>
      <c r="K32" s="129">
        <v>18.2</v>
      </c>
      <c r="L32" s="128">
        <v>4.6</v>
      </c>
      <c r="M32" s="129">
        <v>6.9</v>
      </c>
      <c r="N32" s="129">
        <v>1.6</v>
      </c>
      <c r="O32" s="123">
        <v>0.4</v>
      </c>
      <c r="P32" s="123">
        <v>2.8</v>
      </c>
      <c r="Q32" s="129">
        <v>5.66</v>
      </c>
    </row>
    <row r="33">
      <c r="A33" s="123">
        <v>32.0</v>
      </c>
      <c r="B33" s="123">
        <v>73.5</v>
      </c>
      <c r="C33" s="124" t="s">
        <v>119</v>
      </c>
      <c r="D33" s="123" t="s">
        <v>549</v>
      </c>
      <c r="E33" s="123" t="s">
        <v>582</v>
      </c>
      <c r="F33" s="123">
        <v>68.0</v>
      </c>
      <c r="G33" s="123">
        <v>30.3</v>
      </c>
      <c r="H33" s="129" t="s">
        <v>625</v>
      </c>
      <c r="I33" s="128" t="s">
        <v>626</v>
      </c>
      <c r="J33" s="129">
        <v>1.6</v>
      </c>
      <c r="K33" s="129">
        <v>13.5</v>
      </c>
      <c r="L33" s="129">
        <v>7.7</v>
      </c>
      <c r="M33" s="129">
        <v>1.0</v>
      </c>
      <c r="N33" s="127">
        <v>0.7</v>
      </c>
      <c r="O33" s="128">
        <v>2.7</v>
      </c>
      <c r="P33" s="128">
        <v>1.4</v>
      </c>
      <c r="Q33" s="127">
        <v>5.64</v>
      </c>
    </row>
    <row r="34">
      <c r="A34" s="123">
        <v>33.0</v>
      </c>
      <c r="B34" s="123">
        <v>23.4</v>
      </c>
      <c r="C34" s="124" t="s">
        <v>42</v>
      </c>
      <c r="D34" s="123" t="s">
        <v>546</v>
      </c>
      <c r="E34" s="123" t="s">
        <v>620</v>
      </c>
      <c r="F34" s="123">
        <v>70.0</v>
      </c>
      <c r="G34" s="123">
        <v>33.9</v>
      </c>
      <c r="H34" s="129" t="s">
        <v>627</v>
      </c>
      <c r="I34" s="127" t="s">
        <v>628</v>
      </c>
      <c r="J34" s="123">
        <v>3.3</v>
      </c>
      <c r="K34" s="123">
        <v>24.2</v>
      </c>
      <c r="L34" s="127">
        <v>3.9</v>
      </c>
      <c r="M34" s="129">
        <v>5.0</v>
      </c>
      <c r="N34" s="129">
        <v>1.4</v>
      </c>
      <c r="O34" s="128">
        <v>0.2</v>
      </c>
      <c r="P34" s="128">
        <v>2.8</v>
      </c>
      <c r="Q34" s="129">
        <v>5.54</v>
      </c>
    </row>
    <row r="35">
      <c r="A35" s="123">
        <v>34.0</v>
      </c>
      <c r="B35" s="123">
        <v>28.2</v>
      </c>
      <c r="C35" s="124" t="s">
        <v>161</v>
      </c>
      <c r="D35" s="125" t="s">
        <v>37</v>
      </c>
      <c r="E35" s="123" t="s">
        <v>530</v>
      </c>
      <c r="F35" s="123">
        <v>71.0</v>
      </c>
      <c r="G35" s="123">
        <v>32.1</v>
      </c>
      <c r="H35" s="129" t="s">
        <v>629</v>
      </c>
      <c r="I35" s="128" t="s">
        <v>630</v>
      </c>
      <c r="J35" s="127">
        <v>0.0</v>
      </c>
      <c r="K35" s="129">
        <v>14.8</v>
      </c>
      <c r="L35" s="128">
        <v>13.0</v>
      </c>
      <c r="M35" s="129">
        <v>1.1</v>
      </c>
      <c r="N35" s="129">
        <v>0.6</v>
      </c>
      <c r="O35" s="129">
        <v>2.0</v>
      </c>
      <c r="P35" s="129">
        <v>1.8</v>
      </c>
      <c r="Q35" s="123">
        <v>5.34</v>
      </c>
    </row>
    <row r="36">
      <c r="A36" s="123">
        <v>35.0</v>
      </c>
      <c r="B36" s="123">
        <v>10.9</v>
      </c>
      <c r="C36" s="124" t="s">
        <v>150</v>
      </c>
      <c r="D36" s="123" t="s">
        <v>33</v>
      </c>
      <c r="E36" s="123" t="s">
        <v>631</v>
      </c>
      <c r="F36" s="123">
        <v>67.0</v>
      </c>
      <c r="G36" s="123">
        <v>33.0</v>
      </c>
      <c r="H36" s="127" t="s">
        <v>632</v>
      </c>
      <c r="I36" s="123" t="s">
        <v>633</v>
      </c>
      <c r="J36" s="127">
        <v>1.6</v>
      </c>
      <c r="K36" s="129">
        <v>28.0</v>
      </c>
      <c r="L36" s="123">
        <v>5.9</v>
      </c>
      <c r="M36" s="127">
        <v>7.1</v>
      </c>
      <c r="N36" s="128">
        <v>1.1</v>
      </c>
      <c r="O36" s="129">
        <v>0.4</v>
      </c>
      <c r="P36" s="129">
        <v>3.5</v>
      </c>
      <c r="Q36" s="128">
        <v>4.97</v>
      </c>
    </row>
    <row r="37">
      <c r="A37" s="123">
        <v>36.0</v>
      </c>
      <c r="B37" s="123">
        <v>53.5</v>
      </c>
      <c r="C37" s="124" t="s">
        <v>108</v>
      </c>
      <c r="D37" s="125" t="s">
        <v>37</v>
      </c>
      <c r="E37" s="123" t="s">
        <v>620</v>
      </c>
      <c r="F37" s="123">
        <v>73.0</v>
      </c>
      <c r="G37" s="123">
        <v>32.3</v>
      </c>
      <c r="H37" s="129" t="s">
        <v>634</v>
      </c>
      <c r="I37" s="123" t="s">
        <v>635</v>
      </c>
      <c r="J37" s="129">
        <v>0.0</v>
      </c>
      <c r="K37" s="127">
        <v>15.9</v>
      </c>
      <c r="L37" s="129">
        <v>10.4</v>
      </c>
      <c r="M37" s="129">
        <v>1.6</v>
      </c>
      <c r="N37" s="123">
        <v>0.8</v>
      </c>
      <c r="O37" s="129">
        <v>1.3</v>
      </c>
      <c r="P37" s="129">
        <v>1.7</v>
      </c>
      <c r="Q37" s="130">
        <v>4.96</v>
      </c>
    </row>
    <row r="38">
      <c r="A38" s="123">
        <v>37.0</v>
      </c>
      <c r="B38" s="123">
        <v>26.9</v>
      </c>
      <c r="C38" s="124" t="s">
        <v>87</v>
      </c>
      <c r="D38" s="123" t="s">
        <v>34</v>
      </c>
      <c r="E38" s="123" t="s">
        <v>598</v>
      </c>
      <c r="F38" s="123">
        <v>68.0</v>
      </c>
      <c r="G38" s="123">
        <v>35.6</v>
      </c>
      <c r="H38" s="123" t="s">
        <v>636</v>
      </c>
      <c r="I38" s="129" t="s">
        <v>637</v>
      </c>
      <c r="J38" s="123">
        <v>2.1</v>
      </c>
      <c r="K38" s="127">
        <v>24.3</v>
      </c>
      <c r="L38" s="123">
        <v>4.8</v>
      </c>
      <c r="M38" s="123">
        <v>5.4</v>
      </c>
      <c r="N38" s="123">
        <v>1.2</v>
      </c>
      <c r="O38" s="126">
        <v>0.4</v>
      </c>
      <c r="P38" s="129">
        <v>3.4</v>
      </c>
      <c r="Q38" s="128">
        <v>4.93</v>
      </c>
    </row>
    <row r="39">
      <c r="A39" s="123">
        <v>38.0</v>
      </c>
      <c r="B39" s="123">
        <v>57.4</v>
      </c>
      <c r="C39" s="124" t="s">
        <v>65</v>
      </c>
      <c r="D39" s="123" t="s">
        <v>37</v>
      </c>
      <c r="E39" s="123" t="s">
        <v>588</v>
      </c>
      <c r="F39" s="123">
        <v>70.0</v>
      </c>
      <c r="G39" s="123">
        <v>30.7</v>
      </c>
      <c r="H39" s="129" t="s">
        <v>638</v>
      </c>
      <c r="I39" s="129" t="s">
        <v>639</v>
      </c>
      <c r="J39" s="123">
        <v>0.1</v>
      </c>
      <c r="K39" s="123">
        <v>18.1</v>
      </c>
      <c r="L39" s="123">
        <v>10.7</v>
      </c>
      <c r="M39" s="129">
        <v>1.5</v>
      </c>
      <c r="N39" s="123">
        <v>0.7</v>
      </c>
      <c r="O39" s="127">
        <v>0.7</v>
      </c>
      <c r="P39" s="127">
        <v>1.7</v>
      </c>
      <c r="Q39" s="123">
        <v>4.85</v>
      </c>
    </row>
    <row r="40">
      <c r="A40" s="123">
        <v>39.0</v>
      </c>
      <c r="B40" s="123">
        <v>42.7</v>
      </c>
      <c r="C40" s="124" t="s">
        <v>163</v>
      </c>
      <c r="D40" s="123" t="s">
        <v>603</v>
      </c>
      <c r="E40" s="123" t="s">
        <v>604</v>
      </c>
      <c r="F40" s="123">
        <v>70.0</v>
      </c>
      <c r="G40" s="123">
        <v>34.2</v>
      </c>
      <c r="H40" s="129" t="s">
        <v>640</v>
      </c>
      <c r="I40" s="126" t="s">
        <v>641</v>
      </c>
      <c r="J40" s="123">
        <v>2.8</v>
      </c>
      <c r="K40" s="123">
        <v>24.6</v>
      </c>
      <c r="L40" s="130">
        <v>4.6</v>
      </c>
      <c r="M40" s="123">
        <v>4.5</v>
      </c>
      <c r="N40" s="127">
        <v>0.6</v>
      </c>
      <c r="O40" s="128">
        <v>0.3</v>
      </c>
      <c r="P40" s="128">
        <v>2.6</v>
      </c>
      <c r="Q40" s="126">
        <v>4.83</v>
      </c>
    </row>
    <row r="41">
      <c r="A41" s="123">
        <v>40.0</v>
      </c>
      <c r="B41" s="123">
        <v>62.4</v>
      </c>
      <c r="C41" s="124" t="s">
        <v>153</v>
      </c>
      <c r="D41" s="123" t="s">
        <v>562</v>
      </c>
      <c r="E41" s="123" t="s">
        <v>571</v>
      </c>
      <c r="F41" s="123">
        <v>73.0</v>
      </c>
      <c r="G41" s="123">
        <v>34.1</v>
      </c>
      <c r="H41" s="129" t="s">
        <v>642</v>
      </c>
      <c r="I41" s="123" t="s">
        <v>643</v>
      </c>
      <c r="J41" s="129">
        <v>3.1</v>
      </c>
      <c r="K41" s="129">
        <v>21.0</v>
      </c>
      <c r="L41" s="123">
        <v>4.4</v>
      </c>
      <c r="M41" s="129">
        <v>4.6</v>
      </c>
      <c r="N41" s="123">
        <v>1.3</v>
      </c>
      <c r="O41" s="129">
        <v>0.3</v>
      </c>
      <c r="P41" s="129">
        <v>1.3</v>
      </c>
      <c r="Q41" s="128">
        <v>4.75</v>
      </c>
    </row>
    <row r="42">
      <c r="A42" s="123">
        <v>41.0</v>
      </c>
      <c r="B42" s="123">
        <v>34.3</v>
      </c>
      <c r="C42" s="124" t="s">
        <v>130</v>
      </c>
      <c r="D42" s="123" t="s">
        <v>37</v>
      </c>
      <c r="E42" s="123" t="s">
        <v>604</v>
      </c>
      <c r="F42" s="123">
        <v>74.0</v>
      </c>
      <c r="G42" s="123">
        <v>31.7</v>
      </c>
      <c r="H42" s="127" t="s">
        <v>644</v>
      </c>
      <c r="I42" s="123" t="s">
        <v>645</v>
      </c>
      <c r="J42" s="123">
        <v>1.4</v>
      </c>
      <c r="K42" s="123">
        <v>17.2</v>
      </c>
      <c r="L42" s="127">
        <v>10.6</v>
      </c>
      <c r="M42" s="129">
        <v>3.1</v>
      </c>
      <c r="N42" s="128">
        <v>1.0</v>
      </c>
      <c r="O42" s="129">
        <v>1.0</v>
      </c>
      <c r="P42" s="123">
        <v>1.9</v>
      </c>
      <c r="Q42" s="128">
        <v>4.54</v>
      </c>
    </row>
    <row r="43">
      <c r="A43" s="123">
        <v>42.0</v>
      </c>
      <c r="B43" s="123">
        <v>86.7</v>
      </c>
      <c r="C43" s="124" t="s">
        <v>120</v>
      </c>
      <c r="D43" s="123" t="s">
        <v>34</v>
      </c>
      <c r="E43" s="123" t="s">
        <v>631</v>
      </c>
      <c r="F43" s="123">
        <v>76.0</v>
      </c>
      <c r="G43" s="123">
        <v>30.1</v>
      </c>
      <c r="H43" s="129" t="s">
        <v>646</v>
      </c>
      <c r="I43" s="123" t="s">
        <v>647</v>
      </c>
      <c r="J43" s="127">
        <v>3.1</v>
      </c>
      <c r="K43" s="128">
        <v>19.0</v>
      </c>
      <c r="L43" s="123">
        <v>4.5</v>
      </c>
      <c r="M43" s="129">
        <v>2.8</v>
      </c>
      <c r="N43" s="123">
        <v>1.2</v>
      </c>
      <c r="O43" s="126">
        <v>0.4</v>
      </c>
      <c r="P43" s="123">
        <v>1.6</v>
      </c>
      <c r="Q43" s="128">
        <v>4.39</v>
      </c>
    </row>
    <row r="44">
      <c r="A44" s="123">
        <v>43.0</v>
      </c>
      <c r="B44" s="123">
        <v>34.3</v>
      </c>
      <c r="C44" s="124" t="s">
        <v>185</v>
      </c>
      <c r="D44" s="123" t="s">
        <v>603</v>
      </c>
      <c r="E44" s="123" t="s">
        <v>530</v>
      </c>
      <c r="F44" s="123">
        <v>72.0</v>
      </c>
      <c r="G44" s="123">
        <v>35.2</v>
      </c>
      <c r="H44" s="129" t="s">
        <v>648</v>
      </c>
      <c r="I44" s="126" t="s">
        <v>649</v>
      </c>
      <c r="J44" s="123">
        <v>3.1</v>
      </c>
      <c r="K44" s="123">
        <v>22.3</v>
      </c>
      <c r="L44" s="130">
        <v>4.0</v>
      </c>
      <c r="M44" s="123">
        <v>4.0</v>
      </c>
      <c r="N44" s="126">
        <v>1.4</v>
      </c>
      <c r="O44" s="128">
        <v>0.6</v>
      </c>
      <c r="P44" s="128">
        <v>2.7</v>
      </c>
      <c r="Q44" s="127">
        <v>4.29</v>
      </c>
    </row>
    <row r="45">
      <c r="A45" s="123">
        <v>44.0</v>
      </c>
      <c r="B45" s="123">
        <v>47.0</v>
      </c>
      <c r="C45" s="124" t="s">
        <v>162</v>
      </c>
      <c r="D45" s="123" t="s">
        <v>562</v>
      </c>
      <c r="E45" s="123" t="s">
        <v>650</v>
      </c>
      <c r="F45" s="123">
        <v>72.0</v>
      </c>
      <c r="G45" s="123">
        <v>33.8</v>
      </c>
      <c r="H45" s="129" t="s">
        <v>651</v>
      </c>
      <c r="I45" s="128" t="s">
        <v>652</v>
      </c>
      <c r="J45" s="127">
        <v>2.0</v>
      </c>
      <c r="K45" s="127">
        <v>19.8</v>
      </c>
      <c r="L45" s="123">
        <v>6.2</v>
      </c>
      <c r="M45" s="129">
        <v>6.3</v>
      </c>
      <c r="N45" s="123">
        <v>1.2</v>
      </c>
      <c r="O45" s="123">
        <v>0.8</v>
      </c>
      <c r="P45" s="128">
        <v>4.2</v>
      </c>
      <c r="Q45" s="129">
        <v>4.27</v>
      </c>
    </row>
    <row r="46">
      <c r="A46" s="123">
        <v>45.0</v>
      </c>
      <c r="B46" s="123">
        <v>25.6</v>
      </c>
      <c r="C46" s="124" t="s">
        <v>64</v>
      </c>
      <c r="D46" s="123" t="s">
        <v>562</v>
      </c>
      <c r="E46" s="123" t="s">
        <v>568</v>
      </c>
      <c r="F46" s="123">
        <v>70.0</v>
      </c>
      <c r="G46" s="123">
        <v>33.8</v>
      </c>
      <c r="H46" s="129" t="s">
        <v>653</v>
      </c>
      <c r="I46" s="129" t="s">
        <v>654</v>
      </c>
      <c r="J46" s="126">
        <v>1.2</v>
      </c>
      <c r="K46" s="126">
        <v>18.4</v>
      </c>
      <c r="L46" s="130">
        <v>5.7</v>
      </c>
      <c r="M46" s="129">
        <v>5.6</v>
      </c>
      <c r="N46" s="128">
        <v>1.8</v>
      </c>
      <c r="O46" s="129">
        <v>0.3</v>
      </c>
      <c r="P46" s="128">
        <v>2.3</v>
      </c>
      <c r="Q46" s="128">
        <v>4.15</v>
      </c>
    </row>
    <row r="47">
      <c r="A47" s="123">
        <v>46.0</v>
      </c>
      <c r="B47" s="123">
        <v>80.3</v>
      </c>
      <c r="C47" s="124" t="s">
        <v>158</v>
      </c>
      <c r="D47" s="123" t="s">
        <v>549</v>
      </c>
      <c r="E47" s="123" t="s">
        <v>631</v>
      </c>
      <c r="F47" s="123">
        <v>44.0</v>
      </c>
      <c r="G47" s="123">
        <v>27.0</v>
      </c>
      <c r="H47" s="129" t="s">
        <v>655</v>
      </c>
      <c r="I47" s="126" t="s">
        <v>656</v>
      </c>
      <c r="J47" s="123">
        <v>1.6</v>
      </c>
      <c r="K47" s="130">
        <v>16.3</v>
      </c>
      <c r="L47" s="130">
        <v>5.9</v>
      </c>
      <c r="M47" s="123">
        <v>1.1</v>
      </c>
      <c r="N47" s="126">
        <v>0.9</v>
      </c>
      <c r="O47" s="130">
        <v>2.2</v>
      </c>
      <c r="P47" s="128">
        <v>1.7</v>
      </c>
      <c r="Q47" s="126">
        <v>4.11</v>
      </c>
    </row>
    <row r="48">
      <c r="A48" s="123">
        <v>47.0</v>
      </c>
      <c r="B48" s="123">
        <v>42.6</v>
      </c>
      <c r="C48" s="124" t="s">
        <v>142</v>
      </c>
      <c r="D48" s="123" t="s">
        <v>603</v>
      </c>
      <c r="E48" s="123" t="s">
        <v>577</v>
      </c>
      <c r="F48" s="123">
        <v>71.0</v>
      </c>
      <c r="G48" s="123">
        <v>34.0</v>
      </c>
      <c r="H48" s="129" t="s">
        <v>657</v>
      </c>
      <c r="I48" s="128" t="s">
        <v>658</v>
      </c>
      <c r="J48" s="129">
        <v>2.6</v>
      </c>
      <c r="K48" s="129">
        <v>24.3</v>
      </c>
      <c r="L48" s="129">
        <v>6.3</v>
      </c>
      <c r="M48" s="129">
        <v>3.6</v>
      </c>
      <c r="N48" s="128">
        <v>1.1</v>
      </c>
      <c r="O48" s="129">
        <v>0.3</v>
      </c>
      <c r="P48" s="123">
        <v>2.8</v>
      </c>
      <c r="Q48" s="129">
        <v>3.91</v>
      </c>
    </row>
    <row r="49">
      <c r="A49" s="123">
        <v>48.0</v>
      </c>
      <c r="B49" s="123">
        <v>24.4</v>
      </c>
      <c r="C49" s="124" t="s">
        <v>173</v>
      </c>
      <c r="D49" s="123" t="s">
        <v>549</v>
      </c>
      <c r="E49" s="123" t="s">
        <v>615</v>
      </c>
      <c r="F49" s="123">
        <v>70.0</v>
      </c>
      <c r="G49" s="123">
        <v>37.2</v>
      </c>
      <c r="H49" s="129" t="s">
        <v>659</v>
      </c>
      <c r="I49" s="126" t="s">
        <v>660</v>
      </c>
      <c r="J49" s="129">
        <v>1.1</v>
      </c>
      <c r="K49" s="129">
        <v>22.0</v>
      </c>
      <c r="L49" s="128">
        <v>8.3</v>
      </c>
      <c r="M49" s="129">
        <v>5.0</v>
      </c>
      <c r="N49" s="129">
        <v>1.2</v>
      </c>
      <c r="O49" s="128">
        <v>0.6</v>
      </c>
      <c r="P49" s="130">
        <v>2.7</v>
      </c>
      <c r="Q49" s="129">
        <v>3.88</v>
      </c>
    </row>
    <row r="50">
      <c r="A50" s="123">
        <v>49.0</v>
      </c>
      <c r="B50" s="123">
        <v>69.6</v>
      </c>
      <c r="C50" s="124" t="s">
        <v>89</v>
      </c>
      <c r="D50" s="123" t="s">
        <v>37</v>
      </c>
      <c r="E50" s="123" t="s">
        <v>661</v>
      </c>
      <c r="F50" s="123">
        <v>74.0</v>
      </c>
      <c r="G50" s="123">
        <v>30.0</v>
      </c>
      <c r="H50" s="129" t="s">
        <v>662</v>
      </c>
      <c r="I50" s="128" t="s">
        <v>663</v>
      </c>
      <c r="J50" s="129">
        <v>0.8</v>
      </c>
      <c r="K50" s="129">
        <v>16.8</v>
      </c>
      <c r="L50" s="129">
        <v>10.7</v>
      </c>
      <c r="M50" s="129">
        <v>1.7</v>
      </c>
      <c r="N50" s="123">
        <v>0.6</v>
      </c>
      <c r="O50" s="127">
        <v>0.8</v>
      </c>
      <c r="P50" s="123">
        <v>2.3</v>
      </c>
      <c r="Q50" s="128">
        <v>3.83</v>
      </c>
    </row>
    <row r="51">
      <c r="A51" s="123">
        <v>50.0</v>
      </c>
      <c r="B51" s="123">
        <v>88.2</v>
      </c>
      <c r="C51" s="124" t="s">
        <v>144</v>
      </c>
      <c r="D51" s="123" t="s">
        <v>33</v>
      </c>
      <c r="E51" s="123" t="s">
        <v>593</v>
      </c>
      <c r="F51" s="123">
        <v>65.0</v>
      </c>
      <c r="G51" s="123">
        <v>34.2</v>
      </c>
      <c r="H51" s="129" t="s">
        <v>664</v>
      </c>
      <c r="I51" s="123" t="s">
        <v>665</v>
      </c>
      <c r="J51" s="129">
        <v>2.4</v>
      </c>
      <c r="K51" s="130">
        <v>14.8</v>
      </c>
      <c r="L51" s="128">
        <v>4.6</v>
      </c>
      <c r="M51" s="129">
        <v>7.3</v>
      </c>
      <c r="N51" s="129">
        <v>1.1</v>
      </c>
      <c r="O51" s="126">
        <v>0.3</v>
      </c>
      <c r="P51" s="129">
        <v>2.8</v>
      </c>
      <c r="Q51" s="128">
        <v>3.79</v>
      </c>
    </row>
    <row r="52">
      <c r="A52" s="123">
        <v>51.0</v>
      </c>
      <c r="B52" s="123">
        <v>46.4</v>
      </c>
      <c r="C52" s="124" t="s">
        <v>186</v>
      </c>
      <c r="D52" s="123" t="s">
        <v>549</v>
      </c>
      <c r="E52" s="123" t="s">
        <v>620</v>
      </c>
      <c r="F52" s="123">
        <v>74.0</v>
      </c>
      <c r="G52" s="123">
        <v>34.8</v>
      </c>
      <c r="H52" s="123" t="s">
        <v>666</v>
      </c>
      <c r="I52" s="129" t="s">
        <v>667</v>
      </c>
      <c r="J52" s="123">
        <v>0.4</v>
      </c>
      <c r="K52" s="128">
        <v>16.3</v>
      </c>
      <c r="L52" s="130">
        <v>8.9</v>
      </c>
      <c r="M52" s="123">
        <v>2.7</v>
      </c>
      <c r="N52" s="127">
        <v>0.8</v>
      </c>
      <c r="O52" s="123">
        <v>1.9</v>
      </c>
      <c r="P52" s="129">
        <v>2.0</v>
      </c>
      <c r="Q52" s="127">
        <v>3.67</v>
      </c>
    </row>
    <row r="53">
      <c r="A53" s="123">
        <v>52.0</v>
      </c>
      <c r="B53" s="123">
        <v>73.3</v>
      </c>
      <c r="C53" s="124" t="s">
        <v>121</v>
      </c>
      <c r="D53" s="123" t="s">
        <v>546</v>
      </c>
      <c r="E53" s="123" t="s">
        <v>557</v>
      </c>
      <c r="F53" s="123">
        <v>77.0</v>
      </c>
      <c r="G53" s="123">
        <v>30.1</v>
      </c>
      <c r="H53" s="129" t="s">
        <v>668</v>
      </c>
      <c r="I53" s="123" t="s">
        <v>669</v>
      </c>
      <c r="J53" s="123">
        <v>2.9</v>
      </c>
      <c r="K53" s="123">
        <v>19.1</v>
      </c>
      <c r="L53" s="129">
        <v>3.5</v>
      </c>
      <c r="M53" s="129">
        <v>4.1</v>
      </c>
      <c r="N53" s="123">
        <v>0.8</v>
      </c>
      <c r="O53" s="128">
        <v>0.3</v>
      </c>
      <c r="P53" s="127">
        <v>2.6</v>
      </c>
      <c r="Q53" s="123">
        <v>3.44</v>
      </c>
    </row>
    <row r="54">
      <c r="A54" s="123">
        <v>53.0</v>
      </c>
      <c r="B54" s="123">
        <v>91.1</v>
      </c>
      <c r="C54" s="124" t="s">
        <v>44</v>
      </c>
      <c r="D54" s="123" t="s">
        <v>549</v>
      </c>
      <c r="E54" s="123" t="s">
        <v>568</v>
      </c>
      <c r="F54" s="123">
        <v>72.0</v>
      </c>
      <c r="G54" s="123">
        <v>30.8</v>
      </c>
      <c r="H54" s="129" t="s">
        <v>670</v>
      </c>
      <c r="I54" s="130" t="s">
        <v>671</v>
      </c>
      <c r="J54" s="129">
        <v>1.2</v>
      </c>
      <c r="K54" s="123">
        <v>16.3</v>
      </c>
      <c r="L54" s="129">
        <v>8.0</v>
      </c>
      <c r="M54" s="129">
        <v>1.8</v>
      </c>
      <c r="N54" s="123">
        <v>0.6</v>
      </c>
      <c r="O54" s="123">
        <v>1.0</v>
      </c>
      <c r="P54" s="129">
        <v>1.1</v>
      </c>
      <c r="Q54" s="123">
        <v>3.43</v>
      </c>
    </row>
    <row r="55">
      <c r="A55" s="123">
        <v>54.0</v>
      </c>
      <c r="B55" s="123">
        <v>46.4</v>
      </c>
      <c r="C55" s="124" t="s">
        <v>88</v>
      </c>
      <c r="D55" s="123" t="s">
        <v>33</v>
      </c>
      <c r="E55" s="123" t="s">
        <v>609</v>
      </c>
      <c r="F55" s="123">
        <v>67.0</v>
      </c>
      <c r="G55" s="123">
        <v>35.4</v>
      </c>
      <c r="H55" s="129" t="s">
        <v>672</v>
      </c>
      <c r="I55" s="128" t="s">
        <v>673</v>
      </c>
      <c r="J55" s="123">
        <v>1.5</v>
      </c>
      <c r="K55" s="129">
        <v>24.0</v>
      </c>
      <c r="L55" s="129">
        <v>4.0</v>
      </c>
      <c r="M55" s="129">
        <v>6.5</v>
      </c>
      <c r="N55" s="123">
        <v>1.2</v>
      </c>
      <c r="O55" s="129">
        <v>0.4</v>
      </c>
      <c r="P55" s="129">
        <v>2.9</v>
      </c>
      <c r="Q55" s="128">
        <v>3.24</v>
      </c>
    </row>
    <row r="56">
      <c r="A56" s="123">
        <v>55.0</v>
      </c>
      <c r="B56" s="123">
        <v>60.9</v>
      </c>
      <c r="C56" s="124" t="s">
        <v>174</v>
      </c>
      <c r="D56" s="123" t="s">
        <v>539</v>
      </c>
      <c r="E56" s="123" t="s">
        <v>615</v>
      </c>
      <c r="F56" s="123">
        <v>74.0</v>
      </c>
      <c r="G56" s="123">
        <v>35.4</v>
      </c>
      <c r="H56" s="129" t="s">
        <v>674</v>
      </c>
      <c r="I56" s="123" t="s">
        <v>675</v>
      </c>
      <c r="J56" s="123">
        <v>1.0</v>
      </c>
      <c r="K56" s="123">
        <v>16.8</v>
      </c>
      <c r="L56" s="128">
        <v>7.7</v>
      </c>
      <c r="M56" s="123">
        <v>3.6</v>
      </c>
      <c r="N56" s="129">
        <v>1.1</v>
      </c>
      <c r="O56" s="127">
        <v>0.7</v>
      </c>
      <c r="P56" s="127">
        <v>1.8</v>
      </c>
      <c r="Q56" s="130">
        <v>2.99</v>
      </c>
    </row>
    <row r="57">
      <c r="A57" s="123">
        <v>56.0</v>
      </c>
      <c r="B57" s="123">
        <v>107.6</v>
      </c>
      <c r="C57" s="124" t="s">
        <v>69</v>
      </c>
      <c r="D57" s="123" t="s">
        <v>35</v>
      </c>
      <c r="E57" s="123" t="s">
        <v>588</v>
      </c>
      <c r="F57" s="123">
        <v>80.0</v>
      </c>
      <c r="G57" s="123">
        <v>34.9</v>
      </c>
      <c r="H57" s="129" t="s">
        <v>676</v>
      </c>
      <c r="I57" s="123" t="s">
        <v>677</v>
      </c>
      <c r="J57" s="123">
        <v>1.4</v>
      </c>
      <c r="K57" s="129">
        <v>15.4</v>
      </c>
      <c r="L57" s="129">
        <v>4.3</v>
      </c>
      <c r="M57" s="129">
        <v>2.4</v>
      </c>
      <c r="N57" s="128">
        <v>1.2</v>
      </c>
      <c r="O57" s="127">
        <v>0.4</v>
      </c>
      <c r="P57" s="129">
        <v>0.8</v>
      </c>
      <c r="Q57" s="130">
        <v>2.92</v>
      </c>
    </row>
    <row r="58">
      <c r="A58" s="123">
        <v>57.0</v>
      </c>
      <c r="B58" s="123">
        <v>44.9</v>
      </c>
      <c r="C58" s="124" t="s">
        <v>143</v>
      </c>
      <c r="D58" s="123" t="s">
        <v>34</v>
      </c>
      <c r="E58" s="123" t="s">
        <v>661</v>
      </c>
      <c r="F58" s="123">
        <v>69.0</v>
      </c>
      <c r="G58" s="123">
        <v>34.7</v>
      </c>
      <c r="H58" s="129" t="s">
        <v>678</v>
      </c>
      <c r="I58" s="128" t="s">
        <v>679</v>
      </c>
      <c r="J58" s="129">
        <v>3.0</v>
      </c>
      <c r="K58" s="129">
        <v>22.6</v>
      </c>
      <c r="L58" s="123">
        <v>4.5</v>
      </c>
      <c r="M58" s="129">
        <v>4.2</v>
      </c>
      <c r="N58" s="123">
        <v>1.1</v>
      </c>
      <c r="O58" s="129">
        <v>0.4</v>
      </c>
      <c r="P58" s="129">
        <v>2.0</v>
      </c>
      <c r="Q58" s="123">
        <v>2.9</v>
      </c>
    </row>
    <row r="59">
      <c r="A59" s="123">
        <v>58.0</v>
      </c>
      <c r="B59" s="123">
        <v>83.3</v>
      </c>
      <c r="C59" s="124" t="s">
        <v>47</v>
      </c>
      <c r="D59" s="123" t="s">
        <v>546</v>
      </c>
      <c r="E59" s="123" t="s">
        <v>543</v>
      </c>
      <c r="F59" s="123">
        <v>74.0</v>
      </c>
      <c r="G59" s="123">
        <v>35.4</v>
      </c>
      <c r="H59" s="129" t="s">
        <v>680</v>
      </c>
      <c r="I59" s="123" t="s">
        <v>681</v>
      </c>
      <c r="J59" s="129">
        <v>1.8</v>
      </c>
      <c r="K59" s="129">
        <v>18.6</v>
      </c>
      <c r="L59" s="128">
        <v>3.3</v>
      </c>
      <c r="M59" s="129">
        <v>4.4</v>
      </c>
      <c r="N59" s="123">
        <v>0.9</v>
      </c>
      <c r="O59" s="129">
        <v>0.4</v>
      </c>
      <c r="P59" s="129">
        <v>1.2</v>
      </c>
      <c r="Q59" s="128">
        <v>2.81</v>
      </c>
    </row>
    <row r="60">
      <c r="A60" s="123">
        <v>59.0</v>
      </c>
      <c r="B60" s="123">
        <v>127.5</v>
      </c>
      <c r="C60" s="124" t="s">
        <v>48</v>
      </c>
      <c r="D60" s="123" t="s">
        <v>35</v>
      </c>
      <c r="E60" s="123" t="s">
        <v>571</v>
      </c>
      <c r="F60" s="123">
        <v>60.0</v>
      </c>
      <c r="G60" s="123">
        <v>32.2</v>
      </c>
      <c r="H60" s="129" t="s">
        <v>682</v>
      </c>
      <c r="I60" s="127" t="s">
        <v>683</v>
      </c>
      <c r="J60" s="129">
        <v>2.0</v>
      </c>
      <c r="K60" s="130">
        <v>18.0</v>
      </c>
      <c r="L60" s="123">
        <v>4.7</v>
      </c>
      <c r="M60" s="129">
        <v>3.7</v>
      </c>
      <c r="N60" s="127">
        <v>1.0</v>
      </c>
      <c r="O60" s="128">
        <v>0.4</v>
      </c>
      <c r="P60" s="128">
        <v>1.7</v>
      </c>
      <c r="Q60" s="129">
        <v>2.81</v>
      </c>
    </row>
    <row r="61">
      <c r="A61" s="123">
        <v>60.0</v>
      </c>
      <c r="B61" s="123">
        <v>85.5</v>
      </c>
      <c r="C61" s="124" t="s">
        <v>94</v>
      </c>
      <c r="D61" s="123" t="s">
        <v>35</v>
      </c>
      <c r="E61" s="123" t="s">
        <v>536</v>
      </c>
      <c r="F61" s="123">
        <v>61.0</v>
      </c>
      <c r="G61" s="123">
        <v>31.4</v>
      </c>
      <c r="H61" s="129" t="s">
        <v>684</v>
      </c>
      <c r="I61" s="123" t="s">
        <v>685</v>
      </c>
      <c r="J61" s="128">
        <v>1.9</v>
      </c>
      <c r="K61" s="123">
        <v>17.0</v>
      </c>
      <c r="L61" s="129">
        <v>6.7</v>
      </c>
      <c r="M61" s="123">
        <v>1.8</v>
      </c>
      <c r="N61" s="128">
        <v>1.0</v>
      </c>
      <c r="O61" s="127">
        <v>0.7</v>
      </c>
      <c r="P61" s="129">
        <v>1.4</v>
      </c>
      <c r="Q61" s="123">
        <v>2.73</v>
      </c>
    </row>
    <row r="62">
      <c r="A62" s="123">
        <v>61.0</v>
      </c>
      <c r="B62" s="123">
        <v>136.5</v>
      </c>
      <c r="C62" s="124" t="s">
        <v>169</v>
      </c>
      <c r="D62" s="123" t="s">
        <v>549</v>
      </c>
      <c r="E62" s="123" t="s">
        <v>631</v>
      </c>
      <c r="F62" s="123">
        <v>70.0</v>
      </c>
      <c r="G62" s="123">
        <v>26.4</v>
      </c>
      <c r="H62" s="129" t="s">
        <v>686</v>
      </c>
      <c r="I62" s="127" t="s">
        <v>687</v>
      </c>
      <c r="J62" s="123">
        <v>0.1</v>
      </c>
      <c r="K62" s="123">
        <v>13.9</v>
      </c>
      <c r="L62" s="130">
        <v>7.0</v>
      </c>
      <c r="M62" s="123">
        <v>1.8</v>
      </c>
      <c r="N62" s="126">
        <v>0.8</v>
      </c>
      <c r="O62" s="128">
        <v>1.2</v>
      </c>
      <c r="P62" s="130">
        <v>0.7</v>
      </c>
      <c r="Q62" s="129">
        <v>2.72</v>
      </c>
    </row>
    <row r="63">
      <c r="A63" s="123">
        <v>62.0</v>
      </c>
      <c r="B63" s="123">
        <v>136.6</v>
      </c>
      <c r="C63" s="124" t="s">
        <v>167</v>
      </c>
      <c r="D63" s="123" t="s">
        <v>549</v>
      </c>
      <c r="E63" s="123" t="s">
        <v>571</v>
      </c>
      <c r="F63" s="123">
        <v>72.0</v>
      </c>
      <c r="G63" s="123">
        <v>30.6</v>
      </c>
      <c r="H63" s="129" t="s">
        <v>688</v>
      </c>
      <c r="I63" s="130" t="s">
        <v>689</v>
      </c>
      <c r="J63" s="129">
        <v>1.9</v>
      </c>
      <c r="K63" s="127">
        <v>13.1</v>
      </c>
      <c r="L63" s="129">
        <v>6.2</v>
      </c>
      <c r="M63" s="129">
        <v>2.8</v>
      </c>
      <c r="N63" s="128">
        <v>1.1</v>
      </c>
      <c r="O63" s="129">
        <v>1.1</v>
      </c>
      <c r="P63" s="123">
        <v>1.6</v>
      </c>
      <c r="Q63" s="128">
        <v>2.63</v>
      </c>
    </row>
    <row r="64">
      <c r="A64" s="123">
        <v>63.0</v>
      </c>
      <c r="B64" s="123">
        <v>59.3</v>
      </c>
      <c r="C64" s="124" t="s">
        <v>45</v>
      </c>
      <c r="D64" s="123" t="s">
        <v>33</v>
      </c>
      <c r="E64" s="123" t="s">
        <v>536</v>
      </c>
      <c r="F64" s="123">
        <v>62.0</v>
      </c>
      <c r="G64" s="123">
        <v>30.5</v>
      </c>
      <c r="H64" s="123" t="s">
        <v>690</v>
      </c>
      <c r="I64" s="128" t="s">
        <v>691</v>
      </c>
      <c r="J64" s="129">
        <v>2.4</v>
      </c>
      <c r="K64" s="129">
        <v>18.3</v>
      </c>
      <c r="L64" s="129">
        <v>3.6</v>
      </c>
      <c r="M64" s="123">
        <v>4.2</v>
      </c>
      <c r="N64" s="123">
        <v>1.0</v>
      </c>
      <c r="O64" s="127">
        <v>0.3</v>
      </c>
      <c r="P64" s="123">
        <v>1.9</v>
      </c>
      <c r="Q64" s="128">
        <v>2.6</v>
      </c>
    </row>
    <row r="65">
      <c r="A65" s="123">
        <v>64.0</v>
      </c>
      <c r="B65" s="123">
        <v>47.4</v>
      </c>
      <c r="C65" s="124" t="s">
        <v>164</v>
      </c>
      <c r="D65" s="123" t="s">
        <v>36</v>
      </c>
      <c r="E65" s="123" t="s">
        <v>692</v>
      </c>
      <c r="F65" s="123">
        <v>72.0</v>
      </c>
      <c r="G65" s="123">
        <v>34.6</v>
      </c>
      <c r="H65" s="123" t="s">
        <v>693</v>
      </c>
      <c r="I65" s="130" t="s">
        <v>694</v>
      </c>
      <c r="J65" s="128">
        <v>1.7</v>
      </c>
      <c r="K65" s="123">
        <v>20.2</v>
      </c>
      <c r="L65" s="129">
        <v>9.5</v>
      </c>
      <c r="M65" s="123">
        <v>4.4</v>
      </c>
      <c r="N65" s="123">
        <v>0.7</v>
      </c>
      <c r="O65" s="127">
        <v>0.5</v>
      </c>
      <c r="P65" s="127">
        <v>3.3</v>
      </c>
      <c r="Q65" s="123">
        <v>2.59</v>
      </c>
    </row>
    <row r="66">
      <c r="A66" s="123">
        <v>65.0</v>
      </c>
      <c r="B66" s="123">
        <v>33.5</v>
      </c>
      <c r="C66" s="124" t="s">
        <v>154</v>
      </c>
      <c r="D66" s="123" t="s">
        <v>539</v>
      </c>
      <c r="E66" s="123" t="s">
        <v>661</v>
      </c>
      <c r="F66" s="123">
        <v>62.0</v>
      </c>
      <c r="G66" s="123">
        <v>34.1</v>
      </c>
      <c r="H66" s="129" t="s">
        <v>695</v>
      </c>
      <c r="I66" s="130" t="s">
        <v>696</v>
      </c>
      <c r="J66" s="129">
        <v>1.4</v>
      </c>
      <c r="K66" s="128">
        <v>23.1</v>
      </c>
      <c r="L66" s="129">
        <v>5.9</v>
      </c>
      <c r="M66" s="129">
        <v>4.7</v>
      </c>
      <c r="N66" s="128">
        <v>0.6</v>
      </c>
      <c r="O66" s="127">
        <v>0.5</v>
      </c>
      <c r="P66" s="129">
        <v>2.8</v>
      </c>
      <c r="Q66" s="128">
        <v>2.56</v>
      </c>
    </row>
    <row r="67">
      <c r="A67" s="123">
        <v>66.0</v>
      </c>
      <c r="B67" s="123">
        <v>86.1</v>
      </c>
      <c r="C67" s="124" t="s">
        <v>178</v>
      </c>
      <c r="D67" s="123" t="s">
        <v>546</v>
      </c>
      <c r="E67" s="123" t="s">
        <v>593</v>
      </c>
      <c r="F67" s="123">
        <v>68.0</v>
      </c>
      <c r="G67" s="123">
        <v>33.3</v>
      </c>
      <c r="H67" s="123" t="s">
        <v>697</v>
      </c>
      <c r="I67" s="126" t="s">
        <v>698</v>
      </c>
      <c r="J67" s="129">
        <v>2.7</v>
      </c>
      <c r="K67" s="130">
        <v>21.4</v>
      </c>
      <c r="L67" s="130">
        <v>5.2</v>
      </c>
      <c r="M67" s="123">
        <v>4.2</v>
      </c>
      <c r="N67" s="127">
        <v>0.7</v>
      </c>
      <c r="O67" s="128">
        <v>0.1</v>
      </c>
      <c r="P67" s="128">
        <v>2.7</v>
      </c>
      <c r="Q67" s="127">
        <v>2.47</v>
      </c>
    </row>
    <row r="68">
      <c r="A68" s="123">
        <v>67.0</v>
      </c>
      <c r="B68" s="123">
        <v>78.6</v>
      </c>
      <c r="C68" s="124" t="s">
        <v>131</v>
      </c>
      <c r="D68" s="123" t="s">
        <v>36</v>
      </c>
      <c r="E68" s="123" t="s">
        <v>557</v>
      </c>
      <c r="F68" s="123">
        <v>64.0</v>
      </c>
      <c r="G68" s="123">
        <v>28.8</v>
      </c>
      <c r="H68" s="128" t="s">
        <v>699</v>
      </c>
      <c r="I68" s="126" t="s">
        <v>700</v>
      </c>
      <c r="J68" s="128">
        <v>0.4</v>
      </c>
      <c r="K68" s="130">
        <v>7.6</v>
      </c>
      <c r="L68" s="130">
        <v>7.3</v>
      </c>
      <c r="M68" s="128">
        <v>6.8</v>
      </c>
      <c r="N68" s="129">
        <v>1.3</v>
      </c>
      <c r="O68" s="128">
        <v>1.0</v>
      </c>
      <c r="P68" s="123">
        <v>3.0</v>
      </c>
      <c r="Q68" s="126">
        <v>2.46</v>
      </c>
    </row>
    <row r="69">
      <c r="A69" s="123">
        <v>68.0</v>
      </c>
      <c r="B69" s="123">
        <v>88.5</v>
      </c>
      <c r="C69" s="124" t="s">
        <v>57</v>
      </c>
      <c r="D69" s="123" t="s">
        <v>35</v>
      </c>
      <c r="E69" s="123" t="s">
        <v>615</v>
      </c>
      <c r="F69" s="123">
        <v>67.0</v>
      </c>
      <c r="G69" s="123">
        <v>36.0</v>
      </c>
      <c r="H69" s="123" t="s">
        <v>701</v>
      </c>
      <c r="I69" s="123" t="s">
        <v>702</v>
      </c>
      <c r="J69" s="129">
        <v>2.5</v>
      </c>
      <c r="K69" s="129">
        <v>17.5</v>
      </c>
      <c r="L69" s="129">
        <v>5.6</v>
      </c>
      <c r="M69" s="129">
        <v>2.7</v>
      </c>
      <c r="N69" s="128">
        <v>1.4</v>
      </c>
      <c r="O69" s="128">
        <v>0.5</v>
      </c>
      <c r="P69" s="123">
        <v>1.7</v>
      </c>
      <c r="Q69" s="128">
        <v>2.41</v>
      </c>
    </row>
    <row r="70">
      <c r="A70" s="123">
        <v>69.0</v>
      </c>
      <c r="B70" s="123">
        <v>110.7</v>
      </c>
      <c r="C70" s="124" t="s">
        <v>165</v>
      </c>
      <c r="D70" s="123" t="s">
        <v>603</v>
      </c>
      <c r="E70" s="123" t="s">
        <v>703</v>
      </c>
      <c r="F70" s="123">
        <v>71.0</v>
      </c>
      <c r="G70" s="123">
        <v>31.3</v>
      </c>
      <c r="H70" s="123" t="s">
        <v>704</v>
      </c>
      <c r="I70" s="129" t="s">
        <v>705</v>
      </c>
      <c r="J70" s="128">
        <v>2.2</v>
      </c>
      <c r="K70" s="123">
        <v>15.8</v>
      </c>
      <c r="L70" s="123">
        <v>5.0</v>
      </c>
      <c r="M70" s="123">
        <v>2.4</v>
      </c>
      <c r="N70" s="123">
        <v>1.1</v>
      </c>
      <c r="O70" s="128">
        <v>0.7</v>
      </c>
      <c r="P70" s="129">
        <v>0.9</v>
      </c>
      <c r="Q70" s="129">
        <v>2.39</v>
      </c>
    </row>
    <row r="71">
      <c r="A71" s="123">
        <v>70.0</v>
      </c>
      <c r="B71" s="123">
        <v>76.7</v>
      </c>
      <c r="C71" s="124" t="s">
        <v>156</v>
      </c>
      <c r="D71" s="123" t="s">
        <v>539</v>
      </c>
      <c r="E71" s="123" t="s">
        <v>543</v>
      </c>
      <c r="F71" s="123">
        <v>73.0</v>
      </c>
      <c r="G71" s="123">
        <v>33.0</v>
      </c>
      <c r="H71" s="123" t="s">
        <v>706</v>
      </c>
      <c r="I71" s="127" t="s">
        <v>707</v>
      </c>
      <c r="J71" s="129">
        <v>1.4</v>
      </c>
      <c r="K71" s="130">
        <v>16.8</v>
      </c>
      <c r="L71" s="130">
        <v>6.6</v>
      </c>
      <c r="M71" s="123">
        <v>3.4</v>
      </c>
      <c r="N71" s="129">
        <v>0.6</v>
      </c>
      <c r="O71" s="127">
        <v>0.6</v>
      </c>
      <c r="P71" s="127">
        <v>1.5</v>
      </c>
      <c r="Q71" s="123">
        <v>2.38</v>
      </c>
    </row>
    <row r="72">
      <c r="A72" s="123">
        <v>71.0</v>
      </c>
      <c r="B72" s="123">
        <v>69.1</v>
      </c>
      <c r="C72" s="124" t="s">
        <v>132</v>
      </c>
      <c r="D72" s="123" t="s">
        <v>562</v>
      </c>
      <c r="E72" s="123" t="s">
        <v>530</v>
      </c>
      <c r="F72" s="123">
        <v>65.0</v>
      </c>
      <c r="G72" s="123">
        <v>32.0</v>
      </c>
      <c r="H72" s="129" t="s">
        <v>708</v>
      </c>
      <c r="I72" s="128" t="s">
        <v>709</v>
      </c>
      <c r="J72" s="129">
        <v>2.6</v>
      </c>
      <c r="K72" s="128">
        <v>17.7</v>
      </c>
      <c r="L72" s="123">
        <v>3.4</v>
      </c>
      <c r="M72" s="129">
        <v>7.0</v>
      </c>
      <c r="N72" s="128">
        <v>1.0</v>
      </c>
      <c r="O72" s="127">
        <v>0.3</v>
      </c>
      <c r="P72" s="129">
        <v>2.6</v>
      </c>
      <c r="Q72" s="128">
        <v>2.28</v>
      </c>
    </row>
    <row r="73">
      <c r="A73" s="123">
        <v>72.0</v>
      </c>
      <c r="B73" s="123">
        <v>137.3</v>
      </c>
      <c r="C73" s="124" t="s">
        <v>137</v>
      </c>
      <c r="D73" s="123" t="s">
        <v>37</v>
      </c>
      <c r="E73" s="123" t="s">
        <v>585</v>
      </c>
      <c r="F73" s="123">
        <v>76.0</v>
      </c>
      <c r="G73" s="123">
        <v>28.0</v>
      </c>
      <c r="H73" s="123" t="s">
        <v>710</v>
      </c>
      <c r="I73" s="128" t="s">
        <v>711</v>
      </c>
      <c r="J73" s="129">
        <v>0.0</v>
      </c>
      <c r="K73" s="123">
        <v>12.2</v>
      </c>
      <c r="L73" s="123">
        <v>9.1</v>
      </c>
      <c r="M73" s="129">
        <v>1.9</v>
      </c>
      <c r="N73" s="128">
        <v>0.6</v>
      </c>
      <c r="O73" s="127">
        <v>1.2</v>
      </c>
      <c r="P73" s="123">
        <v>1.8</v>
      </c>
      <c r="Q73" s="128">
        <v>2.23</v>
      </c>
    </row>
    <row r="74">
      <c r="A74" s="123">
        <v>73.0</v>
      </c>
      <c r="B74" s="123">
        <v>139.9</v>
      </c>
      <c r="C74" s="124" t="s">
        <v>51</v>
      </c>
      <c r="D74" s="123" t="s">
        <v>37</v>
      </c>
      <c r="E74" s="123" t="s">
        <v>568</v>
      </c>
      <c r="F74" s="123">
        <v>70.0</v>
      </c>
      <c r="G74" s="123">
        <v>23.1</v>
      </c>
      <c r="H74" s="123" t="s">
        <v>712</v>
      </c>
      <c r="I74" s="128" t="s">
        <v>713</v>
      </c>
      <c r="J74" s="129">
        <v>0.0</v>
      </c>
      <c r="K74" s="129">
        <v>10.4</v>
      </c>
      <c r="L74" s="123">
        <v>6.7</v>
      </c>
      <c r="M74" s="123">
        <v>1.3</v>
      </c>
      <c r="N74" s="123">
        <v>0.7</v>
      </c>
      <c r="O74" s="129">
        <v>1.5</v>
      </c>
      <c r="P74" s="129">
        <v>1.0</v>
      </c>
      <c r="Q74" s="123">
        <v>2.12</v>
      </c>
    </row>
    <row r="75">
      <c r="A75" s="123">
        <v>74.0</v>
      </c>
      <c r="B75" s="123">
        <v>30.1</v>
      </c>
      <c r="C75" s="124" t="s">
        <v>107</v>
      </c>
      <c r="D75" s="123" t="s">
        <v>36</v>
      </c>
      <c r="E75" s="123" t="s">
        <v>661</v>
      </c>
      <c r="F75" s="123">
        <v>61.0</v>
      </c>
      <c r="G75" s="123">
        <v>33.1</v>
      </c>
      <c r="H75" s="123" t="s">
        <v>714</v>
      </c>
      <c r="I75" s="129" t="s">
        <v>715</v>
      </c>
      <c r="J75" s="129">
        <v>0.2</v>
      </c>
      <c r="K75" s="129">
        <v>25.5</v>
      </c>
      <c r="L75" s="123">
        <v>7.3</v>
      </c>
      <c r="M75" s="123">
        <v>3.1</v>
      </c>
      <c r="N75" s="129">
        <v>0.8</v>
      </c>
      <c r="O75" s="123">
        <v>0.5</v>
      </c>
      <c r="P75" s="128">
        <v>2.7</v>
      </c>
      <c r="Q75" s="128">
        <v>2.09</v>
      </c>
    </row>
    <row r="76">
      <c r="A76" s="123">
        <v>75.0</v>
      </c>
      <c r="B76" s="123">
        <v>98.6</v>
      </c>
      <c r="C76" s="124" t="s">
        <v>72</v>
      </c>
      <c r="D76" s="123" t="s">
        <v>539</v>
      </c>
      <c r="E76" s="123" t="s">
        <v>574</v>
      </c>
      <c r="F76" s="123">
        <v>70.0</v>
      </c>
      <c r="G76" s="123">
        <v>33.9</v>
      </c>
      <c r="H76" s="129" t="s">
        <v>716</v>
      </c>
      <c r="I76" s="123" t="s">
        <v>717</v>
      </c>
      <c r="J76" s="123">
        <v>1.7</v>
      </c>
      <c r="K76" s="129">
        <v>16.2</v>
      </c>
      <c r="L76" s="129">
        <v>4.1</v>
      </c>
      <c r="M76" s="129">
        <v>2.1</v>
      </c>
      <c r="N76" s="128">
        <v>1.0</v>
      </c>
      <c r="O76" s="129">
        <v>1.1</v>
      </c>
      <c r="P76" s="123">
        <v>2.0</v>
      </c>
      <c r="Q76" s="128">
        <v>2.06</v>
      </c>
    </row>
    <row r="77">
      <c r="A77" s="123">
        <v>76.0</v>
      </c>
      <c r="B77" s="123">
        <v>95.1</v>
      </c>
      <c r="C77" s="124" t="s">
        <v>110</v>
      </c>
      <c r="D77" s="123" t="s">
        <v>549</v>
      </c>
      <c r="E77" s="123" t="s">
        <v>718</v>
      </c>
      <c r="F77" s="123">
        <v>66.0</v>
      </c>
      <c r="G77" s="123">
        <v>30.3</v>
      </c>
      <c r="H77" s="123" t="s">
        <v>719</v>
      </c>
      <c r="I77" s="127" t="s">
        <v>720</v>
      </c>
      <c r="J77" s="128">
        <v>1.0</v>
      </c>
      <c r="K77" s="130">
        <v>14.8</v>
      </c>
      <c r="L77" s="130">
        <v>9.9</v>
      </c>
      <c r="M77" s="128">
        <v>2.4</v>
      </c>
      <c r="N77" s="127">
        <v>0.6</v>
      </c>
      <c r="O77" s="128">
        <v>0.7</v>
      </c>
      <c r="P77" s="123">
        <v>1.9</v>
      </c>
      <c r="Q77" s="126">
        <v>1.86</v>
      </c>
    </row>
    <row r="78">
      <c r="A78" s="123">
        <v>77.0</v>
      </c>
      <c r="B78" s="123">
        <v>131.1</v>
      </c>
      <c r="C78" s="124" t="s">
        <v>155</v>
      </c>
      <c r="D78" s="123" t="s">
        <v>539</v>
      </c>
      <c r="E78" s="123" t="s">
        <v>721</v>
      </c>
      <c r="F78" s="123">
        <v>65.0</v>
      </c>
      <c r="G78" s="123">
        <v>32.3</v>
      </c>
      <c r="H78" s="128" t="s">
        <v>722</v>
      </c>
      <c r="I78" s="123" t="s">
        <v>723</v>
      </c>
      <c r="J78" s="128">
        <v>2.5</v>
      </c>
      <c r="K78" s="123">
        <v>17.7</v>
      </c>
      <c r="L78" s="130">
        <v>6.4</v>
      </c>
      <c r="M78" s="128">
        <v>1.5</v>
      </c>
      <c r="N78" s="129">
        <v>0.8</v>
      </c>
      <c r="O78" s="126">
        <v>0.5</v>
      </c>
      <c r="P78" s="127">
        <v>1.2</v>
      </c>
      <c r="Q78" s="129">
        <v>1.8</v>
      </c>
    </row>
    <row r="79">
      <c r="A79" s="123">
        <v>78.0</v>
      </c>
      <c r="B79" s="123">
        <v>104.0</v>
      </c>
      <c r="C79" s="124" t="s">
        <v>124</v>
      </c>
      <c r="D79" s="123" t="s">
        <v>36</v>
      </c>
      <c r="E79" s="123" t="s">
        <v>609</v>
      </c>
      <c r="F79" s="123">
        <v>72.0</v>
      </c>
      <c r="G79" s="123">
        <v>30.0</v>
      </c>
      <c r="H79" s="123" t="s">
        <v>724</v>
      </c>
      <c r="I79" s="123" t="s">
        <v>725</v>
      </c>
      <c r="J79" s="129">
        <v>1.3</v>
      </c>
      <c r="K79" s="123">
        <v>16.2</v>
      </c>
      <c r="L79" s="129">
        <v>6.0</v>
      </c>
      <c r="M79" s="123">
        <v>1.0</v>
      </c>
      <c r="N79" s="128">
        <v>0.7</v>
      </c>
      <c r="O79" s="123">
        <v>1.0</v>
      </c>
      <c r="P79" s="129">
        <v>1.0</v>
      </c>
      <c r="Q79" s="123">
        <v>1.72</v>
      </c>
    </row>
    <row r="80">
      <c r="A80" s="123">
        <v>79.0</v>
      </c>
      <c r="B80" s="123">
        <v>101.0</v>
      </c>
      <c r="C80" s="124" t="s">
        <v>123</v>
      </c>
      <c r="D80" s="123" t="s">
        <v>549</v>
      </c>
      <c r="E80" s="123" t="s">
        <v>577</v>
      </c>
      <c r="F80" s="123">
        <v>67.0</v>
      </c>
      <c r="G80" s="123">
        <v>27.1</v>
      </c>
      <c r="H80" s="123" t="s">
        <v>726</v>
      </c>
      <c r="I80" s="128" t="s">
        <v>727</v>
      </c>
      <c r="J80" s="129">
        <v>1.2</v>
      </c>
      <c r="K80" s="123">
        <v>9.8</v>
      </c>
      <c r="L80" s="123">
        <v>6.9</v>
      </c>
      <c r="M80" s="123">
        <v>3.2</v>
      </c>
      <c r="N80" s="128">
        <v>0.7</v>
      </c>
      <c r="O80" s="127">
        <v>1.1</v>
      </c>
      <c r="P80" s="127">
        <v>0.9</v>
      </c>
      <c r="Q80" s="123">
        <v>1.7</v>
      </c>
    </row>
    <row r="81">
      <c r="A81" s="123">
        <v>80.0</v>
      </c>
      <c r="B81" s="123">
        <v>99.4</v>
      </c>
      <c r="C81" s="124" t="s">
        <v>46</v>
      </c>
      <c r="D81" s="123" t="s">
        <v>546</v>
      </c>
      <c r="E81" s="123" t="s">
        <v>577</v>
      </c>
      <c r="F81" s="123">
        <v>70.0</v>
      </c>
      <c r="G81" s="123">
        <v>31.4</v>
      </c>
      <c r="H81" s="123" t="s">
        <v>728</v>
      </c>
      <c r="I81" s="129" t="s">
        <v>729</v>
      </c>
      <c r="J81" s="128">
        <v>1.6</v>
      </c>
      <c r="K81" s="128">
        <v>11.7</v>
      </c>
      <c r="L81" s="130">
        <v>3.8</v>
      </c>
      <c r="M81" s="128">
        <v>5.8</v>
      </c>
      <c r="N81" s="127">
        <v>1.7</v>
      </c>
      <c r="O81" s="128">
        <v>0.3</v>
      </c>
      <c r="P81" s="123">
        <v>2.2</v>
      </c>
      <c r="Q81" s="127">
        <v>1.7</v>
      </c>
    </row>
    <row r="82">
      <c r="A82" s="123">
        <v>81.0</v>
      </c>
      <c r="B82" s="123">
        <v>77.5</v>
      </c>
      <c r="C82" s="124" t="s">
        <v>91</v>
      </c>
      <c r="D82" s="123" t="s">
        <v>562</v>
      </c>
      <c r="E82" s="123" t="s">
        <v>692</v>
      </c>
      <c r="F82" s="123">
        <v>77.0</v>
      </c>
      <c r="G82" s="123">
        <v>33.9</v>
      </c>
      <c r="H82" s="123" t="s">
        <v>730</v>
      </c>
      <c r="I82" s="128" t="s">
        <v>731</v>
      </c>
      <c r="J82" s="123">
        <v>1.3</v>
      </c>
      <c r="K82" s="128">
        <v>17.6</v>
      </c>
      <c r="L82" s="123">
        <v>3.6</v>
      </c>
      <c r="M82" s="123">
        <v>6.5</v>
      </c>
      <c r="N82" s="129">
        <v>0.9</v>
      </c>
      <c r="O82" s="123">
        <v>0.0</v>
      </c>
      <c r="P82" s="129">
        <v>1.7</v>
      </c>
      <c r="Q82" s="127">
        <v>1.67</v>
      </c>
    </row>
    <row r="83">
      <c r="A83" s="123">
        <v>82.0</v>
      </c>
      <c r="B83" s="123">
        <v>100.2</v>
      </c>
      <c r="C83" s="124" t="s">
        <v>68</v>
      </c>
      <c r="D83" s="123" t="s">
        <v>34</v>
      </c>
      <c r="E83" s="123" t="s">
        <v>615</v>
      </c>
      <c r="F83" s="123">
        <v>70.0</v>
      </c>
      <c r="G83" s="123">
        <v>35.0</v>
      </c>
      <c r="H83" s="123" t="s">
        <v>732</v>
      </c>
      <c r="I83" s="123" t="s">
        <v>733</v>
      </c>
      <c r="J83" s="129">
        <v>3.0</v>
      </c>
      <c r="K83" s="129">
        <v>18.4</v>
      </c>
      <c r="L83" s="128">
        <v>2.9</v>
      </c>
      <c r="M83" s="123">
        <v>2.0</v>
      </c>
      <c r="N83" s="123">
        <v>1.5</v>
      </c>
      <c r="O83" s="128">
        <v>0.3</v>
      </c>
      <c r="P83" s="123">
        <v>1.0</v>
      </c>
      <c r="Q83" s="123">
        <v>1.66</v>
      </c>
    </row>
    <row r="84">
      <c r="A84" s="123">
        <v>83.0</v>
      </c>
      <c r="B84" s="123">
        <v>90.0</v>
      </c>
      <c r="C84" s="124" t="s">
        <v>56</v>
      </c>
      <c r="D84" s="123" t="s">
        <v>37</v>
      </c>
      <c r="E84" s="123" t="s">
        <v>703</v>
      </c>
      <c r="F84" s="123">
        <v>68.0</v>
      </c>
      <c r="G84" s="123">
        <v>28.7</v>
      </c>
      <c r="H84" s="123" t="s">
        <v>734</v>
      </c>
      <c r="I84" s="129" t="s">
        <v>735</v>
      </c>
      <c r="J84" s="123">
        <v>0.0</v>
      </c>
      <c r="K84" s="123">
        <v>13.5</v>
      </c>
      <c r="L84" s="128">
        <v>9.5</v>
      </c>
      <c r="M84" s="123">
        <v>2.8</v>
      </c>
      <c r="N84" s="129">
        <v>0.7</v>
      </c>
      <c r="O84" s="128">
        <v>1.7</v>
      </c>
      <c r="P84" s="128">
        <v>1.6</v>
      </c>
      <c r="Q84" s="126">
        <v>1.65</v>
      </c>
    </row>
    <row r="85">
      <c r="A85" s="123">
        <v>84.0</v>
      </c>
      <c r="B85" s="123">
        <v>106.1</v>
      </c>
      <c r="C85" s="124" t="s">
        <v>187</v>
      </c>
      <c r="D85" s="123" t="s">
        <v>37</v>
      </c>
      <c r="E85" s="123" t="s">
        <v>736</v>
      </c>
      <c r="F85" s="123">
        <v>76.0</v>
      </c>
      <c r="G85" s="123">
        <v>30.1</v>
      </c>
      <c r="H85" s="123" t="s">
        <v>737</v>
      </c>
      <c r="I85" s="128" t="s">
        <v>738</v>
      </c>
      <c r="J85" s="128">
        <v>0.6</v>
      </c>
      <c r="K85" s="123">
        <v>14.3</v>
      </c>
      <c r="L85" s="129">
        <v>8.3</v>
      </c>
      <c r="M85" s="123">
        <v>3.8</v>
      </c>
      <c r="N85" s="128">
        <v>1.0</v>
      </c>
      <c r="O85" s="123">
        <v>1.2</v>
      </c>
      <c r="P85" s="129">
        <v>3.0</v>
      </c>
      <c r="Q85" s="123">
        <v>1.64</v>
      </c>
    </row>
    <row r="86">
      <c r="A86" s="123">
        <v>85.0</v>
      </c>
      <c r="B86" s="123">
        <v>67.7</v>
      </c>
      <c r="C86" s="124" t="s">
        <v>175</v>
      </c>
      <c r="D86" s="123" t="s">
        <v>33</v>
      </c>
      <c r="E86" s="123" t="s">
        <v>540</v>
      </c>
      <c r="F86" s="123">
        <v>68.0</v>
      </c>
      <c r="G86" s="123">
        <v>33.1</v>
      </c>
      <c r="H86" s="123" t="s">
        <v>739</v>
      </c>
      <c r="I86" s="123" t="s">
        <v>740</v>
      </c>
      <c r="J86" s="123">
        <v>0.1</v>
      </c>
      <c r="K86" s="123">
        <v>13.4</v>
      </c>
      <c r="L86" s="128">
        <v>7.3</v>
      </c>
      <c r="M86" s="123">
        <v>6.0</v>
      </c>
      <c r="N86" s="123">
        <v>1.5</v>
      </c>
      <c r="O86" s="123">
        <v>0.6</v>
      </c>
      <c r="P86" s="129">
        <v>3.1</v>
      </c>
      <c r="Q86" s="129">
        <v>1.62</v>
      </c>
    </row>
    <row r="87">
      <c r="A87" s="123">
        <v>86.0</v>
      </c>
      <c r="B87" s="123">
        <v>85.7</v>
      </c>
      <c r="C87" s="124" t="s">
        <v>111</v>
      </c>
      <c r="D87" s="123" t="s">
        <v>539</v>
      </c>
      <c r="E87" s="123" t="s">
        <v>703</v>
      </c>
      <c r="F87" s="123">
        <v>68.0</v>
      </c>
      <c r="G87" s="123">
        <v>33.5</v>
      </c>
      <c r="H87" s="129" t="s">
        <v>741</v>
      </c>
      <c r="I87" s="130" t="s">
        <v>742</v>
      </c>
      <c r="J87" s="123">
        <v>2.4</v>
      </c>
      <c r="K87" s="129">
        <v>20.1</v>
      </c>
      <c r="L87" s="127">
        <v>6.5</v>
      </c>
      <c r="M87" s="129">
        <v>2.3</v>
      </c>
      <c r="N87" s="128">
        <v>0.9</v>
      </c>
      <c r="O87" s="123">
        <v>0.2</v>
      </c>
      <c r="P87" s="123">
        <v>1.6</v>
      </c>
      <c r="Q87" s="130">
        <v>1.58</v>
      </c>
    </row>
    <row r="88">
      <c r="A88" s="123">
        <v>87.0</v>
      </c>
      <c r="B88" s="123">
        <v>138.3</v>
      </c>
      <c r="C88" s="124" t="s">
        <v>99</v>
      </c>
      <c r="D88" s="123" t="s">
        <v>37</v>
      </c>
      <c r="E88" s="123" t="s">
        <v>550</v>
      </c>
      <c r="F88" s="123">
        <v>70.0</v>
      </c>
      <c r="G88" s="123">
        <v>26.7</v>
      </c>
      <c r="H88" s="123" t="s">
        <v>743</v>
      </c>
      <c r="I88" s="128" t="s">
        <v>744</v>
      </c>
      <c r="J88" s="123">
        <v>1.4</v>
      </c>
      <c r="K88" s="128">
        <v>12.3</v>
      </c>
      <c r="L88" s="123">
        <v>4.9</v>
      </c>
      <c r="M88" s="123">
        <v>0.6</v>
      </c>
      <c r="N88" s="123">
        <v>0.7</v>
      </c>
      <c r="O88" s="129">
        <v>1.3</v>
      </c>
      <c r="P88" s="127">
        <v>1.1</v>
      </c>
      <c r="Q88" s="128">
        <v>1.52</v>
      </c>
    </row>
    <row r="89">
      <c r="A89" s="123">
        <v>88.0</v>
      </c>
      <c r="B89" s="123">
        <v>107.6</v>
      </c>
      <c r="C89" s="124" t="s">
        <v>177</v>
      </c>
      <c r="D89" s="123" t="s">
        <v>539</v>
      </c>
      <c r="E89" s="123" t="s">
        <v>718</v>
      </c>
      <c r="F89" s="123">
        <v>80.0</v>
      </c>
      <c r="G89" s="123">
        <v>31.2</v>
      </c>
      <c r="H89" s="123" t="s">
        <v>745</v>
      </c>
      <c r="I89" s="130" t="s">
        <v>746</v>
      </c>
      <c r="J89" s="123">
        <v>1.4</v>
      </c>
      <c r="K89" s="129">
        <v>16.8</v>
      </c>
      <c r="L89" s="127">
        <v>4.7</v>
      </c>
      <c r="M89" s="123">
        <v>3.0</v>
      </c>
      <c r="N89" s="123">
        <v>0.9</v>
      </c>
      <c r="O89" s="128">
        <v>0.4</v>
      </c>
      <c r="P89" s="123">
        <v>1.6</v>
      </c>
      <c r="Q89" s="128">
        <v>1.46</v>
      </c>
    </row>
    <row r="90">
      <c r="A90" s="123">
        <v>89.0</v>
      </c>
      <c r="B90" s="123">
        <v>104.7</v>
      </c>
      <c r="C90" s="124" t="s">
        <v>134</v>
      </c>
      <c r="D90" s="123" t="s">
        <v>539</v>
      </c>
      <c r="E90" s="123" t="s">
        <v>650</v>
      </c>
      <c r="F90" s="123">
        <v>80.0</v>
      </c>
      <c r="G90" s="123">
        <v>33.4</v>
      </c>
      <c r="H90" s="129" t="s">
        <v>747</v>
      </c>
      <c r="I90" s="128" t="s">
        <v>748</v>
      </c>
      <c r="J90" s="129">
        <v>2.9</v>
      </c>
      <c r="K90" s="128">
        <v>17.5</v>
      </c>
      <c r="L90" s="123">
        <v>5.6</v>
      </c>
      <c r="M90" s="129">
        <v>2.9</v>
      </c>
      <c r="N90" s="123">
        <v>0.9</v>
      </c>
      <c r="O90" s="123">
        <v>0.2</v>
      </c>
      <c r="P90" s="128">
        <v>1.2</v>
      </c>
      <c r="Q90" s="128">
        <v>1.44</v>
      </c>
    </row>
    <row r="91">
      <c r="A91" s="123">
        <v>90.0</v>
      </c>
      <c r="B91" s="123">
        <v>139.2</v>
      </c>
      <c r="C91" s="124" t="s">
        <v>749</v>
      </c>
      <c r="D91" s="123" t="s">
        <v>539</v>
      </c>
      <c r="E91" s="123" t="s">
        <v>585</v>
      </c>
      <c r="F91" s="123">
        <v>72.0</v>
      </c>
      <c r="G91" s="123">
        <v>26.0</v>
      </c>
      <c r="H91" s="123" t="s">
        <v>750</v>
      </c>
      <c r="I91" s="130" t="s">
        <v>751</v>
      </c>
      <c r="J91" s="128">
        <v>1.8</v>
      </c>
      <c r="K91" s="123">
        <v>8.2</v>
      </c>
      <c r="L91" s="127">
        <v>5.4</v>
      </c>
      <c r="M91" s="123">
        <v>1.3</v>
      </c>
      <c r="N91" s="123">
        <v>1.3</v>
      </c>
      <c r="O91" s="123">
        <v>1.2</v>
      </c>
      <c r="P91" s="123">
        <v>1.1</v>
      </c>
      <c r="Q91" s="128">
        <v>1.38</v>
      </c>
    </row>
    <row r="92">
      <c r="A92" s="123">
        <v>91.0</v>
      </c>
      <c r="B92" s="123">
        <v>140.1</v>
      </c>
      <c r="C92" s="124" t="s">
        <v>125</v>
      </c>
      <c r="D92" s="123" t="s">
        <v>549</v>
      </c>
      <c r="E92" s="123" t="s">
        <v>721</v>
      </c>
      <c r="F92" s="123">
        <v>70.0</v>
      </c>
      <c r="G92" s="123">
        <v>26.0</v>
      </c>
      <c r="H92" s="128" t="s">
        <v>752</v>
      </c>
      <c r="I92" s="127" t="s">
        <v>753</v>
      </c>
      <c r="J92" s="128">
        <v>1.3</v>
      </c>
      <c r="K92" s="128">
        <v>11.5</v>
      </c>
      <c r="L92" s="130">
        <v>6.2</v>
      </c>
      <c r="M92" s="128">
        <v>3.9</v>
      </c>
      <c r="N92" s="127">
        <v>1.1</v>
      </c>
      <c r="O92" s="128">
        <v>0.7</v>
      </c>
      <c r="P92" s="123">
        <v>2.1</v>
      </c>
      <c r="Q92" s="129">
        <v>1.35</v>
      </c>
    </row>
    <row r="93">
      <c r="A93" s="123">
        <v>92.0</v>
      </c>
      <c r="B93" s="123">
        <v>54.1</v>
      </c>
      <c r="C93" s="124" t="s">
        <v>133</v>
      </c>
      <c r="D93" s="123" t="s">
        <v>34</v>
      </c>
      <c r="E93" s="123" t="s">
        <v>557</v>
      </c>
      <c r="F93" s="123">
        <v>69.0</v>
      </c>
      <c r="G93" s="123">
        <v>30.4</v>
      </c>
      <c r="H93" s="123" t="s">
        <v>754</v>
      </c>
      <c r="I93" s="129" t="s">
        <v>755</v>
      </c>
      <c r="J93" s="123">
        <v>3.5</v>
      </c>
      <c r="K93" s="129">
        <v>20.4</v>
      </c>
      <c r="L93" s="128">
        <v>3.9</v>
      </c>
      <c r="M93" s="123">
        <v>2.8</v>
      </c>
      <c r="N93" s="123">
        <v>0.5</v>
      </c>
      <c r="O93" s="130">
        <v>0.5</v>
      </c>
      <c r="P93" s="128">
        <v>1.3</v>
      </c>
      <c r="Q93" s="127">
        <v>1.35</v>
      </c>
    </row>
    <row r="94">
      <c r="A94" s="123">
        <v>93.0</v>
      </c>
      <c r="B94" s="123">
        <v>101.0</v>
      </c>
      <c r="C94" s="124" t="s">
        <v>756</v>
      </c>
      <c r="D94" s="123" t="s">
        <v>33</v>
      </c>
      <c r="E94" s="123" t="s">
        <v>604</v>
      </c>
      <c r="F94" s="123">
        <v>50.0</v>
      </c>
      <c r="G94" s="123">
        <v>30.4</v>
      </c>
      <c r="H94" s="123" t="s">
        <v>757</v>
      </c>
      <c r="I94" s="128" t="s">
        <v>758</v>
      </c>
      <c r="J94" s="129">
        <v>2.3</v>
      </c>
      <c r="K94" s="127">
        <v>10.3</v>
      </c>
      <c r="L94" s="129">
        <v>4.4</v>
      </c>
      <c r="M94" s="123">
        <v>4.6</v>
      </c>
      <c r="N94" s="130">
        <v>1.3</v>
      </c>
      <c r="O94" s="123">
        <v>0.6</v>
      </c>
      <c r="P94" s="128">
        <v>2.1</v>
      </c>
      <c r="Q94" s="128">
        <v>1.32</v>
      </c>
    </row>
    <row r="95">
      <c r="A95" s="123">
        <v>94.0</v>
      </c>
      <c r="B95" s="123">
        <v>140.1</v>
      </c>
      <c r="C95" s="124" t="s">
        <v>159</v>
      </c>
      <c r="D95" s="123" t="s">
        <v>549</v>
      </c>
      <c r="E95" s="123" t="s">
        <v>692</v>
      </c>
      <c r="F95" s="123">
        <v>69.0</v>
      </c>
      <c r="G95" s="123">
        <v>21.1</v>
      </c>
      <c r="H95" s="128" t="s">
        <v>759</v>
      </c>
      <c r="I95" s="123" t="s">
        <v>760</v>
      </c>
      <c r="J95" s="123">
        <v>0.2</v>
      </c>
      <c r="K95" s="129">
        <v>10.0</v>
      </c>
      <c r="L95" s="123">
        <v>5.9</v>
      </c>
      <c r="M95" s="123">
        <v>2.6</v>
      </c>
      <c r="N95" s="129">
        <v>0.8</v>
      </c>
      <c r="O95" s="123">
        <v>1.2</v>
      </c>
      <c r="P95" s="123">
        <v>1.4</v>
      </c>
      <c r="Q95" s="123">
        <v>1.31</v>
      </c>
    </row>
    <row r="96">
      <c r="A96" s="123">
        <v>95.0</v>
      </c>
      <c r="B96" s="123">
        <v>80.6</v>
      </c>
      <c r="C96" s="124" t="s">
        <v>189</v>
      </c>
      <c r="D96" s="123" t="s">
        <v>36</v>
      </c>
      <c r="E96" s="123" t="s">
        <v>718</v>
      </c>
      <c r="F96" s="123">
        <v>73.0</v>
      </c>
      <c r="G96" s="123">
        <v>31.8</v>
      </c>
      <c r="H96" s="123" t="s">
        <v>761</v>
      </c>
      <c r="I96" s="128" t="s">
        <v>762</v>
      </c>
      <c r="J96" s="128">
        <v>1.1</v>
      </c>
      <c r="K96" s="123">
        <v>17.9</v>
      </c>
      <c r="L96" s="129">
        <v>7.7</v>
      </c>
      <c r="M96" s="123">
        <v>3.2</v>
      </c>
      <c r="N96" s="128">
        <v>0.8</v>
      </c>
      <c r="O96" s="129">
        <v>0.9</v>
      </c>
      <c r="P96" s="123">
        <v>2.4</v>
      </c>
      <c r="Q96" s="128">
        <v>1.27</v>
      </c>
    </row>
    <row r="97">
      <c r="A97" s="123">
        <v>96.0</v>
      </c>
      <c r="B97" s="123">
        <v>139.6</v>
      </c>
      <c r="C97" s="124" t="s">
        <v>136</v>
      </c>
      <c r="D97" s="123" t="s">
        <v>33</v>
      </c>
      <c r="E97" s="123" t="s">
        <v>598</v>
      </c>
      <c r="F97" s="123">
        <v>72.0</v>
      </c>
      <c r="G97" s="123">
        <v>28.0</v>
      </c>
      <c r="H97" s="129" t="s">
        <v>763</v>
      </c>
      <c r="I97" s="123" t="s">
        <v>764</v>
      </c>
      <c r="J97" s="123">
        <v>1.8</v>
      </c>
      <c r="K97" s="128">
        <v>12.6</v>
      </c>
      <c r="L97" s="123">
        <v>3.0</v>
      </c>
      <c r="M97" s="129">
        <v>6.2</v>
      </c>
      <c r="N97" s="123">
        <v>0.8</v>
      </c>
      <c r="O97" s="128">
        <v>0.2</v>
      </c>
      <c r="P97" s="123">
        <v>1.0</v>
      </c>
      <c r="Q97" s="129">
        <v>1.27</v>
      </c>
    </row>
    <row r="98">
      <c r="A98" s="123">
        <v>97.0</v>
      </c>
      <c r="B98" s="123">
        <v>81.5</v>
      </c>
      <c r="C98" s="124" t="s">
        <v>188</v>
      </c>
      <c r="D98" s="123" t="s">
        <v>562</v>
      </c>
      <c r="E98" s="123" t="s">
        <v>612</v>
      </c>
      <c r="F98" s="123">
        <v>64.0</v>
      </c>
      <c r="G98" s="123">
        <v>32.5</v>
      </c>
      <c r="H98" s="129" t="s">
        <v>765</v>
      </c>
      <c r="I98" s="123" t="s">
        <v>766</v>
      </c>
      <c r="J98" s="128">
        <v>1.2</v>
      </c>
      <c r="K98" s="123">
        <v>14.5</v>
      </c>
      <c r="L98" s="129">
        <v>8.2</v>
      </c>
      <c r="M98" s="129">
        <v>6.7</v>
      </c>
      <c r="N98" s="128">
        <v>1.0</v>
      </c>
      <c r="O98" s="128">
        <v>0.4</v>
      </c>
      <c r="P98" s="123">
        <v>3.4</v>
      </c>
      <c r="Q98" s="123">
        <v>1.27</v>
      </c>
    </row>
    <row r="99">
      <c r="A99" s="123">
        <v>98.0</v>
      </c>
      <c r="B99" s="123">
        <v>57.1</v>
      </c>
      <c r="C99" s="124" t="s">
        <v>109</v>
      </c>
      <c r="D99" s="123" t="s">
        <v>549</v>
      </c>
      <c r="E99" s="123" t="s">
        <v>565</v>
      </c>
      <c r="F99" s="123">
        <v>72.0</v>
      </c>
      <c r="G99" s="123">
        <v>29.6</v>
      </c>
      <c r="H99" s="123" t="s">
        <v>767</v>
      </c>
      <c r="I99" s="128" t="s">
        <v>768</v>
      </c>
      <c r="J99" s="129">
        <v>1.7</v>
      </c>
      <c r="K99" s="129">
        <v>17.1</v>
      </c>
      <c r="L99" s="128">
        <v>9.4</v>
      </c>
      <c r="M99" s="123">
        <v>2.0</v>
      </c>
      <c r="N99" s="128">
        <v>0.8</v>
      </c>
      <c r="O99" s="129">
        <v>1.0</v>
      </c>
      <c r="P99" s="123">
        <v>1.8</v>
      </c>
      <c r="Q99" s="128">
        <v>1.26</v>
      </c>
    </row>
    <row r="100">
      <c r="A100" s="123">
        <v>99.0</v>
      </c>
      <c r="B100" s="123">
        <v>86.1</v>
      </c>
      <c r="C100" s="124" t="s">
        <v>122</v>
      </c>
      <c r="D100" s="123" t="s">
        <v>37</v>
      </c>
      <c r="E100" s="123" t="s">
        <v>574</v>
      </c>
      <c r="F100" s="123">
        <v>65.0</v>
      </c>
      <c r="G100" s="123">
        <v>28.2</v>
      </c>
      <c r="H100" s="123" t="s">
        <v>769</v>
      </c>
      <c r="I100" s="123" t="s">
        <v>770</v>
      </c>
      <c r="J100" s="123">
        <v>0.3</v>
      </c>
      <c r="K100" s="128">
        <v>13.8</v>
      </c>
      <c r="L100" s="130">
        <v>10.9</v>
      </c>
      <c r="M100" s="123">
        <v>2.6</v>
      </c>
      <c r="N100" s="129">
        <v>1.1</v>
      </c>
      <c r="O100" s="128">
        <v>0.8</v>
      </c>
      <c r="P100" s="128">
        <v>2.7</v>
      </c>
      <c r="Q100" s="126">
        <v>1.24</v>
      </c>
    </row>
    <row r="101">
      <c r="A101" s="123">
        <v>100.0</v>
      </c>
      <c r="B101" s="123">
        <v>112.4</v>
      </c>
      <c r="C101" s="124" t="s">
        <v>168</v>
      </c>
      <c r="D101" s="123" t="s">
        <v>33</v>
      </c>
      <c r="E101" s="123" t="s">
        <v>721</v>
      </c>
      <c r="F101" s="123">
        <v>64.0</v>
      </c>
      <c r="G101" s="123">
        <v>27.2</v>
      </c>
      <c r="H101" s="128" t="s">
        <v>771</v>
      </c>
      <c r="I101" s="127" t="s">
        <v>772</v>
      </c>
      <c r="J101" s="128">
        <v>2.3</v>
      </c>
      <c r="K101" s="130">
        <v>13.3</v>
      </c>
      <c r="L101" s="130">
        <v>3.0</v>
      </c>
      <c r="M101" s="128">
        <v>5.1</v>
      </c>
      <c r="N101" s="129">
        <v>1.1</v>
      </c>
      <c r="O101" s="130">
        <v>0.3</v>
      </c>
      <c r="P101" s="129">
        <v>1.6</v>
      </c>
      <c r="Q101" s="126">
        <v>1.22</v>
      </c>
    </row>
    <row r="102">
      <c r="A102" s="123">
        <v>101.0</v>
      </c>
      <c r="B102" s="123">
        <v>112.2</v>
      </c>
      <c r="C102" s="124" t="s">
        <v>58</v>
      </c>
      <c r="D102" s="123" t="s">
        <v>36</v>
      </c>
      <c r="E102" s="123" t="s">
        <v>736</v>
      </c>
      <c r="F102" s="123">
        <v>73.0</v>
      </c>
      <c r="G102" s="123">
        <v>28.8</v>
      </c>
      <c r="H102" s="123" t="s">
        <v>773</v>
      </c>
      <c r="I102" s="129" t="s">
        <v>774</v>
      </c>
      <c r="J102" s="128">
        <v>1.3</v>
      </c>
      <c r="K102" s="129">
        <v>16.5</v>
      </c>
      <c r="L102" s="123">
        <v>7.4</v>
      </c>
      <c r="M102" s="123">
        <v>1.5</v>
      </c>
      <c r="N102" s="123">
        <v>0.8</v>
      </c>
      <c r="O102" s="128">
        <v>1.1</v>
      </c>
      <c r="P102" s="128">
        <v>1.9</v>
      </c>
      <c r="Q102" s="129">
        <v>1.21</v>
      </c>
    </row>
    <row r="103">
      <c r="A103" s="123">
        <v>102.0</v>
      </c>
      <c r="B103" s="123">
        <v>139.6</v>
      </c>
      <c r="C103" s="124" t="s">
        <v>80</v>
      </c>
      <c r="D103" s="123" t="s">
        <v>37</v>
      </c>
      <c r="E103" s="123" t="s">
        <v>565</v>
      </c>
      <c r="F103" s="123">
        <v>76.0</v>
      </c>
      <c r="G103" s="123">
        <v>22.2</v>
      </c>
      <c r="H103" s="123" t="s">
        <v>775</v>
      </c>
      <c r="I103" s="128" t="s">
        <v>776</v>
      </c>
      <c r="J103" s="129">
        <v>0.0</v>
      </c>
      <c r="K103" s="129">
        <v>11.8</v>
      </c>
      <c r="L103" s="129">
        <v>8.8</v>
      </c>
      <c r="M103" s="129">
        <v>0.9</v>
      </c>
      <c r="N103" s="128">
        <v>0.4</v>
      </c>
      <c r="O103" s="128">
        <v>1.4</v>
      </c>
      <c r="P103" s="128">
        <v>1.9</v>
      </c>
      <c r="Q103" s="130">
        <v>1.1</v>
      </c>
    </row>
    <row r="104">
      <c r="A104" s="123">
        <v>103.0</v>
      </c>
      <c r="B104" s="123">
        <v>134.6</v>
      </c>
      <c r="C104" s="124" t="s">
        <v>157</v>
      </c>
      <c r="D104" s="123" t="s">
        <v>33</v>
      </c>
      <c r="E104" s="123" t="s">
        <v>703</v>
      </c>
      <c r="F104" s="123">
        <v>71.0</v>
      </c>
      <c r="G104" s="123">
        <v>30.0</v>
      </c>
      <c r="H104" s="129" t="s">
        <v>777</v>
      </c>
      <c r="I104" s="130" t="s">
        <v>778</v>
      </c>
      <c r="J104" s="123">
        <v>0.7</v>
      </c>
      <c r="K104" s="129">
        <v>12.2</v>
      </c>
      <c r="L104" s="123">
        <v>4.0</v>
      </c>
      <c r="M104" s="129">
        <v>6.2</v>
      </c>
      <c r="N104" s="128">
        <v>1.1</v>
      </c>
      <c r="O104" s="123">
        <v>0.2</v>
      </c>
      <c r="P104" s="129">
        <v>1.3</v>
      </c>
      <c r="Q104" s="128">
        <v>1.09</v>
      </c>
    </row>
    <row r="105">
      <c r="A105" s="123">
        <v>104.0</v>
      </c>
      <c r="B105" s="123">
        <v>111.5</v>
      </c>
      <c r="C105" s="124" t="s">
        <v>176</v>
      </c>
      <c r="D105" s="123" t="s">
        <v>546</v>
      </c>
      <c r="E105" s="123" t="s">
        <v>736</v>
      </c>
      <c r="F105" s="123">
        <v>61.0</v>
      </c>
      <c r="G105" s="123">
        <v>31.3</v>
      </c>
      <c r="H105" s="128" t="s">
        <v>779</v>
      </c>
      <c r="I105" s="128" t="s">
        <v>780</v>
      </c>
      <c r="J105" s="128">
        <v>2.6</v>
      </c>
      <c r="K105" s="123">
        <v>16.9</v>
      </c>
      <c r="L105" s="123">
        <v>4.5</v>
      </c>
      <c r="M105" s="128">
        <v>6.3</v>
      </c>
      <c r="N105" s="129">
        <v>1.1</v>
      </c>
      <c r="O105" s="128">
        <v>0.4</v>
      </c>
      <c r="P105" s="129">
        <v>3.2</v>
      </c>
      <c r="Q105" s="129">
        <v>1.07</v>
      </c>
    </row>
    <row r="106">
      <c r="A106" s="123">
        <v>105.0</v>
      </c>
      <c r="B106" s="123">
        <v>140.0</v>
      </c>
      <c r="C106" s="124" t="s">
        <v>135</v>
      </c>
      <c r="D106" s="123" t="s">
        <v>36</v>
      </c>
      <c r="E106" s="123" t="s">
        <v>721</v>
      </c>
      <c r="F106" s="123">
        <v>70.0</v>
      </c>
      <c r="G106" s="123">
        <v>28.0</v>
      </c>
      <c r="H106" s="123" t="s">
        <v>781</v>
      </c>
      <c r="I106" s="127" t="s">
        <v>782</v>
      </c>
      <c r="J106" s="129">
        <v>0.0</v>
      </c>
      <c r="K106" s="130">
        <v>8.9</v>
      </c>
      <c r="L106" s="130">
        <v>9.4</v>
      </c>
      <c r="M106" s="123">
        <v>1.5</v>
      </c>
      <c r="N106" s="129">
        <v>1.3</v>
      </c>
      <c r="O106" s="128">
        <v>0.7</v>
      </c>
      <c r="P106" s="128">
        <v>1.1</v>
      </c>
      <c r="Q106" s="129">
        <v>1.02</v>
      </c>
    </row>
    <row r="107">
      <c r="A107" s="123">
        <v>106.0</v>
      </c>
      <c r="B107" s="123">
        <v>83.7</v>
      </c>
      <c r="C107" s="124" t="s">
        <v>179</v>
      </c>
      <c r="D107" s="123" t="s">
        <v>37</v>
      </c>
      <c r="E107" s="123" t="s">
        <v>568</v>
      </c>
      <c r="F107" s="123">
        <v>72.0</v>
      </c>
      <c r="G107" s="123">
        <v>26.9</v>
      </c>
      <c r="H107" s="129" t="s">
        <v>783</v>
      </c>
      <c r="I107" s="128" t="s">
        <v>784</v>
      </c>
      <c r="J107" s="123">
        <v>0.0</v>
      </c>
      <c r="K107" s="123">
        <v>11.0</v>
      </c>
      <c r="L107" s="129">
        <v>11.8</v>
      </c>
      <c r="M107" s="129">
        <v>1.2</v>
      </c>
      <c r="N107" s="128">
        <v>0.7</v>
      </c>
      <c r="O107" s="123">
        <v>1.3</v>
      </c>
      <c r="P107" s="129">
        <v>0.6</v>
      </c>
      <c r="Q107" s="128">
        <v>1.0</v>
      </c>
    </row>
    <row r="108">
      <c r="A108" s="123">
        <v>107.0</v>
      </c>
      <c r="B108" s="123">
        <v>138.8</v>
      </c>
      <c r="C108" s="124" t="s">
        <v>60</v>
      </c>
      <c r="D108" s="123" t="s">
        <v>539</v>
      </c>
      <c r="E108" s="123" t="s">
        <v>661</v>
      </c>
      <c r="F108" s="123">
        <v>76.0</v>
      </c>
      <c r="G108" s="123">
        <v>30.0</v>
      </c>
      <c r="H108" s="123" t="s">
        <v>785</v>
      </c>
      <c r="I108" s="129" t="s">
        <v>786</v>
      </c>
      <c r="J108" s="129">
        <v>0.7</v>
      </c>
      <c r="K108" s="128">
        <v>9.7</v>
      </c>
      <c r="L108" s="130">
        <v>3.9</v>
      </c>
      <c r="M108" s="123">
        <v>2.0</v>
      </c>
      <c r="N108" s="127">
        <v>1.5</v>
      </c>
      <c r="O108" s="128">
        <v>0.7</v>
      </c>
      <c r="P108" s="128">
        <v>1.3</v>
      </c>
      <c r="Q108" s="129">
        <v>0.97</v>
      </c>
    </row>
    <row r="109">
      <c r="A109" s="123">
        <v>108.0</v>
      </c>
      <c r="B109" s="123">
        <v>108.5</v>
      </c>
      <c r="C109" s="124" t="s">
        <v>126</v>
      </c>
      <c r="D109" s="123" t="s">
        <v>549</v>
      </c>
      <c r="E109" s="123" t="s">
        <v>550</v>
      </c>
      <c r="F109" s="123">
        <v>72.0</v>
      </c>
      <c r="G109" s="123">
        <v>26.6</v>
      </c>
      <c r="H109" s="128" t="s">
        <v>787</v>
      </c>
      <c r="I109" s="127" t="s">
        <v>788</v>
      </c>
      <c r="J109" s="123">
        <v>1.8</v>
      </c>
      <c r="K109" s="130">
        <v>13.8</v>
      </c>
      <c r="L109" s="130">
        <v>8.6</v>
      </c>
      <c r="M109" s="128">
        <v>1.1</v>
      </c>
      <c r="N109" s="127">
        <v>0.7</v>
      </c>
      <c r="O109" s="123">
        <v>0.7</v>
      </c>
      <c r="P109" s="128">
        <v>1.2</v>
      </c>
      <c r="Q109" s="129">
        <v>0.97</v>
      </c>
    </row>
    <row r="110">
      <c r="A110" s="123">
        <v>109.0</v>
      </c>
      <c r="B110" s="123">
        <v>102.6</v>
      </c>
      <c r="C110" s="124" t="s">
        <v>166</v>
      </c>
      <c r="D110" s="123" t="s">
        <v>603</v>
      </c>
      <c r="E110" s="123" t="s">
        <v>582</v>
      </c>
      <c r="F110" s="123">
        <v>78.0</v>
      </c>
      <c r="G110" s="123">
        <v>30.4</v>
      </c>
      <c r="H110" s="123" t="s">
        <v>789</v>
      </c>
      <c r="I110" s="130" t="s">
        <v>790</v>
      </c>
      <c r="J110" s="123">
        <v>3.2</v>
      </c>
      <c r="K110" s="128">
        <v>15.8</v>
      </c>
      <c r="L110" s="123">
        <v>4.3</v>
      </c>
      <c r="M110" s="123">
        <v>2.8</v>
      </c>
      <c r="N110" s="128">
        <v>0.9</v>
      </c>
      <c r="O110" s="123">
        <v>0.3</v>
      </c>
      <c r="P110" s="129">
        <v>1.9</v>
      </c>
      <c r="Q110" s="128">
        <v>0.96</v>
      </c>
    </row>
    <row r="111">
      <c r="A111" s="123">
        <v>110.0</v>
      </c>
      <c r="B111" s="123">
        <v>139.0</v>
      </c>
      <c r="C111" s="124" t="s">
        <v>791</v>
      </c>
      <c r="D111" s="123" t="s">
        <v>539</v>
      </c>
      <c r="E111" s="123" t="s">
        <v>565</v>
      </c>
      <c r="F111" s="123">
        <v>80.0</v>
      </c>
      <c r="G111" s="123">
        <v>32.1</v>
      </c>
      <c r="H111" s="123" t="s">
        <v>792</v>
      </c>
      <c r="I111" s="130" t="s">
        <v>793</v>
      </c>
      <c r="J111" s="123">
        <v>2.2</v>
      </c>
      <c r="K111" s="129">
        <v>12.0</v>
      </c>
      <c r="L111" s="127">
        <v>4.7</v>
      </c>
      <c r="M111" s="123">
        <v>1.9</v>
      </c>
      <c r="N111" s="128">
        <v>1.1</v>
      </c>
      <c r="O111" s="129">
        <v>0.5</v>
      </c>
      <c r="P111" s="123">
        <v>1.0</v>
      </c>
      <c r="Q111" s="130">
        <v>0.91</v>
      </c>
    </row>
    <row r="112">
      <c r="A112" s="123">
        <v>111.0</v>
      </c>
      <c r="B112" s="123">
        <v>94.1</v>
      </c>
      <c r="C112" s="124" t="s">
        <v>146</v>
      </c>
      <c r="D112" s="123" t="s">
        <v>539</v>
      </c>
      <c r="E112" s="123" t="s">
        <v>598</v>
      </c>
      <c r="F112" s="123">
        <v>70.0</v>
      </c>
      <c r="G112" s="123">
        <v>33.4</v>
      </c>
      <c r="H112" s="123" t="s">
        <v>794</v>
      </c>
      <c r="I112" s="130" t="s">
        <v>795</v>
      </c>
      <c r="J112" s="123">
        <v>1.9</v>
      </c>
      <c r="K112" s="129">
        <v>16.5</v>
      </c>
      <c r="L112" s="123">
        <v>8.1</v>
      </c>
      <c r="M112" s="123">
        <v>3.1</v>
      </c>
      <c r="N112" s="128">
        <v>0.6</v>
      </c>
      <c r="O112" s="123">
        <v>0.9</v>
      </c>
      <c r="P112" s="123">
        <v>2.7</v>
      </c>
      <c r="Q112" s="123">
        <v>0.9</v>
      </c>
    </row>
    <row r="113">
      <c r="A113" s="123">
        <v>112.0</v>
      </c>
      <c r="B113" s="123">
        <v>139.3</v>
      </c>
      <c r="C113" s="124" t="s">
        <v>75</v>
      </c>
      <c r="D113" s="123" t="s">
        <v>539</v>
      </c>
      <c r="E113" s="123" t="s">
        <v>588</v>
      </c>
      <c r="F113" s="123">
        <v>66.0</v>
      </c>
      <c r="G113" s="123">
        <v>28.2</v>
      </c>
      <c r="H113" s="123" t="s">
        <v>796</v>
      </c>
      <c r="I113" s="128" t="s">
        <v>797</v>
      </c>
      <c r="J113" s="123">
        <v>2.6</v>
      </c>
      <c r="K113" s="123">
        <v>13.4</v>
      </c>
      <c r="L113" s="123">
        <v>4.5</v>
      </c>
      <c r="M113" s="123">
        <v>1.6</v>
      </c>
      <c r="N113" s="128">
        <v>1.0</v>
      </c>
      <c r="O113" s="123">
        <v>0.2</v>
      </c>
      <c r="P113" s="123">
        <v>0.8</v>
      </c>
      <c r="Q113" s="128">
        <v>0.75</v>
      </c>
    </row>
    <row r="114">
      <c r="A114" s="123">
        <v>113.0</v>
      </c>
      <c r="B114" s="123">
        <v>136.9</v>
      </c>
      <c r="C114" s="124" t="s">
        <v>798</v>
      </c>
      <c r="D114" s="123" t="s">
        <v>603</v>
      </c>
      <c r="E114" s="123" t="s">
        <v>568</v>
      </c>
      <c r="F114" s="123">
        <v>65.0</v>
      </c>
      <c r="G114" s="123">
        <v>30.1</v>
      </c>
      <c r="H114" s="123" t="s">
        <v>799</v>
      </c>
      <c r="I114" s="129" t="s">
        <v>800</v>
      </c>
      <c r="J114" s="123">
        <v>2.6</v>
      </c>
      <c r="K114" s="128">
        <v>14.7</v>
      </c>
      <c r="L114" s="128">
        <v>3.9</v>
      </c>
      <c r="M114" s="128">
        <v>2.9</v>
      </c>
      <c r="N114" s="123">
        <v>1.1</v>
      </c>
      <c r="O114" s="123">
        <v>0.2</v>
      </c>
      <c r="P114" s="129">
        <v>1.1</v>
      </c>
      <c r="Q114" s="123">
        <v>0.7</v>
      </c>
    </row>
    <row r="115">
      <c r="A115" s="123">
        <v>114.0</v>
      </c>
      <c r="B115" s="123">
        <v>79.7</v>
      </c>
      <c r="C115" s="124" t="s">
        <v>66</v>
      </c>
      <c r="D115" s="123" t="s">
        <v>34</v>
      </c>
      <c r="E115" s="123" t="s">
        <v>736</v>
      </c>
      <c r="F115" s="123">
        <v>72.0</v>
      </c>
      <c r="G115" s="123">
        <v>33.9</v>
      </c>
      <c r="H115" s="129" t="s">
        <v>801</v>
      </c>
      <c r="I115" s="128" t="s">
        <v>802</v>
      </c>
      <c r="J115" s="123">
        <v>2.7</v>
      </c>
      <c r="K115" s="123">
        <v>20.9</v>
      </c>
      <c r="L115" s="127">
        <v>3.7</v>
      </c>
      <c r="M115" s="129">
        <v>3.1</v>
      </c>
      <c r="N115" s="128">
        <v>0.8</v>
      </c>
      <c r="O115" s="128">
        <v>0.3</v>
      </c>
      <c r="P115" s="130">
        <v>2.2</v>
      </c>
      <c r="Q115" s="128">
        <v>0.6</v>
      </c>
    </row>
    <row r="116">
      <c r="A116" s="123">
        <v>115.0</v>
      </c>
      <c r="B116" s="123">
        <v>139.9</v>
      </c>
      <c r="C116" s="124" t="s">
        <v>113</v>
      </c>
      <c r="D116" s="123" t="s">
        <v>549</v>
      </c>
      <c r="E116" s="123" t="s">
        <v>540</v>
      </c>
      <c r="F116" s="123">
        <v>69.0</v>
      </c>
      <c r="G116" s="123">
        <v>27.1</v>
      </c>
      <c r="H116" s="128" t="s">
        <v>803</v>
      </c>
      <c r="I116" s="129" t="s">
        <v>804</v>
      </c>
      <c r="J116" s="130">
        <v>0.0</v>
      </c>
      <c r="K116" s="123">
        <v>10.8</v>
      </c>
      <c r="L116" s="130">
        <v>7.5</v>
      </c>
      <c r="M116" s="128">
        <v>1.2</v>
      </c>
      <c r="N116" s="128">
        <v>0.7</v>
      </c>
      <c r="O116" s="127">
        <v>1.5</v>
      </c>
      <c r="P116" s="127">
        <v>1.1</v>
      </c>
      <c r="Q116" s="128">
        <v>0.55</v>
      </c>
    </row>
    <row r="117">
      <c r="A117" s="123">
        <v>116.0</v>
      </c>
      <c r="B117" s="123">
        <v>85.2</v>
      </c>
      <c r="C117" s="124" t="s">
        <v>59</v>
      </c>
      <c r="D117" s="123" t="s">
        <v>546</v>
      </c>
      <c r="E117" s="123" t="s">
        <v>574</v>
      </c>
      <c r="F117" s="123">
        <v>70.0</v>
      </c>
      <c r="G117" s="123">
        <v>32.1</v>
      </c>
      <c r="H117" s="129" t="s">
        <v>805</v>
      </c>
      <c r="I117" s="127" t="s">
        <v>806</v>
      </c>
      <c r="J117" s="123">
        <v>3.0</v>
      </c>
      <c r="K117" s="123">
        <v>18.8</v>
      </c>
      <c r="L117" s="128">
        <v>3.0</v>
      </c>
      <c r="M117" s="129">
        <v>3.3</v>
      </c>
      <c r="N117" s="128">
        <v>0.6</v>
      </c>
      <c r="O117" s="128">
        <v>0.1</v>
      </c>
      <c r="P117" s="130">
        <v>2.2</v>
      </c>
      <c r="Q117" s="128">
        <v>0.54</v>
      </c>
    </row>
    <row r="118">
      <c r="A118" s="123">
        <v>117.0</v>
      </c>
      <c r="B118" s="123">
        <v>121.9</v>
      </c>
      <c r="C118" s="124" t="s">
        <v>101</v>
      </c>
      <c r="D118" s="123" t="s">
        <v>546</v>
      </c>
      <c r="E118" s="123" t="s">
        <v>565</v>
      </c>
      <c r="F118" s="123">
        <v>70.0</v>
      </c>
      <c r="G118" s="123">
        <v>31.7</v>
      </c>
      <c r="H118" s="128" t="s">
        <v>807</v>
      </c>
      <c r="I118" s="126" t="s">
        <v>808</v>
      </c>
      <c r="J118" s="123">
        <v>1.9</v>
      </c>
      <c r="K118" s="130">
        <v>15.9</v>
      </c>
      <c r="L118" s="130">
        <v>4.6</v>
      </c>
      <c r="M118" s="128">
        <v>5.7</v>
      </c>
      <c r="N118" s="123">
        <v>0.8</v>
      </c>
      <c r="O118" s="130">
        <v>0.2</v>
      </c>
      <c r="P118" s="128">
        <v>1.8</v>
      </c>
      <c r="Q118" s="126">
        <v>0.48</v>
      </c>
    </row>
    <row r="119">
      <c r="A119" s="123">
        <v>118.0</v>
      </c>
      <c r="B119" s="123">
        <v>71.3</v>
      </c>
      <c r="C119" s="124" t="s">
        <v>190</v>
      </c>
      <c r="D119" s="123" t="s">
        <v>546</v>
      </c>
      <c r="E119" s="123" t="s">
        <v>721</v>
      </c>
      <c r="F119" s="123">
        <v>72.0</v>
      </c>
      <c r="G119" s="123">
        <v>33.7</v>
      </c>
      <c r="H119" s="123" t="s">
        <v>809</v>
      </c>
      <c r="I119" s="129" t="s">
        <v>810</v>
      </c>
      <c r="J119" s="128">
        <v>1.3</v>
      </c>
      <c r="K119" s="123">
        <v>21.5</v>
      </c>
      <c r="L119" s="127">
        <v>3.4</v>
      </c>
      <c r="M119" s="123">
        <v>4.1</v>
      </c>
      <c r="N119" s="128">
        <v>1.0</v>
      </c>
      <c r="O119" s="128">
        <v>0.1</v>
      </c>
      <c r="P119" s="128">
        <v>2.8</v>
      </c>
      <c r="Q119" s="128">
        <v>0.46</v>
      </c>
    </row>
    <row r="120">
      <c r="A120" s="123">
        <v>119.0</v>
      </c>
      <c r="B120" s="123">
        <v>140.2</v>
      </c>
      <c r="C120" s="124" t="s">
        <v>811</v>
      </c>
      <c r="D120" s="123" t="s">
        <v>35</v>
      </c>
      <c r="E120" s="123" t="s">
        <v>571</v>
      </c>
      <c r="F120" s="123">
        <v>73.0</v>
      </c>
      <c r="G120" s="123">
        <v>28.4</v>
      </c>
      <c r="H120" s="128" t="s">
        <v>812</v>
      </c>
      <c r="I120" s="127" t="s">
        <v>813</v>
      </c>
      <c r="J120" s="123">
        <v>1.1</v>
      </c>
      <c r="K120" s="123">
        <v>10.3</v>
      </c>
      <c r="L120" s="130">
        <v>4.8</v>
      </c>
      <c r="M120" s="128">
        <v>2.9</v>
      </c>
      <c r="N120" s="129">
        <v>1.3</v>
      </c>
      <c r="O120" s="128">
        <v>0.6</v>
      </c>
      <c r="P120" s="130">
        <v>1.1</v>
      </c>
      <c r="Q120" s="129">
        <v>0.43</v>
      </c>
    </row>
    <row r="121">
      <c r="A121" s="123">
        <v>120.0</v>
      </c>
      <c r="B121" s="123">
        <v>139.9</v>
      </c>
      <c r="C121" s="124" t="s">
        <v>180</v>
      </c>
      <c r="D121" s="123" t="s">
        <v>33</v>
      </c>
      <c r="E121" s="123" t="s">
        <v>536</v>
      </c>
      <c r="F121" s="123">
        <v>72.0</v>
      </c>
      <c r="G121" s="123">
        <v>24.0</v>
      </c>
      <c r="H121" s="123" t="s">
        <v>814</v>
      </c>
      <c r="I121" s="123" t="s">
        <v>815</v>
      </c>
      <c r="J121" s="123">
        <v>2.4</v>
      </c>
      <c r="K121" s="129">
        <v>12.4</v>
      </c>
      <c r="L121" s="128">
        <v>3.5</v>
      </c>
      <c r="M121" s="123">
        <v>3.6</v>
      </c>
      <c r="N121" s="130">
        <v>0.8</v>
      </c>
      <c r="O121" s="129">
        <v>0.4</v>
      </c>
      <c r="P121" s="123">
        <v>1.7</v>
      </c>
      <c r="Q121" s="128">
        <v>0.42</v>
      </c>
    </row>
    <row r="122">
      <c r="A122" s="123">
        <v>121.0</v>
      </c>
      <c r="B122" s="123">
        <v>136.6</v>
      </c>
      <c r="C122" s="124" t="s">
        <v>97</v>
      </c>
      <c r="D122" s="123" t="s">
        <v>36</v>
      </c>
      <c r="E122" s="123" t="s">
        <v>582</v>
      </c>
      <c r="F122" s="123">
        <v>72.0</v>
      </c>
      <c r="G122" s="123">
        <v>28.1</v>
      </c>
      <c r="H122" s="128" t="s">
        <v>816</v>
      </c>
      <c r="I122" s="128" t="s">
        <v>817</v>
      </c>
      <c r="J122" s="129">
        <v>1.3</v>
      </c>
      <c r="K122" s="127">
        <v>13.5</v>
      </c>
      <c r="L122" s="123">
        <v>7.5</v>
      </c>
      <c r="M122" s="123">
        <v>0.8</v>
      </c>
      <c r="N122" s="128">
        <v>0.5</v>
      </c>
      <c r="O122" s="128">
        <v>1.1</v>
      </c>
      <c r="P122" s="128">
        <v>1.3</v>
      </c>
      <c r="Q122" s="128">
        <v>0.37</v>
      </c>
    </row>
    <row r="123">
      <c r="A123" s="123">
        <v>122.0</v>
      </c>
      <c r="B123" s="123">
        <v>140.2</v>
      </c>
      <c r="C123" s="124" t="s">
        <v>818</v>
      </c>
      <c r="D123" s="123" t="s">
        <v>34</v>
      </c>
      <c r="E123" s="123" t="s">
        <v>554</v>
      </c>
      <c r="F123" s="123">
        <v>60.0</v>
      </c>
      <c r="G123" s="123">
        <v>27.0</v>
      </c>
      <c r="H123" s="123" t="s">
        <v>819</v>
      </c>
      <c r="I123" s="126" t="s">
        <v>820</v>
      </c>
      <c r="J123" s="128">
        <v>2.1</v>
      </c>
      <c r="K123" s="130">
        <v>13.6</v>
      </c>
      <c r="L123" s="128">
        <v>3.0</v>
      </c>
      <c r="M123" s="123">
        <v>2.4</v>
      </c>
      <c r="N123" s="123">
        <v>0.9</v>
      </c>
      <c r="O123" s="128">
        <v>0.3</v>
      </c>
      <c r="P123" s="130">
        <v>1.3</v>
      </c>
      <c r="Q123" s="123">
        <v>0.34</v>
      </c>
    </row>
    <row r="124">
      <c r="A124" s="123">
        <v>123.0</v>
      </c>
      <c r="B124" s="123">
        <v>73.2</v>
      </c>
      <c r="C124" s="124" t="s">
        <v>147</v>
      </c>
      <c r="D124" s="123" t="s">
        <v>562</v>
      </c>
      <c r="E124" s="123" t="s">
        <v>577</v>
      </c>
      <c r="F124" s="123">
        <v>60.0</v>
      </c>
      <c r="G124" s="123">
        <v>27.6</v>
      </c>
      <c r="H124" s="128" t="s">
        <v>821</v>
      </c>
      <c r="I124" s="129" t="s">
        <v>822</v>
      </c>
      <c r="J124" s="123">
        <v>1.3</v>
      </c>
      <c r="K124" s="128">
        <v>16.1</v>
      </c>
      <c r="L124" s="130">
        <v>4.3</v>
      </c>
      <c r="M124" s="128">
        <v>3.9</v>
      </c>
      <c r="N124" s="129">
        <v>0.7</v>
      </c>
      <c r="O124" s="128">
        <v>0.3</v>
      </c>
      <c r="P124" s="123">
        <v>1.8</v>
      </c>
      <c r="Q124" s="129">
        <v>0.34</v>
      </c>
    </row>
    <row r="125">
      <c r="A125" s="123">
        <v>124.0</v>
      </c>
      <c r="B125" s="123">
        <v>139.7</v>
      </c>
      <c r="C125" s="124" t="s">
        <v>823</v>
      </c>
      <c r="D125" s="123" t="s">
        <v>549</v>
      </c>
      <c r="E125" s="123" t="s">
        <v>598</v>
      </c>
      <c r="F125" s="123">
        <v>72.0</v>
      </c>
      <c r="G125" s="123">
        <v>22.1</v>
      </c>
      <c r="H125" s="130" t="s">
        <v>824</v>
      </c>
      <c r="I125" s="129" t="s">
        <v>825</v>
      </c>
      <c r="J125" s="128">
        <v>0.0</v>
      </c>
      <c r="K125" s="128">
        <v>9.7</v>
      </c>
      <c r="L125" s="130">
        <v>6.4</v>
      </c>
      <c r="M125" s="130">
        <v>1.0</v>
      </c>
      <c r="N125" s="129">
        <v>0.5</v>
      </c>
      <c r="O125" s="130">
        <v>1.4</v>
      </c>
      <c r="P125" s="123">
        <v>1.0</v>
      </c>
      <c r="Q125" s="126">
        <v>0.24</v>
      </c>
    </row>
    <row r="126">
      <c r="A126" s="123">
        <v>125.0</v>
      </c>
      <c r="B126" s="123">
        <v>128.8</v>
      </c>
      <c r="C126" s="124" t="s">
        <v>112</v>
      </c>
      <c r="D126" s="123" t="s">
        <v>37</v>
      </c>
      <c r="E126" s="123" t="s">
        <v>692</v>
      </c>
      <c r="F126" s="123">
        <v>70.0</v>
      </c>
      <c r="G126" s="123">
        <v>25.3</v>
      </c>
      <c r="H126" s="128" t="s">
        <v>826</v>
      </c>
      <c r="I126" s="128" t="s">
        <v>827</v>
      </c>
      <c r="J126" s="128">
        <v>0.0</v>
      </c>
      <c r="K126" s="123">
        <v>8.4</v>
      </c>
      <c r="L126" s="128">
        <v>8.6</v>
      </c>
      <c r="M126" s="128">
        <v>0.5</v>
      </c>
      <c r="N126" s="123">
        <v>0.8</v>
      </c>
      <c r="O126" s="123">
        <v>1.7</v>
      </c>
      <c r="P126" s="129">
        <v>0.8</v>
      </c>
      <c r="Q126" s="123">
        <v>0.17</v>
      </c>
    </row>
    <row r="127">
      <c r="A127" s="123">
        <v>126.0</v>
      </c>
      <c r="B127" s="123">
        <v>125.8</v>
      </c>
      <c r="C127" s="124" t="s">
        <v>828</v>
      </c>
      <c r="D127" s="123" t="s">
        <v>603</v>
      </c>
      <c r="E127" s="123" t="s">
        <v>585</v>
      </c>
      <c r="F127" s="123">
        <v>68.0</v>
      </c>
      <c r="G127" s="123">
        <v>27.1</v>
      </c>
      <c r="H127" s="123" t="s">
        <v>829</v>
      </c>
      <c r="I127" s="128" t="s">
        <v>830</v>
      </c>
      <c r="J127" s="123">
        <v>2.1</v>
      </c>
      <c r="K127" s="123">
        <v>16.2</v>
      </c>
      <c r="L127" s="123">
        <v>2.7</v>
      </c>
      <c r="M127" s="123">
        <v>1.8</v>
      </c>
      <c r="N127" s="123">
        <v>0.8</v>
      </c>
      <c r="O127" s="123">
        <v>0.4</v>
      </c>
      <c r="P127" s="128">
        <v>1.3</v>
      </c>
      <c r="Q127" s="128">
        <v>0.16</v>
      </c>
    </row>
    <row r="128">
      <c r="A128" s="123">
        <v>127.0</v>
      </c>
      <c r="B128" s="123">
        <v>117.7</v>
      </c>
      <c r="C128" s="124" t="s">
        <v>831</v>
      </c>
      <c r="D128" s="123" t="s">
        <v>36</v>
      </c>
      <c r="E128" s="123" t="s">
        <v>536</v>
      </c>
      <c r="F128" s="123">
        <v>76.0</v>
      </c>
      <c r="G128" s="123">
        <v>31.7</v>
      </c>
      <c r="H128" s="123" t="s">
        <v>832</v>
      </c>
      <c r="I128" s="128" t="s">
        <v>833</v>
      </c>
      <c r="J128" s="123">
        <v>1.2</v>
      </c>
      <c r="K128" s="129">
        <v>14.6</v>
      </c>
      <c r="L128" s="130">
        <v>5.8</v>
      </c>
      <c r="M128" s="123">
        <v>2.5</v>
      </c>
      <c r="N128" s="128">
        <v>0.6</v>
      </c>
      <c r="O128" s="129">
        <v>0.6</v>
      </c>
      <c r="P128" s="123">
        <v>1.8</v>
      </c>
      <c r="Q128" s="128">
        <v>0.13</v>
      </c>
    </row>
    <row r="129">
      <c r="A129" s="123">
        <v>128.0</v>
      </c>
      <c r="B129" s="123">
        <v>139.8</v>
      </c>
      <c r="C129" s="124" t="s">
        <v>834</v>
      </c>
      <c r="D129" s="123" t="s">
        <v>539</v>
      </c>
      <c r="E129" s="123" t="s">
        <v>604</v>
      </c>
      <c r="F129" s="123">
        <v>70.0</v>
      </c>
      <c r="G129" s="123">
        <v>28.9</v>
      </c>
      <c r="H129" s="123" t="s">
        <v>835</v>
      </c>
      <c r="I129" s="128" t="s">
        <v>836</v>
      </c>
      <c r="J129" s="128">
        <v>1.3</v>
      </c>
      <c r="K129" s="123">
        <v>11.0</v>
      </c>
      <c r="L129" s="123">
        <v>4.9</v>
      </c>
      <c r="M129" s="123">
        <v>1.1</v>
      </c>
      <c r="N129" s="123">
        <v>1.1</v>
      </c>
      <c r="O129" s="123">
        <v>0.7</v>
      </c>
      <c r="P129" s="130">
        <v>1.1</v>
      </c>
      <c r="Q129" s="129">
        <v>0.1</v>
      </c>
    </row>
    <row r="130">
      <c r="A130" s="123">
        <v>129.0</v>
      </c>
      <c r="B130" s="123">
        <v>125.6</v>
      </c>
      <c r="C130" s="124" t="s">
        <v>181</v>
      </c>
      <c r="D130" s="123" t="s">
        <v>539</v>
      </c>
      <c r="E130" s="123" t="s">
        <v>609</v>
      </c>
      <c r="F130" s="123">
        <v>77.0</v>
      </c>
      <c r="G130" s="123">
        <v>31.6</v>
      </c>
      <c r="H130" s="123" t="s">
        <v>837</v>
      </c>
      <c r="I130" s="123" t="s">
        <v>838</v>
      </c>
      <c r="J130" s="123">
        <v>1.7</v>
      </c>
      <c r="K130" s="129">
        <v>14.7</v>
      </c>
      <c r="L130" s="128">
        <v>5.0</v>
      </c>
      <c r="M130" s="123">
        <v>2.3</v>
      </c>
      <c r="N130" s="128">
        <v>0.7</v>
      </c>
      <c r="O130" s="129">
        <v>0.2</v>
      </c>
      <c r="P130" s="128">
        <v>1.4</v>
      </c>
      <c r="Q130" s="128">
        <v>0.08</v>
      </c>
    </row>
    <row r="131">
      <c r="A131" s="123">
        <v>130.0</v>
      </c>
      <c r="B131" s="123">
        <v>140.1</v>
      </c>
      <c r="C131" s="124" t="s">
        <v>839</v>
      </c>
      <c r="D131" s="123" t="s">
        <v>562</v>
      </c>
      <c r="E131" s="123" t="s">
        <v>543</v>
      </c>
      <c r="F131" s="123">
        <v>73.0</v>
      </c>
      <c r="G131" s="123">
        <v>25.1</v>
      </c>
      <c r="H131" s="128" t="s">
        <v>840</v>
      </c>
      <c r="I131" s="128" t="s">
        <v>841</v>
      </c>
      <c r="J131" s="128">
        <v>2.0</v>
      </c>
      <c r="K131" s="123">
        <v>12.1</v>
      </c>
      <c r="L131" s="123">
        <v>4.1</v>
      </c>
      <c r="M131" s="128">
        <v>2.7</v>
      </c>
      <c r="N131" s="128">
        <v>1.3</v>
      </c>
      <c r="O131" s="123">
        <v>0.6</v>
      </c>
      <c r="P131" s="129">
        <v>1.7</v>
      </c>
      <c r="Q131" s="123">
        <v>0.06</v>
      </c>
    </row>
    <row r="132">
      <c r="A132" s="123">
        <v>131.0</v>
      </c>
      <c r="B132" s="123">
        <v>140.0</v>
      </c>
      <c r="C132" s="124" t="s">
        <v>842</v>
      </c>
      <c r="D132" s="123" t="s">
        <v>35</v>
      </c>
      <c r="E132" s="123" t="s">
        <v>615</v>
      </c>
      <c r="F132" s="123">
        <v>63.0</v>
      </c>
      <c r="G132" s="123">
        <v>22.2</v>
      </c>
      <c r="H132" s="123" t="s">
        <v>843</v>
      </c>
      <c r="I132" s="127" t="s">
        <v>751</v>
      </c>
      <c r="J132" s="128">
        <v>1.3</v>
      </c>
      <c r="K132" s="130">
        <v>8.5</v>
      </c>
      <c r="L132" s="130">
        <v>5.9</v>
      </c>
      <c r="M132" s="128">
        <v>1.5</v>
      </c>
      <c r="N132" s="123">
        <v>1.1</v>
      </c>
      <c r="O132" s="129">
        <v>0.5</v>
      </c>
      <c r="P132" s="123">
        <v>0.6</v>
      </c>
      <c r="Q132" s="123">
        <v>-0.04</v>
      </c>
    </row>
    <row r="133">
      <c r="A133" s="123">
        <v>132.0</v>
      </c>
      <c r="B133" s="123">
        <v>139.7</v>
      </c>
      <c r="C133" s="124" t="s">
        <v>844</v>
      </c>
      <c r="D133" s="123" t="s">
        <v>603</v>
      </c>
      <c r="E133" s="123" t="s">
        <v>536</v>
      </c>
      <c r="F133" s="123">
        <v>73.0</v>
      </c>
      <c r="G133" s="123">
        <v>28.8</v>
      </c>
      <c r="H133" s="128" t="s">
        <v>845</v>
      </c>
      <c r="I133" s="123" t="s">
        <v>846</v>
      </c>
      <c r="J133" s="128">
        <v>2.0</v>
      </c>
      <c r="K133" s="128">
        <v>12.9</v>
      </c>
      <c r="L133" s="128">
        <v>3.3</v>
      </c>
      <c r="M133" s="128">
        <v>1.8</v>
      </c>
      <c r="N133" s="129">
        <v>1.1</v>
      </c>
      <c r="O133" s="128">
        <v>0.3</v>
      </c>
      <c r="P133" s="130">
        <v>1.3</v>
      </c>
      <c r="Q133" s="126">
        <v>-0.08</v>
      </c>
    </row>
    <row r="134">
      <c r="A134" s="123">
        <v>133.0</v>
      </c>
      <c r="B134" s="123">
        <v>140.2</v>
      </c>
      <c r="C134" s="124" t="s">
        <v>847</v>
      </c>
      <c r="D134" s="123" t="s">
        <v>549</v>
      </c>
      <c r="E134" s="123" t="s">
        <v>609</v>
      </c>
      <c r="F134" s="123">
        <v>67.0</v>
      </c>
      <c r="G134" s="123">
        <v>22.8</v>
      </c>
      <c r="H134" s="123" t="s">
        <v>848</v>
      </c>
      <c r="I134" s="128" t="s">
        <v>849</v>
      </c>
      <c r="J134" s="129">
        <v>0.0</v>
      </c>
      <c r="K134" s="128">
        <v>10.0</v>
      </c>
      <c r="L134" s="128">
        <v>6.7</v>
      </c>
      <c r="M134" s="123">
        <v>1.1</v>
      </c>
      <c r="N134" s="130">
        <v>0.4</v>
      </c>
      <c r="O134" s="129">
        <v>0.9</v>
      </c>
      <c r="P134" s="123">
        <v>1.2</v>
      </c>
      <c r="Q134" s="123">
        <v>-0.08</v>
      </c>
    </row>
    <row r="135">
      <c r="A135" s="123">
        <v>134.0</v>
      </c>
      <c r="B135" s="123">
        <v>80.1</v>
      </c>
      <c r="C135" s="124" t="s">
        <v>145</v>
      </c>
      <c r="D135" s="123" t="s">
        <v>539</v>
      </c>
      <c r="E135" s="123" t="s">
        <v>557</v>
      </c>
      <c r="F135" s="123">
        <v>73.0</v>
      </c>
      <c r="G135" s="123">
        <v>32.0</v>
      </c>
      <c r="H135" s="128" t="s">
        <v>850</v>
      </c>
      <c r="I135" s="123" t="s">
        <v>851</v>
      </c>
      <c r="J135" s="123">
        <v>2.2</v>
      </c>
      <c r="K135" s="129">
        <v>16.5</v>
      </c>
      <c r="L135" s="128">
        <v>4.6</v>
      </c>
      <c r="M135" s="128">
        <v>2.2</v>
      </c>
      <c r="N135" s="123">
        <v>1.0</v>
      </c>
      <c r="O135" s="123">
        <v>0.7</v>
      </c>
      <c r="P135" s="128">
        <v>1.5</v>
      </c>
      <c r="Q135" s="128">
        <v>-0.08</v>
      </c>
    </row>
    <row r="136">
      <c r="A136" s="123">
        <v>135.0</v>
      </c>
      <c r="B136" s="123">
        <v>139.8</v>
      </c>
      <c r="C136" s="124" t="s">
        <v>852</v>
      </c>
      <c r="D136" s="123" t="s">
        <v>562</v>
      </c>
      <c r="E136" s="123" t="s">
        <v>543</v>
      </c>
      <c r="F136" s="123">
        <v>68.0</v>
      </c>
      <c r="G136" s="123">
        <v>24.6</v>
      </c>
      <c r="H136" s="123" t="s">
        <v>853</v>
      </c>
      <c r="I136" s="128" t="s">
        <v>854</v>
      </c>
      <c r="J136" s="128">
        <v>0.7</v>
      </c>
      <c r="K136" s="123">
        <v>5.7</v>
      </c>
      <c r="L136" s="129">
        <v>2.3</v>
      </c>
      <c r="M136" s="123">
        <v>1.1</v>
      </c>
      <c r="N136" s="128">
        <v>1.6</v>
      </c>
      <c r="O136" s="128">
        <v>1.1</v>
      </c>
      <c r="P136" s="128">
        <v>0.6</v>
      </c>
      <c r="Q136" s="128">
        <v>-0.12</v>
      </c>
    </row>
    <row r="137">
      <c r="A137" s="123">
        <v>136.0</v>
      </c>
      <c r="B137" s="123">
        <v>140.0</v>
      </c>
      <c r="C137" s="124" t="s">
        <v>855</v>
      </c>
      <c r="D137" s="123" t="s">
        <v>33</v>
      </c>
      <c r="E137" s="123" t="s">
        <v>574</v>
      </c>
      <c r="F137" s="123">
        <v>70.0</v>
      </c>
      <c r="G137" s="123">
        <v>20.9</v>
      </c>
      <c r="H137" s="128" t="s">
        <v>856</v>
      </c>
      <c r="I137" s="129" t="s">
        <v>857</v>
      </c>
      <c r="J137" s="123">
        <v>0.7</v>
      </c>
      <c r="K137" s="123">
        <v>8.5</v>
      </c>
      <c r="L137" s="130">
        <v>4.2</v>
      </c>
      <c r="M137" s="128">
        <v>1.1</v>
      </c>
      <c r="N137" s="129">
        <v>1.4</v>
      </c>
      <c r="O137" s="128">
        <v>0.4</v>
      </c>
      <c r="P137" s="128">
        <v>0.7</v>
      </c>
      <c r="Q137" s="129">
        <v>-0.13</v>
      </c>
    </row>
    <row r="138">
      <c r="A138" s="123">
        <v>137.0</v>
      </c>
      <c r="B138" s="123">
        <v>121.6</v>
      </c>
      <c r="C138" s="124" t="s">
        <v>191</v>
      </c>
      <c r="D138" s="123" t="s">
        <v>562</v>
      </c>
      <c r="E138" s="123" t="s">
        <v>718</v>
      </c>
      <c r="F138" s="123">
        <v>70.0</v>
      </c>
      <c r="G138" s="123">
        <v>30.0</v>
      </c>
      <c r="H138" s="128" t="s">
        <v>858</v>
      </c>
      <c r="I138" s="123" t="s">
        <v>859</v>
      </c>
      <c r="J138" s="128">
        <v>1.0</v>
      </c>
      <c r="K138" s="123">
        <v>13.1</v>
      </c>
      <c r="L138" s="128">
        <v>3.9</v>
      </c>
      <c r="M138" s="128">
        <v>5.1</v>
      </c>
      <c r="N138" s="123">
        <v>1.3</v>
      </c>
      <c r="O138" s="123">
        <v>0.5</v>
      </c>
      <c r="P138" s="128">
        <v>3.4</v>
      </c>
      <c r="Q138" s="123">
        <v>-0.31</v>
      </c>
    </row>
    <row r="139">
      <c r="A139" s="123">
        <v>138.0</v>
      </c>
      <c r="B139" s="123">
        <v>129.3</v>
      </c>
      <c r="C139" s="124" t="s">
        <v>860</v>
      </c>
      <c r="D139" s="123" t="s">
        <v>37</v>
      </c>
      <c r="E139" s="123" t="s">
        <v>718</v>
      </c>
      <c r="F139" s="123">
        <v>70.0</v>
      </c>
      <c r="G139" s="123">
        <v>20.4</v>
      </c>
      <c r="H139" s="123" t="s">
        <v>861</v>
      </c>
      <c r="I139" s="129" t="s">
        <v>862</v>
      </c>
      <c r="J139" s="123">
        <v>1.2</v>
      </c>
      <c r="K139" s="128">
        <v>8.6</v>
      </c>
      <c r="L139" s="128">
        <v>6.5</v>
      </c>
      <c r="M139" s="123">
        <v>1.0</v>
      </c>
      <c r="N139" s="129">
        <v>0.4</v>
      </c>
      <c r="O139" s="128">
        <v>1.2</v>
      </c>
      <c r="P139" s="130">
        <v>0.9</v>
      </c>
      <c r="Q139" s="123">
        <v>-0.33</v>
      </c>
    </row>
    <row r="140">
      <c r="A140" s="123">
        <v>139.0</v>
      </c>
      <c r="B140" s="123">
        <v>102.0</v>
      </c>
      <c r="C140" s="124" t="s">
        <v>863</v>
      </c>
      <c r="D140" s="123" t="s">
        <v>603</v>
      </c>
      <c r="E140" s="123" t="s">
        <v>631</v>
      </c>
      <c r="F140" s="123">
        <v>67.0</v>
      </c>
      <c r="G140" s="123">
        <v>29.8</v>
      </c>
      <c r="H140" s="123" t="s">
        <v>864</v>
      </c>
      <c r="I140" s="123" t="s">
        <v>865</v>
      </c>
      <c r="J140" s="128">
        <v>1.5</v>
      </c>
      <c r="K140" s="123">
        <v>19.6</v>
      </c>
      <c r="L140" s="129">
        <v>3.5</v>
      </c>
      <c r="M140" s="123">
        <v>2.4</v>
      </c>
      <c r="N140" s="128">
        <v>1.0</v>
      </c>
      <c r="O140" s="128">
        <v>0.3</v>
      </c>
      <c r="P140" s="128">
        <v>1.8</v>
      </c>
      <c r="Q140" s="128">
        <v>-0.38</v>
      </c>
    </row>
    <row r="141">
      <c r="A141" s="123">
        <v>140.0</v>
      </c>
      <c r="B141" s="123">
        <v>140.3</v>
      </c>
      <c r="C141" s="124" t="s">
        <v>866</v>
      </c>
      <c r="D141" s="123" t="s">
        <v>34</v>
      </c>
      <c r="E141" s="123" t="s">
        <v>536</v>
      </c>
      <c r="F141" s="123">
        <v>72.0</v>
      </c>
      <c r="G141" s="123">
        <v>24.1</v>
      </c>
      <c r="H141" s="123" t="s">
        <v>867</v>
      </c>
      <c r="I141" s="123" t="s">
        <v>868</v>
      </c>
      <c r="J141" s="123">
        <v>0.5</v>
      </c>
      <c r="K141" s="130">
        <v>9.0</v>
      </c>
      <c r="L141" s="128">
        <v>4.8</v>
      </c>
      <c r="M141" s="123">
        <v>2.1</v>
      </c>
      <c r="N141" s="129">
        <v>1.1</v>
      </c>
      <c r="O141" s="123">
        <v>0.7</v>
      </c>
      <c r="P141" s="128">
        <v>0.8</v>
      </c>
      <c r="Q141" s="129">
        <v>-0.4</v>
      </c>
    </row>
    <row r="142">
      <c r="A142" s="123">
        <v>141.0</v>
      </c>
      <c r="B142" s="123">
        <v>135.9</v>
      </c>
      <c r="C142" s="124" t="s">
        <v>869</v>
      </c>
      <c r="D142" s="123" t="s">
        <v>33</v>
      </c>
      <c r="E142" s="123" t="s">
        <v>554</v>
      </c>
      <c r="F142" s="123">
        <v>58.0</v>
      </c>
      <c r="G142" s="123">
        <v>22.4</v>
      </c>
      <c r="H142" s="123" t="s">
        <v>870</v>
      </c>
      <c r="I142" s="123" t="s">
        <v>871</v>
      </c>
      <c r="J142" s="123">
        <v>1.3</v>
      </c>
      <c r="K142" s="123">
        <v>8.3</v>
      </c>
      <c r="L142" s="128">
        <v>3.8</v>
      </c>
      <c r="M142" s="123">
        <v>4.1</v>
      </c>
      <c r="N142" s="123">
        <v>1.1</v>
      </c>
      <c r="O142" s="128">
        <v>0.8</v>
      </c>
      <c r="P142" s="123">
        <v>1.2</v>
      </c>
      <c r="Q142" s="130">
        <v>-0.5</v>
      </c>
    </row>
    <row r="143">
      <c r="A143" s="123">
        <v>142.0</v>
      </c>
      <c r="B143" s="123">
        <v>140.0</v>
      </c>
      <c r="C143" s="124" t="s">
        <v>872</v>
      </c>
      <c r="D143" s="123" t="s">
        <v>539</v>
      </c>
      <c r="E143" s="123" t="s">
        <v>574</v>
      </c>
      <c r="F143" s="123">
        <v>60.0</v>
      </c>
      <c r="G143" s="123">
        <v>26.9</v>
      </c>
      <c r="H143" s="123" t="s">
        <v>873</v>
      </c>
      <c r="I143" s="129" t="s">
        <v>874</v>
      </c>
      <c r="J143" s="123">
        <v>1.3</v>
      </c>
      <c r="K143" s="123">
        <v>10.4</v>
      </c>
      <c r="L143" s="128">
        <v>5.9</v>
      </c>
      <c r="M143" s="128">
        <v>1.4</v>
      </c>
      <c r="N143" s="123">
        <v>0.6</v>
      </c>
      <c r="O143" s="128">
        <v>1.0</v>
      </c>
      <c r="P143" s="130">
        <v>1.1</v>
      </c>
      <c r="Q143" s="129">
        <v>-0.53</v>
      </c>
    </row>
    <row r="144">
      <c r="A144" s="123">
        <v>143.0</v>
      </c>
      <c r="B144" s="123">
        <v>140.0</v>
      </c>
      <c r="C144" s="124" t="s">
        <v>875</v>
      </c>
      <c r="D144" s="123" t="s">
        <v>35</v>
      </c>
      <c r="E144" s="123" t="s">
        <v>530</v>
      </c>
      <c r="F144" s="123">
        <v>70.0</v>
      </c>
      <c r="G144" s="123">
        <v>29.9</v>
      </c>
      <c r="H144" s="123" t="s">
        <v>876</v>
      </c>
      <c r="I144" s="128" t="s">
        <v>877</v>
      </c>
      <c r="J144" s="128">
        <v>1.3</v>
      </c>
      <c r="K144" s="128">
        <v>10.8</v>
      </c>
      <c r="L144" s="123">
        <v>4.6</v>
      </c>
      <c r="M144" s="123">
        <v>1.3</v>
      </c>
      <c r="N144" s="129">
        <v>0.8</v>
      </c>
      <c r="O144" s="128">
        <v>1.0</v>
      </c>
      <c r="P144" s="130">
        <v>1.3</v>
      </c>
      <c r="Q144" s="123">
        <v>-0.58</v>
      </c>
    </row>
    <row r="145">
      <c r="A145" s="123">
        <v>144.0</v>
      </c>
      <c r="B145" s="123">
        <v>134.0</v>
      </c>
      <c r="C145" s="124" t="s">
        <v>878</v>
      </c>
      <c r="D145" s="123" t="s">
        <v>562</v>
      </c>
      <c r="E145" s="123" t="s">
        <v>577</v>
      </c>
      <c r="F145" s="123">
        <v>70.0</v>
      </c>
      <c r="G145" s="123">
        <v>25.5</v>
      </c>
      <c r="H145" s="128" t="s">
        <v>879</v>
      </c>
      <c r="I145" s="129" t="s">
        <v>880</v>
      </c>
      <c r="J145" s="128">
        <v>1.3</v>
      </c>
      <c r="K145" s="128">
        <v>11.6</v>
      </c>
      <c r="L145" s="130">
        <v>3.1</v>
      </c>
      <c r="M145" s="128">
        <v>3.3</v>
      </c>
      <c r="N145" s="123">
        <v>0.8</v>
      </c>
      <c r="O145" s="128">
        <v>0.7</v>
      </c>
      <c r="P145" s="123">
        <v>1.4</v>
      </c>
      <c r="Q145" s="129">
        <v>-0.62</v>
      </c>
    </row>
    <row r="146">
      <c r="A146" s="123">
        <v>145.0</v>
      </c>
      <c r="B146" s="123">
        <v>138.6</v>
      </c>
      <c r="C146" s="124" t="s">
        <v>194</v>
      </c>
      <c r="D146" s="123" t="s">
        <v>562</v>
      </c>
      <c r="E146" s="123" t="s">
        <v>604</v>
      </c>
      <c r="F146" s="123">
        <v>69.0</v>
      </c>
      <c r="G146" s="123">
        <v>26.1</v>
      </c>
      <c r="H146" s="123" t="s">
        <v>881</v>
      </c>
      <c r="I146" s="128" t="s">
        <v>882</v>
      </c>
      <c r="J146" s="123">
        <v>1.0</v>
      </c>
      <c r="K146" s="123">
        <v>7.4</v>
      </c>
      <c r="L146" s="128">
        <v>3.4</v>
      </c>
      <c r="M146" s="123">
        <v>3.8</v>
      </c>
      <c r="N146" s="123">
        <v>1.5</v>
      </c>
      <c r="O146" s="129">
        <v>0.4</v>
      </c>
      <c r="P146" s="128">
        <v>1.3</v>
      </c>
      <c r="Q146" s="128">
        <v>-0.62</v>
      </c>
    </row>
    <row r="147">
      <c r="A147" s="123">
        <v>146.0</v>
      </c>
      <c r="B147" s="123">
        <v>140.4</v>
      </c>
      <c r="C147" s="124" t="s">
        <v>883</v>
      </c>
      <c r="D147" s="123" t="s">
        <v>603</v>
      </c>
      <c r="E147" s="123" t="s">
        <v>593</v>
      </c>
      <c r="F147" s="123">
        <v>68.0</v>
      </c>
      <c r="G147" s="123">
        <v>24.0</v>
      </c>
      <c r="H147" s="123" t="s">
        <v>884</v>
      </c>
      <c r="I147" s="128" t="s">
        <v>882</v>
      </c>
      <c r="J147" s="123">
        <v>1.2</v>
      </c>
      <c r="K147" s="129">
        <v>10.0</v>
      </c>
      <c r="L147" s="123">
        <v>4.2</v>
      </c>
      <c r="M147" s="123">
        <v>1.2</v>
      </c>
      <c r="N147" s="128">
        <v>1.1</v>
      </c>
      <c r="O147" s="129">
        <v>0.5</v>
      </c>
      <c r="P147" s="128">
        <v>1.0</v>
      </c>
      <c r="Q147" s="130">
        <v>-0.64</v>
      </c>
    </row>
    <row r="148">
      <c r="A148" s="123">
        <v>147.0</v>
      </c>
      <c r="B148" s="123">
        <v>139.0</v>
      </c>
      <c r="C148" s="124" t="s">
        <v>182</v>
      </c>
      <c r="D148" s="123" t="s">
        <v>33</v>
      </c>
      <c r="E148" s="123" t="s">
        <v>718</v>
      </c>
      <c r="F148" s="123">
        <v>68.0</v>
      </c>
      <c r="G148" s="123">
        <v>27.7</v>
      </c>
      <c r="H148" s="128" t="s">
        <v>885</v>
      </c>
      <c r="I148" s="129" t="s">
        <v>886</v>
      </c>
      <c r="J148" s="128">
        <v>0.3</v>
      </c>
      <c r="K148" s="123">
        <v>14.0</v>
      </c>
      <c r="L148" s="128">
        <v>3.5</v>
      </c>
      <c r="M148" s="128">
        <v>5.0</v>
      </c>
      <c r="N148" s="129">
        <v>1.0</v>
      </c>
      <c r="O148" s="128">
        <v>0.3</v>
      </c>
      <c r="P148" s="130">
        <v>2.5</v>
      </c>
      <c r="Q148" s="129">
        <v>-0.68</v>
      </c>
    </row>
    <row r="149">
      <c r="A149" s="123">
        <v>148.0</v>
      </c>
      <c r="B149" s="123">
        <v>124.1</v>
      </c>
      <c r="C149" s="124" t="s">
        <v>148</v>
      </c>
      <c r="D149" s="123" t="s">
        <v>36</v>
      </c>
      <c r="E149" s="123" t="s">
        <v>650</v>
      </c>
      <c r="F149" s="123">
        <v>69.0</v>
      </c>
      <c r="G149" s="123">
        <v>29.0</v>
      </c>
      <c r="H149" s="123" t="s">
        <v>887</v>
      </c>
      <c r="I149" s="123" t="s">
        <v>888</v>
      </c>
      <c r="J149" s="128">
        <v>2.5</v>
      </c>
      <c r="K149" s="123">
        <v>17.2</v>
      </c>
      <c r="L149" s="129">
        <v>4.0</v>
      </c>
      <c r="M149" s="123">
        <v>1.6</v>
      </c>
      <c r="N149" s="130">
        <v>0.5</v>
      </c>
      <c r="O149" s="123">
        <v>0.0</v>
      </c>
      <c r="P149" s="123">
        <v>1.6</v>
      </c>
      <c r="Q149" s="130">
        <v>-0.7</v>
      </c>
    </row>
    <row r="150">
      <c r="A150" s="123">
        <v>149.0</v>
      </c>
      <c r="B150" s="123">
        <v>138.8</v>
      </c>
      <c r="C150" s="124" t="s">
        <v>889</v>
      </c>
      <c r="D150" s="123" t="s">
        <v>539</v>
      </c>
      <c r="E150" s="123" t="s">
        <v>736</v>
      </c>
      <c r="F150" s="123">
        <v>78.0</v>
      </c>
      <c r="G150" s="123">
        <v>26.4</v>
      </c>
      <c r="H150" s="123" t="s">
        <v>890</v>
      </c>
      <c r="I150" s="128" t="s">
        <v>891</v>
      </c>
      <c r="J150" s="129">
        <v>0.8</v>
      </c>
      <c r="K150" s="129">
        <v>12.1</v>
      </c>
      <c r="L150" s="129">
        <v>5.5</v>
      </c>
      <c r="M150" s="123">
        <v>2.9</v>
      </c>
      <c r="N150" s="130">
        <v>0.9</v>
      </c>
      <c r="O150" s="128">
        <v>0.5</v>
      </c>
      <c r="P150" s="130">
        <v>1.8</v>
      </c>
      <c r="Q150" s="128">
        <v>-0.74</v>
      </c>
    </row>
    <row r="151">
      <c r="A151" s="123">
        <v>150.0</v>
      </c>
      <c r="B151" s="123">
        <v>134.4</v>
      </c>
      <c r="C151" s="124" t="s">
        <v>892</v>
      </c>
      <c r="D151" s="123" t="s">
        <v>893</v>
      </c>
      <c r="E151" s="123" t="s">
        <v>571</v>
      </c>
      <c r="F151" s="123">
        <v>77.0</v>
      </c>
      <c r="G151" s="123">
        <v>29.5</v>
      </c>
      <c r="H151" s="128" t="s">
        <v>894</v>
      </c>
      <c r="I151" s="123" t="s">
        <v>895</v>
      </c>
      <c r="J151" s="128">
        <v>2.7</v>
      </c>
      <c r="K151" s="128">
        <v>16.2</v>
      </c>
      <c r="L151" s="128">
        <v>4.2</v>
      </c>
      <c r="M151" s="128">
        <v>1.2</v>
      </c>
      <c r="N151" s="123">
        <v>1.1</v>
      </c>
      <c r="O151" s="123">
        <v>0.4</v>
      </c>
      <c r="P151" s="127">
        <v>1.0</v>
      </c>
      <c r="Q151" s="128">
        <v>-0.75</v>
      </c>
    </row>
    <row r="152">
      <c r="A152" s="123">
        <v>151.0</v>
      </c>
      <c r="B152" s="123">
        <v>136.1</v>
      </c>
      <c r="C152" s="124" t="s">
        <v>896</v>
      </c>
      <c r="D152" s="123" t="s">
        <v>33</v>
      </c>
      <c r="E152" s="123" t="s">
        <v>585</v>
      </c>
      <c r="F152" s="123">
        <v>76.0</v>
      </c>
      <c r="G152" s="123">
        <v>28.0</v>
      </c>
      <c r="H152" s="128" t="s">
        <v>897</v>
      </c>
      <c r="I152" s="128" t="s">
        <v>898</v>
      </c>
      <c r="J152" s="128">
        <v>2.0</v>
      </c>
      <c r="K152" s="129">
        <v>15.4</v>
      </c>
      <c r="L152" s="127">
        <v>3.3</v>
      </c>
      <c r="M152" s="123">
        <v>4.4</v>
      </c>
      <c r="N152" s="128">
        <v>0.6</v>
      </c>
      <c r="O152" s="128">
        <v>0.2</v>
      </c>
      <c r="P152" s="128">
        <v>2.1</v>
      </c>
      <c r="Q152" s="128">
        <v>-0.78</v>
      </c>
    </row>
    <row r="153">
      <c r="A153" s="123">
        <v>152.0</v>
      </c>
      <c r="B153" s="123">
        <v>140.1</v>
      </c>
      <c r="C153" s="124" t="s">
        <v>899</v>
      </c>
      <c r="D153" s="123" t="s">
        <v>603</v>
      </c>
      <c r="E153" s="123" t="s">
        <v>550</v>
      </c>
      <c r="F153" s="123">
        <v>69.0</v>
      </c>
      <c r="G153" s="123">
        <v>26.0</v>
      </c>
      <c r="H153" s="123" t="s">
        <v>900</v>
      </c>
      <c r="I153" s="128" t="s">
        <v>901</v>
      </c>
      <c r="J153" s="123">
        <v>2.4</v>
      </c>
      <c r="K153" s="128">
        <v>10.2</v>
      </c>
      <c r="L153" s="123">
        <v>4.3</v>
      </c>
      <c r="M153" s="123">
        <v>1.3</v>
      </c>
      <c r="N153" s="128">
        <v>0.9</v>
      </c>
      <c r="O153" s="129">
        <v>0.2</v>
      </c>
      <c r="P153" s="123">
        <v>0.5</v>
      </c>
      <c r="Q153" s="128">
        <v>-0.78</v>
      </c>
    </row>
    <row r="154">
      <c r="A154" s="123">
        <v>153.0</v>
      </c>
      <c r="B154" s="123">
        <v>135.9</v>
      </c>
      <c r="C154" s="124" t="s">
        <v>115</v>
      </c>
      <c r="D154" s="123" t="s">
        <v>549</v>
      </c>
      <c r="E154" s="123" t="s">
        <v>650</v>
      </c>
      <c r="F154" s="123">
        <v>72.0</v>
      </c>
      <c r="G154" s="123">
        <v>25.6</v>
      </c>
      <c r="H154" s="128" t="s">
        <v>902</v>
      </c>
      <c r="I154" s="123" t="s">
        <v>903</v>
      </c>
      <c r="J154" s="123">
        <v>0.7</v>
      </c>
      <c r="K154" s="128">
        <v>9.6</v>
      </c>
      <c r="L154" s="130">
        <v>8.0</v>
      </c>
      <c r="M154" s="128">
        <v>1.2</v>
      </c>
      <c r="N154" s="129">
        <v>0.3</v>
      </c>
      <c r="O154" s="128">
        <v>1.1</v>
      </c>
      <c r="P154" s="123">
        <v>1.2</v>
      </c>
      <c r="Q154" s="123">
        <v>-0.82</v>
      </c>
    </row>
    <row r="155">
      <c r="A155" s="123">
        <v>154.0</v>
      </c>
      <c r="B155" s="123">
        <v>135.1</v>
      </c>
      <c r="C155" s="124" t="s">
        <v>50</v>
      </c>
      <c r="D155" s="123" t="s">
        <v>603</v>
      </c>
      <c r="E155" s="123" t="s">
        <v>612</v>
      </c>
      <c r="F155" s="123">
        <v>60.0</v>
      </c>
      <c r="G155" s="123">
        <v>31.7</v>
      </c>
      <c r="H155" s="123" t="s">
        <v>904</v>
      </c>
      <c r="I155" s="128" t="s">
        <v>905</v>
      </c>
      <c r="J155" s="123">
        <v>2.2</v>
      </c>
      <c r="K155" s="129">
        <v>16.1</v>
      </c>
      <c r="L155" s="123">
        <v>3.8</v>
      </c>
      <c r="M155" s="123">
        <v>1.6</v>
      </c>
      <c r="N155" s="128">
        <v>0.8</v>
      </c>
      <c r="O155" s="129">
        <v>0.4</v>
      </c>
      <c r="P155" s="128">
        <v>1.6</v>
      </c>
      <c r="Q155" s="128">
        <v>-0.83</v>
      </c>
    </row>
    <row r="156">
      <c r="A156" s="123">
        <v>155.0</v>
      </c>
      <c r="B156" s="123">
        <v>140.4</v>
      </c>
      <c r="C156" s="124" t="s">
        <v>906</v>
      </c>
      <c r="D156" s="123" t="s">
        <v>36</v>
      </c>
      <c r="E156" s="123" t="s">
        <v>718</v>
      </c>
      <c r="F156" s="123">
        <v>70.0</v>
      </c>
      <c r="G156" s="123">
        <v>22.3</v>
      </c>
      <c r="H156" s="123" t="s">
        <v>907</v>
      </c>
      <c r="I156" s="129" t="s">
        <v>908</v>
      </c>
      <c r="J156" s="123">
        <v>1.6</v>
      </c>
      <c r="K156" s="123">
        <v>7.9</v>
      </c>
      <c r="L156" s="128">
        <v>4.6</v>
      </c>
      <c r="M156" s="123">
        <v>1.6</v>
      </c>
      <c r="N156" s="128">
        <v>1.3</v>
      </c>
      <c r="O156" s="123">
        <v>0.6</v>
      </c>
      <c r="P156" s="130">
        <v>0.7</v>
      </c>
      <c r="Q156" s="130">
        <v>-0.86</v>
      </c>
    </row>
    <row r="157">
      <c r="A157" s="123">
        <v>156.0</v>
      </c>
      <c r="B157" s="123">
        <v>127.5</v>
      </c>
      <c r="C157" s="124" t="s">
        <v>909</v>
      </c>
      <c r="D157" s="123" t="s">
        <v>546</v>
      </c>
      <c r="E157" s="123" t="s">
        <v>540</v>
      </c>
      <c r="F157" s="123">
        <v>64.0</v>
      </c>
      <c r="G157" s="123">
        <v>27.2</v>
      </c>
      <c r="H157" s="128" t="s">
        <v>910</v>
      </c>
      <c r="I157" s="129" t="s">
        <v>911</v>
      </c>
      <c r="J157" s="123">
        <v>2.1</v>
      </c>
      <c r="K157" s="130">
        <v>12.5</v>
      </c>
      <c r="L157" s="130">
        <v>2.6</v>
      </c>
      <c r="M157" s="128">
        <v>3.0</v>
      </c>
      <c r="N157" s="129">
        <v>0.7</v>
      </c>
      <c r="O157" s="128">
        <v>0.2</v>
      </c>
      <c r="P157" s="123">
        <v>1.4</v>
      </c>
      <c r="Q157" s="129">
        <v>-0.87</v>
      </c>
    </row>
    <row r="158">
      <c r="A158" s="123">
        <v>157.0</v>
      </c>
      <c r="B158" s="123">
        <v>140.4</v>
      </c>
      <c r="C158" s="124" t="s">
        <v>912</v>
      </c>
      <c r="D158" s="123" t="s">
        <v>34</v>
      </c>
      <c r="E158" s="123" t="s">
        <v>609</v>
      </c>
      <c r="F158" s="123">
        <v>72.0</v>
      </c>
      <c r="G158" s="123">
        <v>28.6</v>
      </c>
      <c r="H158" s="128" t="s">
        <v>913</v>
      </c>
      <c r="I158" s="128" t="s">
        <v>914</v>
      </c>
      <c r="J158" s="123">
        <v>2.2</v>
      </c>
      <c r="K158" s="129">
        <v>12.0</v>
      </c>
      <c r="L158" s="128">
        <v>3.4</v>
      </c>
      <c r="M158" s="128">
        <v>2.7</v>
      </c>
      <c r="N158" s="128">
        <v>0.7</v>
      </c>
      <c r="O158" s="128">
        <v>0.4</v>
      </c>
      <c r="P158" s="123">
        <v>1.2</v>
      </c>
      <c r="Q158" s="123">
        <v>-0.94</v>
      </c>
    </row>
    <row r="159">
      <c r="A159" s="123">
        <v>158.0</v>
      </c>
      <c r="B159" s="123">
        <v>140.2</v>
      </c>
      <c r="C159" s="124" t="s">
        <v>915</v>
      </c>
      <c r="D159" s="123" t="s">
        <v>37</v>
      </c>
      <c r="E159" s="123" t="s">
        <v>571</v>
      </c>
      <c r="F159" s="123">
        <v>72.0</v>
      </c>
      <c r="G159" s="123">
        <v>24.8</v>
      </c>
      <c r="H159" s="128" t="s">
        <v>916</v>
      </c>
      <c r="I159" s="123" t="s">
        <v>917</v>
      </c>
      <c r="J159" s="123">
        <v>0.0</v>
      </c>
      <c r="K159" s="128">
        <v>6.7</v>
      </c>
      <c r="L159" s="130">
        <v>7.5</v>
      </c>
      <c r="M159" s="128">
        <v>3.2</v>
      </c>
      <c r="N159" s="128">
        <v>0.8</v>
      </c>
      <c r="O159" s="123">
        <v>0.7</v>
      </c>
      <c r="P159" s="129">
        <v>1.4</v>
      </c>
      <c r="Q159" s="128">
        <v>-0.97</v>
      </c>
    </row>
    <row r="160">
      <c r="A160" s="123">
        <v>159.0</v>
      </c>
      <c r="B160" s="123">
        <v>140.1</v>
      </c>
      <c r="C160" s="124" t="s">
        <v>193</v>
      </c>
      <c r="D160" s="123" t="s">
        <v>34</v>
      </c>
      <c r="E160" s="123" t="s">
        <v>582</v>
      </c>
      <c r="F160" s="123">
        <v>72.0</v>
      </c>
      <c r="G160" s="123">
        <v>29.1</v>
      </c>
      <c r="H160" s="123" t="s">
        <v>918</v>
      </c>
      <c r="I160" s="128" t="s">
        <v>919</v>
      </c>
      <c r="J160" s="123">
        <v>1.8</v>
      </c>
      <c r="K160" s="130">
        <v>13.9</v>
      </c>
      <c r="L160" s="128">
        <v>4.3</v>
      </c>
      <c r="M160" s="123">
        <v>2.2</v>
      </c>
      <c r="N160" s="123">
        <v>1.1</v>
      </c>
      <c r="O160" s="128">
        <v>0.2</v>
      </c>
      <c r="P160" s="123">
        <v>1.7</v>
      </c>
      <c r="Q160" s="123">
        <v>-0.97</v>
      </c>
    </row>
    <row r="161">
      <c r="A161" s="123">
        <v>160.0</v>
      </c>
      <c r="B161" s="123">
        <v>131.7</v>
      </c>
      <c r="C161" s="124" t="s">
        <v>920</v>
      </c>
      <c r="D161" s="123" t="s">
        <v>539</v>
      </c>
      <c r="E161" s="123" t="s">
        <v>612</v>
      </c>
      <c r="F161" s="123">
        <v>69.0</v>
      </c>
      <c r="G161" s="123">
        <v>28.0</v>
      </c>
      <c r="H161" s="128" t="s">
        <v>921</v>
      </c>
      <c r="I161" s="130" t="s">
        <v>922</v>
      </c>
      <c r="J161" s="129">
        <v>1.2</v>
      </c>
      <c r="K161" s="129">
        <v>11.2</v>
      </c>
      <c r="L161" s="123">
        <v>6.5</v>
      </c>
      <c r="M161" s="123">
        <v>1.4</v>
      </c>
      <c r="N161" s="130">
        <v>0.8</v>
      </c>
      <c r="O161" s="128">
        <v>1.0</v>
      </c>
      <c r="P161" s="128">
        <v>1.3</v>
      </c>
      <c r="Q161" s="128">
        <v>-1.0</v>
      </c>
    </row>
    <row r="162">
      <c r="A162" s="123">
        <v>161.0</v>
      </c>
      <c r="B162" s="123">
        <v>118.3</v>
      </c>
      <c r="C162" s="124" t="s">
        <v>170</v>
      </c>
      <c r="D162" s="123" t="s">
        <v>33</v>
      </c>
      <c r="E162" s="123" t="s">
        <v>718</v>
      </c>
      <c r="F162" s="123">
        <v>68.0</v>
      </c>
      <c r="G162" s="123">
        <v>28.2</v>
      </c>
      <c r="H162" s="130" t="s">
        <v>923</v>
      </c>
      <c r="I162" s="128" t="s">
        <v>924</v>
      </c>
      <c r="J162" s="128">
        <v>1.8</v>
      </c>
      <c r="K162" s="129">
        <v>14.8</v>
      </c>
      <c r="L162" s="123">
        <v>4.5</v>
      </c>
      <c r="M162" s="128">
        <v>4.0</v>
      </c>
      <c r="N162" s="130">
        <v>0.6</v>
      </c>
      <c r="O162" s="129">
        <v>0.3</v>
      </c>
      <c r="P162" s="127">
        <v>2.4</v>
      </c>
      <c r="Q162" s="128">
        <v>-1.0</v>
      </c>
    </row>
    <row r="163">
      <c r="A163" s="123">
        <v>162.0</v>
      </c>
      <c r="B163" s="123">
        <v>123.3</v>
      </c>
      <c r="C163" s="124" t="s">
        <v>925</v>
      </c>
      <c r="D163" s="123" t="s">
        <v>539</v>
      </c>
      <c r="E163" s="123" t="s">
        <v>718</v>
      </c>
      <c r="F163" s="123">
        <v>38.0</v>
      </c>
      <c r="G163" s="123">
        <v>20.1</v>
      </c>
      <c r="H163" s="128" t="s">
        <v>926</v>
      </c>
      <c r="I163" s="129" t="s">
        <v>927</v>
      </c>
      <c r="J163" s="128">
        <v>0.6</v>
      </c>
      <c r="K163" s="128">
        <v>8.3</v>
      </c>
      <c r="L163" s="128">
        <v>4.7</v>
      </c>
      <c r="M163" s="128">
        <v>1.0</v>
      </c>
      <c r="N163" s="123">
        <v>0.9</v>
      </c>
      <c r="O163" s="128">
        <v>1.2</v>
      </c>
      <c r="P163" s="128">
        <v>1.0</v>
      </c>
      <c r="Q163" s="129">
        <v>-1.0</v>
      </c>
    </row>
    <row r="164">
      <c r="A164" s="123">
        <v>163.0</v>
      </c>
      <c r="B164" s="123">
        <v>139.2</v>
      </c>
      <c r="C164" s="124" t="s">
        <v>928</v>
      </c>
      <c r="D164" s="123" t="s">
        <v>539</v>
      </c>
      <c r="E164" s="123" t="s">
        <v>588</v>
      </c>
      <c r="F164" s="123">
        <v>67.0</v>
      </c>
      <c r="G164" s="123">
        <v>25.8</v>
      </c>
      <c r="H164" s="123" t="s">
        <v>929</v>
      </c>
      <c r="I164" s="123" t="s">
        <v>930</v>
      </c>
      <c r="J164" s="123">
        <v>1.8</v>
      </c>
      <c r="K164" s="123">
        <v>8.8</v>
      </c>
      <c r="L164" s="128">
        <v>4.8</v>
      </c>
      <c r="M164" s="123">
        <v>1.8</v>
      </c>
      <c r="N164" s="130">
        <v>1.3</v>
      </c>
      <c r="O164" s="123">
        <v>0.4</v>
      </c>
      <c r="P164" s="128">
        <v>0.7</v>
      </c>
      <c r="Q164" s="128">
        <v>-1.05</v>
      </c>
    </row>
    <row r="165">
      <c r="A165" s="123">
        <v>164.0</v>
      </c>
      <c r="B165" s="123">
        <v>140.2</v>
      </c>
      <c r="C165" s="124" t="s">
        <v>931</v>
      </c>
      <c r="D165" s="123" t="s">
        <v>34</v>
      </c>
      <c r="E165" s="123" t="s">
        <v>550</v>
      </c>
      <c r="F165" s="123">
        <v>66.0</v>
      </c>
      <c r="G165" s="123">
        <v>27.4</v>
      </c>
      <c r="H165" s="128" t="s">
        <v>932</v>
      </c>
      <c r="I165" s="128" t="s">
        <v>933</v>
      </c>
      <c r="J165" s="128">
        <v>2.5</v>
      </c>
      <c r="K165" s="123">
        <v>11.5</v>
      </c>
      <c r="L165" s="123">
        <v>3.5</v>
      </c>
      <c r="M165" s="128">
        <v>1.5</v>
      </c>
      <c r="N165" s="123">
        <v>0.7</v>
      </c>
      <c r="O165" s="123">
        <v>0.3</v>
      </c>
      <c r="P165" s="129">
        <v>0.7</v>
      </c>
      <c r="Q165" s="128">
        <v>-1.08</v>
      </c>
    </row>
    <row r="166">
      <c r="A166" s="123">
        <v>165.0</v>
      </c>
      <c r="B166" s="123">
        <v>140.0</v>
      </c>
      <c r="C166" s="124" t="s">
        <v>934</v>
      </c>
      <c r="D166" s="123" t="s">
        <v>37</v>
      </c>
      <c r="E166" s="123" t="s">
        <v>554</v>
      </c>
      <c r="F166" s="123">
        <v>60.0</v>
      </c>
      <c r="G166" s="123">
        <v>20.1</v>
      </c>
      <c r="H166" s="128" t="s">
        <v>935</v>
      </c>
      <c r="I166" s="123" t="s">
        <v>936</v>
      </c>
      <c r="J166" s="128">
        <v>0.2</v>
      </c>
      <c r="K166" s="128">
        <v>9.1</v>
      </c>
      <c r="L166" s="128">
        <v>4.9</v>
      </c>
      <c r="M166" s="128">
        <v>1.3</v>
      </c>
      <c r="N166" s="123">
        <v>0.6</v>
      </c>
      <c r="O166" s="128">
        <v>0.9</v>
      </c>
      <c r="P166" s="123">
        <v>1.2</v>
      </c>
      <c r="Q166" s="123">
        <v>-1.08</v>
      </c>
    </row>
    <row r="167">
      <c r="A167" s="123">
        <v>166.0</v>
      </c>
      <c r="B167" s="123">
        <v>134.9</v>
      </c>
      <c r="C167" s="124" t="s">
        <v>937</v>
      </c>
      <c r="D167" s="123" t="s">
        <v>37</v>
      </c>
      <c r="E167" s="123" t="s">
        <v>604</v>
      </c>
      <c r="F167" s="123">
        <v>77.0</v>
      </c>
      <c r="G167" s="123">
        <v>18.1</v>
      </c>
      <c r="H167" s="128" t="s">
        <v>938</v>
      </c>
      <c r="I167" s="130" t="s">
        <v>939</v>
      </c>
      <c r="J167" s="123">
        <v>0.0</v>
      </c>
      <c r="K167" s="123">
        <v>7.5</v>
      </c>
      <c r="L167" s="128">
        <v>8.7</v>
      </c>
      <c r="M167" s="128">
        <v>1.7</v>
      </c>
      <c r="N167" s="128">
        <v>1.0</v>
      </c>
      <c r="O167" s="127">
        <v>0.8</v>
      </c>
      <c r="P167" s="129">
        <v>1.5</v>
      </c>
      <c r="Q167" s="123">
        <v>-1.11</v>
      </c>
    </row>
    <row r="168">
      <c r="A168" s="123">
        <v>167.0</v>
      </c>
      <c r="B168" s="123">
        <v>140.0</v>
      </c>
      <c r="C168" s="124" t="s">
        <v>940</v>
      </c>
      <c r="D168" s="123" t="s">
        <v>36</v>
      </c>
      <c r="E168" s="123" t="s">
        <v>543</v>
      </c>
      <c r="F168" s="123">
        <v>68.0</v>
      </c>
      <c r="G168" s="123">
        <v>14.1</v>
      </c>
      <c r="H168" s="123" t="s">
        <v>941</v>
      </c>
      <c r="I168" s="130" t="s">
        <v>942</v>
      </c>
      <c r="J168" s="128">
        <v>0.2</v>
      </c>
      <c r="K168" s="123">
        <v>5.6</v>
      </c>
      <c r="L168" s="129">
        <v>4.5</v>
      </c>
      <c r="M168" s="123">
        <v>0.7</v>
      </c>
      <c r="N168" s="128">
        <v>1.6</v>
      </c>
      <c r="O168" s="128">
        <v>0.7</v>
      </c>
      <c r="P168" s="123">
        <v>0.5</v>
      </c>
      <c r="Q168" s="128">
        <v>-1.12</v>
      </c>
    </row>
    <row r="169">
      <c r="A169" s="123">
        <v>168.0</v>
      </c>
      <c r="B169" s="123">
        <v>130.1</v>
      </c>
      <c r="C169" s="124" t="s">
        <v>943</v>
      </c>
      <c r="D169" s="123" t="s">
        <v>562</v>
      </c>
      <c r="E169" s="123" t="s">
        <v>598</v>
      </c>
      <c r="F169" s="123">
        <v>68.0</v>
      </c>
      <c r="G169" s="123">
        <v>27.1</v>
      </c>
      <c r="H169" s="123" t="s">
        <v>944</v>
      </c>
      <c r="I169" s="128" t="s">
        <v>945</v>
      </c>
      <c r="J169" s="128">
        <v>1.9</v>
      </c>
      <c r="K169" s="123">
        <v>12.5</v>
      </c>
      <c r="L169" s="129">
        <v>4.1</v>
      </c>
      <c r="M169" s="123">
        <v>3.4</v>
      </c>
      <c r="N169" s="128">
        <v>0.7</v>
      </c>
      <c r="O169" s="128">
        <v>0.3</v>
      </c>
      <c r="P169" s="128">
        <v>1.6</v>
      </c>
      <c r="Q169" s="128">
        <v>-1.17</v>
      </c>
    </row>
    <row r="170">
      <c r="A170" s="123">
        <v>169.0</v>
      </c>
      <c r="B170" s="123">
        <v>139.5</v>
      </c>
      <c r="C170" s="124" t="s">
        <v>946</v>
      </c>
      <c r="D170" s="123" t="s">
        <v>37</v>
      </c>
      <c r="E170" s="123" t="s">
        <v>554</v>
      </c>
      <c r="F170" s="123">
        <v>68.0</v>
      </c>
      <c r="G170" s="123">
        <v>22.4</v>
      </c>
      <c r="H170" s="123" t="s">
        <v>947</v>
      </c>
      <c r="I170" s="129" t="s">
        <v>948</v>
      </c>
      <c r="J170" s="128">
        <v>0.4</v>
      </c>
      <c r="K170" s="123">
        <v>10.4</v>
      </c>
      <c r="L170" s="123">
        <v>5.8</v>
      </c>
      <c r="M170" s="123">
        <v>1.3</v>
      </c>
      <c r="N170" s="128">
        <v>0.3</v>
      </c>
      <c r="O170" s="128">
        <v>1.1</v>
      </c>
      <c r="P170" s="130">
        <v>1.0</v>
      </c>
      <c r="Q170" s="128">
        <v>-1.19</v>
      </c>
    </row>
    <row r="171">
      <c r="A171" s="123">
        <v>170.0</v>
      </c>
      <c r="B171" s="123">
        <v>140.0</v>
      </c>
      <c r="C171" s="124" t="s">
        <v>949</v>
      </c>
      <c r="D171" s="123" t="s">
        <v>33</v>
      </c>
      <c r="E171" s="123" t="s">
        <v>692</v>
      </c>
      <c r="F171" s="123">
        <v>77.0</v>
      </c>
      <c r="G171" s="123">
        <v>23.4</v>
      </c>
      <c r="H171" s="128" t="s">
        <v>950</v>
      </c>
      <c r="I171" s="128" t="s">
        <v>951</v>
      </c>
      <c r="J171" s="123">
        <v>1.9</v>
      </c>
      <c r="K171" s="128">
        <v>12.3</v>
      </c>
      <c r="L171" s="128">
        <v>3.3</v>
      </c>
      <c r="M171" s="128">
        <v>3.6</v>
      </c>
      <c r="N171" s="128">
        <v>0.7</v>
      </c>
      <c r="O171" s="128">
        <v>0.0</v>
      </c>
      <c r="P171" s="129">
        <v>1.3</v>
      </c>
      <c r="Q171" s="123">
        <v>-1.21</v>
      </c>
    </row>
    <row r="172">
      <c r="A172" s="123">
        <v>171.0</v>
      </c>
      <c r="B172" s="123">
        <v>127.9</v>
      </c>
      <c r="C172" s="124" t="s">
        <v>952</v>
      </c>
      <c r="D172" s="123" t="s">
        <v>34</v>
      </c>
      <c r="E172" s="123" t="s">
        <v>593</v>
      </c>
      <c r="F172" s="123">
        <v>64.0</v>
      </c>
      <c r="G172" s="123">
        <v>25.5</v>
      </c>
      <c r="H172" s="130" t="s">
        <v>953</v>
      </c>
      <c r="I172" s="128" t="s">
        <v>954</v>
      </c>
      <c r="J172" s="123">
        <v>2.3</v>
      </c>
      <c r="K172" s="129">
        <v>15.1</v>
      </c>
      <c r="L172" s="128">
        <v>3.5</v>
      </c>
      <c r="M172" s="128">
        <v>4.0</v>
      </c>
      <c r="N172" s="128">
        <v>0.7</v>
      </c>
      <c r="O172" s="129">
        <v>0.1</v>
      </c>
      <c r="P172" s="129">
        <v>2.4</v>
      </c>
      <c r="Q172" s="130">
        <v>-1.28</v>
      </c>
    </row>
    <row r="173">
      <c r="A173" s="123">
        <v>172.0</v>
      </c>
      <c r="B173" s="123">
        <v>136.7</v>
      </c>
      <c r="C173" s="124" t="s">
        <v>192</v>
      </c>
      <c r="D173" s="123" t="s">
        <v>549</v>
      </c>
      <c r="E173" s="123" t="s">
        <v>582</v>
      </c>
      <c r="F173" s="123">
        <v>70.0</v>
      </c>
      <c r="G173" s="123">
        <v>24.2</v>
      </c>
      <c r="H173" s="130" t="s">
        <v>955</v>
      </c>
      <c r="I173" s="123" t="s">
        <v>956</v>
      </c>
      <c r="J173" s="130">
        <v>0.2</v>
      </c>
      <c r="K173" s="128">
        <v>10.4</v>
      </c>
      <c r="L173" s="128">
        <v>6.6</v>
      </c>
      <c r="M173" s="130">
        <v>0.5</v>
      </c>
      <c r="N173" s="130">
        <v>0.7</v>
      </c>
      <c r="O173" s="128">
        <v>1.4</v>
      </c>
      <c r="P173" s="127">
        <v>1.8</v>
      </c>
      <c r="Q173" s="127">
        <v>-1.31</v>
      </c>
    </row>
    <row r="174">
      <c r="A174" s="123">
        <v>173.0</v>
      </c>
      <c r="B174" s="123">
        <v>139.9</v>
      </c>
      <c r="C174" s="124" t="s">
        <v>957</v>
      </c>
      <c r="D174" s="123" t="s">
        <v>36</v>
      </c>
      <c r="E174" s="123" t="s">
        <v>577</v>
      </c>
      <c r="F174" s="123">
        <v>76.0</v>
      </c>
      <c r="G174" s="123">
        <v>26.3</v>
      </c>
      <c r="H174" s="128" t="s">
        <v>958</v>
      </c>
      <c r="I174" s="128" t="s">
        <v>959</v>
      </c>
      <c r="J174" s="128">
        <v>1.5</v>
      </c>
      <c r="K174" s="123">
        <v>8.5</v>
      </c>
      <c r="L174" s="128">
        <v>3.8</v>
      </c>
      <c r="M174" s="128">
        <v>1.1</v>
      </c>
      <c r="N174" s="129">
        <v>0.5</v>
      </c>
      <c r="O174" s="128">
        <v>0.8</v>
      </c>
      <c r="P174" s="128">
        <v>0.9</v>
      </c>
      <c r="Q174" s="128">
        <v>-1.32</v>
      </c>
    </row>
    <row r="175">
      <c r="A175" s="123">
        <v>174.0</v>
      </c>
      <c r="B175" s="123">
        <v>133.0</v>
      </c>
      <c r="C175" s="124" t="s">
        <v>104</v>
      </c>
      <c r="D175" s="123" t="s">
        <v>37</v>
      </c>
      <c r="E175" s="123" t="s">
        <v>631</v>
      </c>
      <c r="F175" s="123">
        <v>76.0</v>
      </c>
      <c r="G175" s="123">
        <v>26.3</v>
      </c>
      <c r="H175" s="128" t="s">
        <v>960</v>
      </c>
      <c r="I175" s="123" t="s">
        <v>961</v>
      </c>
      <c r="J175" s="130">
        <v>0.0</v>
      </c>
      <c r="K175" s="123">
        <v>7.2</v>
      </c>
      <c r="L175" s="123">
        <v>9.9</v>
      </c>
      <c r="M175" s="128">
        <v>3.2</v>
      </c>
      <c r="N175" s="123">
        <v>0.9</v>
      </c>
      <c r="O175" s="128">
        <v>0.8</v>
      </c>
      <c r="P175" s="123">
        <v>1.5</v>
      </c>
      <c r="Q175" s="128">
        <v>-1.42</v>
      </c>
    </row>
    <row r="176">
      <c r="A176" s="123">
        <v>175.0</v>
      </c>
      <c r="B176" s="123">
        <v>140.0</v>
      </c>
      <c r="C176" s="124" t="s">
        <v>962</v>
      </c>
      <c r="D176" s="123" t="s">
        <v>36</v>
      </c>
      <c r="E176" s="123" t="s">
        <v>612</v>
      </c>
      <c r="F176" s="123">
        <v>64.0</v>
      </c>
      <c r="G176" s="123">
        <v>25.0</v>
      </c>
      <c r="H176" s="130" t="s">
        <v>963</v>
      </c>
      <c r="I176" s="123" t="s">
        <v>964</v>
      </c>
      <c r="J176" s="128">
        <v>1.1</v>
      </c>
      <c r="K176" s="123">
        <v>9.7</v>
      </c>
      <c r="L176" s="123">
        <v>6.5</v>
      </c>
      <c r="M176" s="130">
        <v>2.6</v>
      </c>
      <c r="N176" s="129">
        <v>0.8</v>
      </c>
      <c r="O176" s="123">
        <v>0.8</v>
      </c>
      <c r="P176" s="123">
        <v>1.9</v>
      </c>
      <c r="Q176" s="123">
        <v>-1.42</v>
      </c>
    </row>
    <row r="177">
      <c r="A177" s="123">
        <v>176.0</v>
      </c>
      <c r="B177" s="123">
        <v>136.7</v>
      </c>
      <c r="C177" s="124" t="s">
        <v>965</v>
      </c>
      <c r="D177" s="123" t="s">
        <v>36</v>
      </c>
      <c r="E177" s="123" t="s">
        <v>620</v>
      </c>
      <c r="F177" s="123">
        <v>68.0</v>
      </c>
      <c r="G177" s="123">
        <v>22.5</v>
      </c>
      <c r="H177" s="128" t="s">
        <v>966</v>
      </c>
      <c r="I177" s="123" t="s">
        <v>967</v>
      </c>
      <c r="J177" s="128">
        <v>2.3</v>
      </c>
      <c r="K177" s="123">
        <v>12.2</v>
      </c>
      <c r="L177" s="128">
        <v>6.6</v>
      </c>
      <c r="M177" s="128">
        <v>2.0</v>
      </c>
      <c r="N177" s="130">
        <v>0.4</v>
      </c>
      <c r="O177" s="123">
        <v>0.2</v>
      </c>
      <c r="P177" s="128">
        <v>1.2</v>
      </c>
      <c r="Q177" s="128">
        <v>-1.42</v>
      </c>
    </row>
    <row r="178">
      <c r="A178" s="123">
        <v>177.0</v>
      </c>
      <c r="B178" s="123">
        <v>139.6</v>
      </c>
      <c r="C178" s="124" t="s">
        <v>968</v>
      </c>
      <c r="D178" s="123" t="s">
        <v>603</v>
      </c>
      <c r="E178" s="123" t="s">
        <v>565</v>
      </c>
      <c r="F178" s="123">
        <v>70.0</v>
      </c>
      <c r="G178" s="123">
        <v>28.1</v>
      </c>
      <c r="H178" s="128" t="s">
        <v>969</v>
      </c>
      <c r="I178" s="128" t="s">
        <v>970</v>
      </c>
      <c r="J178" s="123">
        <v>2.4</v>
      </c>
      <c r="K178" s="123">
        <v>15.1</v>
      </c>
      <c r="L178" s="123">
        <v>3.7</v>
      </c>
      <c r="M178" s="128">
        <v>2.2</v>
      </c>
      <c r="N178" s="123">
        <v>0.9</v>
      </c>
      <c r="O178" s="123">
        <v>0.1</v>
      </c>
      <c r="P178" s="128">
        <v>0.8</v>
      </c>
      <c r="Q178" s="128">
        <v>-1.44</v>
      </c>
    </row>
    <row r="179">
      <c r="A179" s="123">
        <v>178.0</v>
      </c>
      <c r="B179" s="123">
        <v>111.6</v>
      </c>
      <c r="C179" s="124" t="s">
        <v>49</v>
      </c>
      <c r="D179" s="123" t="s">
        <v>35</v>
      </c>
      <c r="E179" s="123" t="s">
        <v>692</v>
      </c>
      <c r="F179" s="123">
        <v>72.0</v>
      </c>
      <c r="G179" s="123">
        <v>34.6</v>
      </c>
      <c r="H179" s="128" t="s">
        <v>971</v>
      </c>
      <c r="I179" s="128" t="s">
        <v>972</v>
      </c>
      <c r="J179" s="128">
        <v>2.1</v>
      </c>
      <c r="K179" s="129">
        <v>20.0</v>
      </c>
      <c r="L179" s="123">
        <v>5.9</v>
      </c>
      <c r="M179" s="128">
        <v>3.1</v>
      </c>
      <c r="N179" s="129">
        <v>0.7</v>
      </c>
      <c r="O179" s="128">
        <v>0.3</v>
      </c>
      <c r="P179" s="128">
        <v>2.2</v>
      </c>
      <c r="Q179" s="130">
        <v>-1.51</v>
      </c>
    </row>
    <row r="180">
      <c r="A180" s="123">
        <v>179.0</v>
      </c>
      <c r="B180" s="123">
        <v>140.4</v>
      </c>
      <c r="C180" s="124" t="s">
        <v>973</v>
      </c>
      <c r="D180" s="123" t="s">
        <v>33</v>
      </c>
      <c r="E180" s="123" t="s">
        <v>650</v>
      </c>
      <c r="F180" s="123">
        <v>69.0</v>
      </c>
      <c r="G180" s="123">
        <v>24.9</v>
      </c>
      <c r="H180" s="123" t="s">
        <v>974</v>
      </c>
      <c r="I180" s="130" t="s">
        <v>975</v>
      </c>
      <c r="J180" s="123">
        <v>0.7</v>
      </c>
      <c r="K180" s="128">
        <v>7.8</v>
      </c>
      <c r="L180" s="129">
        <v>3.2</v>
      </c>
      <c r="M180" s="123">
        <v>4.3</v>
      </c>
      <c r="N180" s="128">
        <v>1.2</v>
      </c>
      <c r="O180" s="128">
        <v>0.5</v>
      </c>
      <c r="P180" s="123">
        <v>1.7</v>
      </c>
      <c r="Q180" s="128">
        <v>-1.54</v>
      </c>
    </row>
    <row r="181">
      <c r="A181" s="123">
        <v>180.0</v>
      </c>
      <c r="B181" s="123">
        <v>137.8</v>
      </c>
      <c r="C181" s="124" t="s">
        <v>976</v>
      </c>
      <c r="D181" s="123" t="s">
        <v>33</v>
      </c>
      <c r="E181" s="123" t="s">
        <v>692</v>
      </c>
      <c r="F181" s="123">
        <v>40.0</v>
      </c>
      <c r="G181" s="123">
        <v>21.4</v>
      </c>
      <c r="H181" s="128" t="s">
        <v>977</v>
      </c>
      <c r="I181" s="128" t="s">
        <v>978</v>
      </c>
      <c r="J181" s="128">
        <v>1.3</v>
      </c>
      <c r="K181" s="123">
        <v>10.7</v>
      </c>
      <c r="L181" s="129">
        <v>2.7</v>
      </c>
      <c r="M181" s="128">
        <v>3.6</v>
      </c>
      <c r="N181" s="123">
        <v>0.7</v>
      </c>
      <c r="O181" s="128">
        <v>0.5</v>
      </c>
      <c r="P181" s="123">
        <v>1.3</v>
      </c>
      <c r="Q181" s="128">
        <v>-1.55</v>
      </c>
    </row>
    <row r="182">
      <c r="A182" s="123">
        <v>181.0</v>
      </c>
      <c r="B182" s="123">
        <v>140.0</v>
      </c>
      <c r="C182" s="124" t="s">
        <v>979</v>
      </c>
      <c r="D182" s="123" t="s">
        <v>34</v>
      </c>
      <c r="E182" s="123" t="s">
        <v>692</v>
      </c>
      <c r="F182" s="123">
        <v>68.0</v>
      </c>
      <c r="G182" s="123">
        <v>25.4</v>
      </c>
      <c r="H182" s="128" t="s">
        <v>980</v>
      </c>
      <c r="I182" s="128" t="s">
        <v>981</v>
      </c>
      <c r="J182" s="128">
        <v>2.4</v>
      </c>
      <c r="K182" s="129">
        <v>11.9</v>
      </c>
      <c r="L182" s="123">
        <v>3.1</v>
      </c>
      <c r="M182" s="128">
        <v>1.5</v>
      </c>
      <c r="N182" s="123">
        <v>1.0</v>
      </c>
      <c r="O182" s="128">
        <v>0.3</v>
      </c>
      <c r="P182" s="128">
        <v>0.9</v>
      </c>
      <c r="Q182" s="130">
        <v>-1.56</v>
      </c>
    </row>
    <row r="183">
      <c r="A183" s="123">
        <v>182.0</v>
      </c>
      <c r="B183" s="123">
        <v>140.2</v>
      </c>
      <c r="C183" s="124" t="s">
        <v>982</v>
      </c>
      <c r="D183" s="123" t="s">
        <v>539</v>
      </c>
      <c r="E183" s="123" t="s">
        <v>530</v>
      </c>
      <c r="F183" s="123">
        <v>69.0</v>
      </c>
      <c r="G183" s="123">
        <v>21.1</v>
      </c>
      <c r="H183" s="128" t="s">
        <v>983</v>
      </c>
      <c r="I183" s="130" t="s">
        <v>984</v>
      </c>
      <c r="J183" s="128">
        <v>0.5</v>
      </c>
      <c r="K183" s="128">
        <v>7.5</v>
      </c>
      <c r="L183" s="128">
        <v>5.3</v>
      </c>
      <c r="M183" s="128">
        <v>2.7</v>
      </c>
      <c r="N183" s="129">
        <v>1.1</v>
      </c>
      <c r="O183" s="129">
        <v>0.7</v>
      </c>
      <c r="P183" s="129">
        <v>1.0</v>
      </c>
      <c r="Q183" s="123">
        <v>-1.6</v>
      </c>
    </row>
    <row r="184">
      <c r="A184" s="123">
        <v>183.0</v>
      </c>
      <c r="B184" s="123">
        <v>140.2</v>
      </c>
      <c r="C184" s="124" t="s">
        <v>985</v>
      </c>
      <c r="D184" s="123" t="s">
        <v>893</v>
      </c>
      <c r="E184" s="123" t="s">
        <v>598</v>
      </c>
      <c r="F184" s="123">
        <v>74.0</v>
      </c>
      <c r="G184" s="123">
        <v>21.1</v>
      </c>
      <c r="H184" s="128" t="s">
        <v>986</v>
      </c>
      <c r="I184" s="123" t="s">
        <v>987</v>
      </c>
      <c r="J184" s="123">
        <v>0.7</v>
      </c>
      <c r="K184" s="123">
        <v>6.4</v>
      </c>
      <c r="L184" s="128">
        <v>3.2</v>
      </c>
      <c r="M184" s="128">
        <v>2.7</v>
      </c>
      <c r="N184" s="128">
        <v>1.3</v>
      </c>
      <c r="O184" s="130">
        <v>0.2</v>
      </c>
      <c r="P184" s="128">
        <v>0.7</v>
      </c>
      <c r="Q184" s="129">
        <v>-1.65</v>
      </c>
    </row>
    <row r="185">
      <c r="A185" s="123">
        <v>184.0</v>
      </c>
      <c r="B185" s="123">
        <v>140.0</v>
      </c>
      <c r="C185" s="124" t="s">
        <v>988</v>
      </c>
      <c r="D185" s="123" t="s">
        <v>539</v>
      </c>
      <c r="E185" s="123" t="s">
        <v>540</v>
      </c>
      <c r="F185" s="123">
        <v>76.0</v>
      </c>
      <c r="G185" s="123">
        <v>27.4</v>
      </c>
      <c r="H185" s="128" t="s">
        <v>989</v>
      </c>
      <c r="I185" s="123" t="s">
        <v>990</v>
      </c>
      <c r="J185" s="128">
        <v>1.4</v>
      </c>
      <c r="K185" s="123">
        <v>6.6</v>
      </c>
      <c r="L185" s="123">
        <v>4.2</v>
      </c>
      <c r="M185" s="128">
        <v>2.2</v>
      </c>
      <c r="N185" s="123">
        <v>1.0</v>
      </c>
      <c r="O185" s="128">
        <v>0.4</v>
      </c>
      <c r="P185" s="123">
        <v>0.9</v>
      </c>
      <c r="Q185" s="123">
        <v>-1.69</v>
      </c>
    </row>
    <row r="186">
      <c r="A186" s="123">
        <v>185.0</v>
      </c>
      <c r="B186" s="123">
        <v>140.1</v>
      </c>
      <c r="C186" s="124" t="s">
        <v>991</v>
      </c>
      <c r="D186" s="123" t="s">
        <v>539</v>
      </c>
      <c r="E186" s="123" t="s">
        <v>598</v>
      </c>
      <c r="F186" s="123">
        <v>80.0</v>
      </c>
      <c r="G186" s="123">
        <v>25.2</v>
      </c>
      <c r="H186" s="128" t="s">
        <v>992</v>
      </c>
      <c r="I186" s="123" t="s">
        <v>993</v>
      </c>
      <c r="J186" s="128">
        <v>1.2</v>
      </c>
      <c r="K186" s="123">
        <v>10.1</v>
      </c>
      <c r="L186" s="123">
        <v>5.4</v>
      </c>
      <c r="M186" s="128">
        <v>2.1</v>
      </c>
      <c r="N186" s="128">
        <v>0.7</v>
      </c>
      <c r="O186" s="128">
        <v>0.5</v>
      </c>
      <c r="P186" s="128">
        <v>1.2</v>
      </c>
      <c r="Q186" s="128">
        <v>-1.71</v>
      </c>
    </row>
    <row r="187">
      <c r="A187" s="2">
        <v>186.0</v>
      </c>
      <c r="B187" s="2">
        <v>139.5</v>
      </c>
      <c r="C187" s="2" t="s">
        <v>994</v>
      </c>
      <c r="D187" s="2" t="s">
        <v>33</v>
      </c>
      <c r="E187" s="2" t="s">
        <v>588</v>
      </c>
      <c r="F187" s="2">
        <v>60.0</v>
      </c>
      <c r="G187" s="2">
        <v>22.1</v>
      </c>
      <c r="H187" s="2" t="s">
        <v>995</v>
      </c>
      <c r="I187" s="2" t="s">
        <v>996</v>
      </c>
      <c r="J187" s="2">
        <v>1.2</v>
      </c>
      <c r="K187" s="2">
        <v>10.9</v>
      </c>
      <c r="L187" s="2">
        <v>3.1</v>
      </c>
      <c r="M187" s="2">
        <v>4.6</v>
      </c>
      <c r="N187" s="2">
        <v>0.7</v>
      </c>
      <c r="O187" s="2">
        <v>0.3</v>
      </c>
      <c r="P187" s="2">
        <v>1.8</v>
      </c>
      <c r="Q187" s="2">
        <v>-1.74</v>
      </c>
    </row>
    <row r="188">
      <c r="A188" s="2">
        <v>187.0</v>
      </c>
      <c r="B188" s="2">
        <v>139.0</v>
      </c>
      <c r="C188" s="2" t="s">
        <v>997</v>
      </c>
      <c r="D188" s="2" t="s">
        <v>35</v>
      </c>
      <c r="E188" s="2" t="s">
        <v>582</v>
      </c>
      <c r="F188" s="2">
        <v>72.0</v>
      </c>
      <c r="G188" s="2">
        <v>30.1</v>
      </c>
      <c r="H188" s="2" t="s">
        <v>998</v>
      </c>
      <c r="I188" s="2" t="s">
        <v>999</v>
      </c>
      <c r="J188" s="2">
        <v>1.9</v>
      </c>
      <c r="K188" s="2">
        <v>15.2</v>
      </c>
      <c r="L188" s="2">
        <v>3.6</v>
      </c>
      <c r="M188" s="2">
        <v>1.8</v>
      </c>
      <c r="N188" s="2">
        <v>0.8</v>
      </c>
      <c r="O188" s="2">
        <v>0.3</v>
      </c>
      <c r="P188" s="2">
        <v>1.6</v>
      </c>
      <c r="Q188" s="2">
        <v>-1.75</v>
      </c>
    </row>
    <row r="189">
      <c r="A189" s="2">
        <v>188.0</v>
      </c>
      <c r="B189" s="2">
        <v>140.3</v>
      </c>
      <c r="C189" s="2" t="s">
        <v>1000</v>
      </c>
      <c r="D189" s="2" t="s">
        <v>549</v>
      </c>
      <c r="E189" s="2" t="s">
        <v>661</v>
      </c>
      <c r="F189" s="2">
        <v>70.0</v>
      </c>
      <c r="G189" s="2">
        <v>19.1</v>
      </c>
      <c r="H189" s="2" t="s">
        <v>1001</v>
      </c>
      <c r="I189" s="2" t="s">
        <v>1002</v>
      </c>
      <c r="J189" s="2">
        <v>0.3</v>
      </c>
      <c r="K189" s="2">
        <v>8.9</v>
      </c>
      <c r="L189" s="2">
        <v>4.4</v>
      </c>
      <c r="M189" s="2">
        <v>0.6</v>
      </c>
      <c r="N189" s="2">
        <v>0.5</v>
      </c>
      <c r="O189" s="2">
        <v>0.8</v>
      </c>
      <c r="P189" s="2">
        <v>0.8</v>
      </c>
      <c r="Q189" s="2">
        <v>-1.82</v>
      </c>
    </row>
    <row r="190">
      <c r="A190" s="2">
        <v>189.0</v>
      </c>
      <c r="B190" s="2">
        <v>134.1</v>
      </c>
      <c r="C190" s="2" t="s">
        <v>1003</v>
      </c>
      <c r="D190" s="2" t="s">
        <v>34</v>
      </c>
      <c r="E190" s="2" t="s">
        <v>721</v>
      </c>
      <c r="F190" s="2">
        <v>72.0</v>
      </c>
      <c r="G190" s="2">
        <v>25.0</v>
      </c>
      <c r="H190" s="2" t="s">
        <v>1004</v>
      </c>
      <c r="I190" s="2" t="s">
        <v>1005</v>
      </c>
      <c r="J190" s="2">
        <v>2.3</v>
      </c>
      <c r="K190" s="2">
        <v>15.0</v>
      </c>
      <c r="L190" s="2">
        <v>3.2</v>
      </c>
      <c r="M190" s="2">
        <v>2.3</v>
      </c>
      <c r="N190" s="2">
        <v>0.8</v>
      </c>
      <c r="O190" s="2">
        <v>0.2</v>
      </c>
      <c r="P190" s="2">
        <v>1.5</v>
      </c>
      <c r="Q190" s="2">
        <v>-1.88</v>
      </c>
    </row>
    <row r="191">
      <c r="A191" s="2">
        <v>190.0</v>
      </c>
      <c r="B191" s="2">
        <v>139.9</v>
      </c>
      <c r="C191" s="2" t="s">
        <v>1006</v>
      </c>
      <c r="D191" s="2" t="s">
        <v>603</v>
      </c>
      <c r="E191" s="2" t="s">
        <v>721</v>
      </c>
      <c r="F191" s="2">
        <v>65.0</v>
      </c>
      <c r="G191" s="2">
        <v>25.2</v>
      </c>
      <c r="H191" s="2" t="s">
        <v>1007</v>
      </c>
      <c r="I191" s="2" t="s">
        <v>1008</v>
      </c>
      <c r="J191" s="2">
        <v>0.8</v>
      </c>
      <c r="K191" s="2">
        <v>10.1</v>
      </c>
      <c r="L191" s="2">
        <v>3.3</v>
      </c>
      <c r="M191" s="2">
        <v>2.8</v>
      </c>
      <c r="N191" s="2">
        <v>1.0</v>
      </c>
      <c r="O191" s="2">
        <v>0.5</v>
      </c>
      <c r="P191" s="2">
        <v>1.4</v>
      </c>
      <c r="Q191" s="2">
        <v>-1.91</v>
      </c>
    </row>
    <row r="192">
      <c r="A192" s="2">
        <v>191.0</v>
      </c>
      <c r="B192" s="2">
        <v>140.3</v>
      </c>
      <c r="C192" s="2" t="s">
        <v>1009</v>
      </c>
      <c r="D192" s="2" t="s">
        <v>603</v>
      </c>
      <c r="E192" s="2" t="s">
        <v>703</v>
      </c>
      <c r="F192" s="2">
        <v>65.0</v>
      </c>
      <c r="G192" s="2">
        <v>22.7</v>
      </c>
      <c r="H192" s="2" t="s">
        <v>1010</v>
      </c>
      <c r="I192" s="2" t="s">
        <v>1011</v>
      </c>
      <c r="J192" s="2">
        <v>1.5</v>
      </c>
      <c r="K192" s="2">
        <v>9.7</v>
      </c>
      <c r="L192" s="2">
        <v>2.6</v>
      </c>
      <c r="M192" s="2">
        <v>1.7</v>
      </c>
      <c r="N192" s="2">
        <v>0.8</v>
      </c>
      <c r="O192" s="2">
        <v>0.4</v>
      </c>
      <c r="P192" s="2">
        <v>0.9</v>
      </c>
      <c r="Q192" s="2">
        <v>-1.99</v>
      </c>
    </row>
    <row r="193">
      <c r="A193" s="2">
        <v>192.0</v>
      </c>
      <c r="B193" s="2">
        <v>140.4</v>
      </c>
      <c r="C193" s="2" t="s">
        <v>1012</v>
      </c>
      <c r="D193" s="2" t="s">
        <v>33</v>
      </c>
      <c r="E193" s="2" t="s">
        <v>631</v>
      </c>
      <c r="F193" s="2">
        <v>73.0</v>
      </c>
      <c r="G193" s="2">
        <v>21.2</v>
      </c>
      <c r="H193" s="2" t="s">
        <v>1013</v>
      </c>
      <c r="I193" s="2" t="s">
        <v>1014</v>
      </c>
      <c r="J193" s="2">
        <v>1.1</v>
      </c>
      <c r="K193" s="2">
        <v>8.8</v>
      </c>
      <c r="L193" s="2">
        <v>2.4</v>
      </c>
      <c r="M193" s="2">
        <v>4.5</v>
      </c>
      <c r="N193" s="2">
        <v>0.9</v>
      </c>
      <c r="O193" s="2">
        <v>0.0</v>
      </c>
      <c r="P193" s="2">
        <v>0.6</v>
      </c>
      <c r="Q193" s="2">
        <v>-1.99</v>
      </c>
    </row>
    <row r="194">
      <c r="A194" s="2">
        <v>193.0</v>
      </c>
      <c r="B194" s="2">
        <v>118.3</v>
      </c>
      <c r="C194" s="2" t="s">
        <v>114</v>
      </c>
      <c r="D194" s="2" t="s">
        <v>603</v>
      </c>
      <c r="E194" s="2" t="s">
        <v>574</v>
      </c>
      <c r="F194" s="2">
        <v>67.0</v>
      </c>
      <c r="G194" s="2">
        <v>27.8</v>
      </c>
      <c r="H194" s="2" t="s">
        <v>1015</v>
      </c>
      <c r="I194" s="2" t="s">
        <v>1016</v>
      </c>
      <c r="J194" s="2">
        <v>1.2</v>
      </c>
      <c r="K194" s="2">
        <v>11.8</v>
      </c>
      <c r="L194" s="2">
        <v>5.0</v>
      </c>
      <c r="M194" s="2">
        <v>2.2</v>
      </c>
      <c r="N194" s="2">
        <v>0.9</v>
      </c>
      <c r="O194" s="2">
        <v>0.2</v>
      </c>
      <c r="P194" s="2">
        <v>1.8</v>
      </c>
      <c r="Q194" s="2">
        <v>-2.06</v>
      </c>
    </row>
    <row r="195">
      <c r="A195" s="2">
        <v>194.0</v>
      </c>
      <c r="B195" s="2">
        <v>140.2</v>
      </c>
      <c r="C195" s="2" t="s">
        <v>1017</v>
      </c>
      <c r="D195" s="2" t="s">
        <v>562</v>
      </c>
      <c r="E195" s="2" t="s">
        <v>565</v>
      </c>
      <c r="F195" s="2">
        <v>70.0</v>
      </c>
      <c r="G195" s="2">
        <v>28.2</v>
      </c>
      <c r="H195" s="2" t="s">
        <v>1018</v>
      </c>
      <c r="I195" s="2" t="s">
        <v>1019</v>
      </c>
      <c r="J195" s="2">
        <v>2.4</v>
      </c>
      <c r="K195" s="2">
        <v>10.1</v>
      </c>
      <c r="L195" s="2">
        <v>3.8</v>
      </c>
      <c r="M195" s="2">
        <v>1.3</v>
      </c>
      <c r="N195" s="2">
        <v>0.6</v>
      </c>
      <c r="O195" s="2">
        <v>0.2</v>
      </c>
      <c r="P195" s="2">
        <v>0.6</v>
      </c>
      <c r="Q195" s="2">
        <v>-2.07</v>
      </c>
    </row>
    <row r="196">
      <c r="A196" s="2">
        <v>195.0</v>
      </c>
      <c r="B196" s="2">
        <v>140.0</v>
      </c>
      <c r="C196" s="2" t="s">
        <v>1020</v>
      </c>
      <c r="D196" s="2" t="s">
        <v>36</v>
      </c>
      <c r="E196" s="2" t="s">
        <v>692</v>
      </c>
      <c r="F196" s="2">
        <v>72.0</v>
      </c>
      <c r="G196" s="2">
        <v>20.2</v>
      </c>
      <c r="H196" s="2" t="s">
        <v>1021</v>
      </c>
      <c r="I196" s="2" t="s">
        <v>1022</v>
      </c>
      <c r="J196" s="2">
        <v>0.8</v>
      </c>
      <c r="K196" s="2">
        <v>10.9</v>
      </c>
      <c r="L196" s="2">
        <v>4.6</v>
      </c>
      <c r="M196" s="2">
        <v>1.3</v>
      </c>
      <c r="N196" s="2">
        <v>0.4</v>
      </c>
      <c r="O196" s="2">
        <v>0.6</v>
      </c>
      <c r="P196" s="2">
        <v>1.0</v>
      </c>
      <c r="Q196" s="2">
        <v>-2.1</v>
      </c>
    </row>
    <row r="197">
      <c r="A197" s="2">
        <v>196.0</v>
      </c>
      <c r="B197" s="2">
        <v>140.0</v>
      </c>
      <c r="C197" s="2" t="s">
        <v>1023</v>
      </c>
      <c r="D197" s="2" t="s">
        <v>36</v>
      </c>
      <c r="E197" s="2" t="s">
        <v>574</v>
      </c>
      <c r="F197" s="2">
        <v>70.0</v>
      </c>
      <c r="G197" s="2">
        <v>20.1</v>
      </c>
      <c r="H197" s="2" t="s">
        <v>1024</v>
      </c>
      <c r="I197" s="2" t="s">
        <v>1025</v>
      </c>
      <c r="J197" s="2">
        <v>0.2</v>
      </c>
      <c r="K197" s="2">
        <v>8.7</v>
      </c>
      <c r="L197" s="2">
        <v>4.8</v>
      </c>
      <c r="M197" s="2">
        <v>1.9</v>
      </c>
      <c r="N197" s="2">
        <v>0.6</v>
      </c>
      <c r="O197" s="2">
        <v>0.7</v>
      </c>
      <c r="P197" s="2">
        <v>1.0</v>
      </c>
      <c r="Q197" s="2">
        <v>-2.13</v>
      </c>
    </row>
    <row r="198">
      <c r="A198" s="2">
        <v>197.0</v>
      </c>
      <c r="B198" s="2">
        <v>124.2</v>
      </c>
      <c r="C198" s="2" t="s">
        <v>1026</v>
      </c>
      <c r="D198" s="2" t="s">
        <v>539</v>
      </c>
      <c r="E198" s="2" t="s">
        <v>568</v>
      </c>
      <c r="F198" s="2">
        <v>69.0</v>
      </c>
      <c r="G198" s="2">
        <v>30.4</v>
      </c>
      <c r="H198" s="2" t="s">
        <v>1027</v>
      </c>
      <c r="I198" s="2" t="s">
        <v>1028</v>
      </c>
      <c r="J198" s="2">
        <v>1.5</v>
      </c>
      <c r="K198" s="2">
        <v>10.9</v>
      </c>
      <c r="L198" s="2">
        <v>3.4</v>
      </c>
      <c r="M198" s="2">
        <v>1.4</v>
      </c>
      <c r="N198" s="2">
        <v>0.7</v>
      </c>
      <c r="O198" s="2">
        <v>0.4</v>
      </c>
      <c r="P198" s="2">
        <v>1.4</v>
      </c>
      <c r="Q198" s="2">
        <v>-2.14</v>
      </c>
    </row>
    <row r="199">
      <c r="A199" s="2">
        <v>198.0</v>
      </c>
      <c r="B199" s="2">
        <v>132.4</v>
      </c>
      <c r="C199" s="2" t="s">
        <v>1029</v>
      </c>
      <c r="D199" s="2" t="s">
        <v>549</v>
      </c>
      <c r="E199" s="2" t="s">
        <v>543</v>
      </c>
      <c r="F199" s="2">
        <v>67.0</v>
      </c>
      <c r="G199" s="2">
        <v>18.0</v>
      </c>
      <c r="H199" s="2" t="s">
        <v>1030</v>
      </c>
      <c r="I199" s="2" t="s">
        <v>1031</v>
      </c>
      <c r="J199" s="2">
        <v>0.0</v>
      </c>
      <c r="K199" s="2">
        <v>11.8</v>
      </c>
      <c r="L199" s="2">
        <v>4.6</v>
      </c>
      <c r="M199" s="2">
        <v>1.1</v>
      </c>
      <c r="N199" s="2">
        <v>0.4</v>
      </c>
      <c r="O199" s="2">
        <v>0.7</v>
      </c>
      <c r="P199" s="2">
        <v>1.1</v>
      </c>
      <c r="Q199" s="2">
        <v>-2.15</v>
      </c>
    </row>
    <row r="200">
      <c r="A200" s="2">
        <v>199.0</v>
      </c>
      <c r="B200" s="2">
        <v>139.5</v>
      </c>
      <c r="C200" s="2" t="s">
        <v>1032</v>
      </c>
      <c r="D200" s="2" t="s">
        <v>539</v>
      </c>
      <c r="E200" s="2" t="s">
        <v>557</v>
      </c>
      <c r="F200" s="2">
        <v>72.0</v>
      </c>
      <c r="G200" s="2">
        <v>25.6</v>
      </c>
      <c r="H200" s="2" t="s">
        <v>1033</v>
      </c>
      <c r="I200" s="2" t="s">
        <v>1034</v>
      </c>
      <c r="J200" s="2">
        <v>1.1</v>
      </c>
      <c r="K200" s="2">
        <v>12.9</v>
      </c>
      <c r="L200" s="2">
        <v>5.2</v>
      </c>
      <c r="M200" s="2">
        <v>1.4</v>
      </c>
      <c r="N200" s="2">
        <v>0.6</v>
      </c>
      <c r="O200" s="2">
        <v>0.5</v>
      </c>
      <c r="P200" s="2">
        <v>1.7</v>
      </c>
      <c r="Q200" s="2">
        <v>-2.18</v>
      </c>
    </row>
    <row r="201">
      <c r="A201" s="2">
        <v>200.0</v>
      </c>
      <c r="B201" s="2">
        <v>120.6</v>
      </c>
      <c r="C201" s="2" t="s">
        <v>1035</v>
      </c>
      <c r="D201" s="2" t="s">
        <v>33</v>
      </c>
      <c r="E201" s="2" t="s">
        <v>650</v>
      </c>
      <c r="F201" s="2">
        <v>73.0</v>
      </c>
      <c r="G201" s="2">
        <v>28.8</v>
      </c>
      <c r="H201" s="2" t="s">
        <v>1036</v>
      </c>
      <c r="I201" s="2" t="s">
        <v>1037</v>
      </c>
      <c r="J201" s="2">
        <v>1.7</v>
      </c>
      <c r="K201" s="2">
        <v>16.0</v>
      </c>
      <c r="L201" s="2">
        <v>3.5</v>
      </c>
      <c r="M201" s="2">
        <v>2.8</v>
      </c>
      <c r="N201" s="2">
        <v>0.7</v>
      </c>
      <c r="O201" s="2">
        <v>0.4</v>
      </c>
      <c r="P201" s="2">
        <v>2.4</v>
      </c>
      <c r="Q201" s="2">
        <v>-2.19</v>
      </c>
    </row>
    <row r="203">
      <c r="B203" s="2" t="s">
        <v>73</v>
      </c>
      <c r="C203" s="2" t="s">
        <v>71</v>
      </c>
      <c r="D203" s="2" t="s">
        <v>70</v>
      </c>
      <c r="E203" s="2" t="s">
        <v>1038</v>
      </c>
    </row>
    <row r="204">
      <c r="A204" s="131" t="s">
        <v>568</v>
      </c>
      <c r="B204" s="131">
        <v>3.0</v>
      </c>
      <c r="C204" s="131">
        <v>4.0</v>
      </c>
      <c r="D204" s="131">
        <v>3.0</v>
      </c>
      <c r="E204" s="131">
        <v>3.0</v>
      </c>
      <c r="F204" s="132"/>
      <c r="G204" s="131" t="s">
        <v>598</v>
      </c>
      <c r="H204" s="133"/>
      <c r="I204" s="132"/>
      <c r="J204" s="131" t="s">
        <v>574</v>
      </c>
      <c r="K204" s="131" t="s">
        <v>1039</v>
      </c>
      <c r="L204" s="132"/>
      <c r="M204" s="131" t="s">
        <v>1039</v>
      </c>
      <c r="N204" s="133"/>
    </row>
    <row r="205">
      <c r="A205" s="131" t="s">
        <v>577</v>
      </c>
      <c r="B205" s="131">
        <v>4.0</v>
      </c>
      <c r="C205" s="131">
        <v>3.0</v>
      </c>
      <c r="D205" s="131">
        <v>3.0</v>
      </c>
      <c r="E205" s="131">
        <v>4.0</v>
      </c>
      <c r="F205" s="131" t="s">
        <v>1040</v>
      </c>
      <c r="G205" s="132"/>
      <c r="H205" s="131" t="s">
        <v>620</v>
      </c>
      <c r="I205" s="132"/>
      <c r="J205" s="131" t="s">
        <v>540</v>
      </c>
      <c r="K205" s="132"/>
      <c r="L205" s="131" t="s">
        <v>692</v>
      </c>
      <c r="M205" s="131" t="s">
        <v>1041</v>
      </c>
      <c r="N205" s="133"/>
    </row>
    <row r="206">
      <c r="A206" s="131" t="s">
        <v>1042</v>
      </c>
      <c r="B206" s="131">
        <v>3.0</v>
      </c>
      <c r="C206" s="131">
        <v>4.0</v>
      </c>
      <c r="D206" s="131">
        <v>4.0</v>
      </c>
      <c r="E206" s="131">
        <v>4.0</v>
      </c>
      <c r="F206" s="132"/>
      <c r="G206" s="131" t="s">
        <v>550</v>
      </c>
      <c r="H206" s="131" t="s">
        <v>1040</v>
      </c>
      <c r="I206" s="132"/>
      <c r="J206" s="131" t="s">
        <v>1043</v>
      </c>
      <c r="K206" s="132"/>
      <c r="L206" s="131" t="s">
        <v>571</v>
      </c>
      <c r="M206" s="132"/>
      <c r="N206" s="131" t="s">
        <v>1044</v>
      </c>
    </row>
    <row r="207">
      <c r="A207" s="131" t="s">
        <v>571</v>
      </c>
      <c r="B207" s="131">
        <v>2.0</v>
      </c>
      <c r="C207" s="131">
        <v>4.0</v>
      </c>
      <c r="D207" s="131">
        <v>3.0</v>
      </c>
      <c r="E207" s="131">
        <v>4.0</v>
      </c>
      <c r="F207" s="131" t="s">
        <v>650</v>
      </c>
      <c r="G207" s="132"/>
      <c r="H207" s="131" t="s">
        <v>588</v>
      </c>
      <c r="I207" s="132"/>
      <c r="J207" s="131" t="s">
        <v>718</v>
      </c>
      <c r="K207" s="132"/>
      <c r="L207" s="131" t="s">
        <v>1045</v>
      </c>
      <c r="M207" s="132"/>
      <c r="N207" s="131" t="s">
        <v>1040</v>
      </c>
    </row>
    <row r="208">
      <c r="A208" s="131" t="s">
        <v>604</v>
      </c>
      <c r="B208" s="131">
        <v>3.0</v>
      </c>
      <c r="C208" s="131">
        <v>2.0</v>
      </c>
      <c r="D208" s="131">
        <v>4.0</v>
      </c>
      <c r="E208" s="131">
        <v>4.0</v>
      </c>
      <c r="F208" s="132"/>
      <c r="G208" s="131" t="s">
        <v>1046</v>
      </c>
      <c r="H208" s="131" t="s">
        <v>1047</v>
      </c>
      <c r="I208" s="132"/>
      <c r="J208" s="131" t="s">
        <v>588</v>
      </c>
      <c r="K208" s="132"/>
      <c r="L208" s="131" t="s">
        <v>582</v>
      </c>
      <c r="M208" s="133"/>
      <c r="N208" s="133"/>
    </row>
    <row r="209">
      <c r="A209" s="131" t="s">
        <v>620</v>
      </c>
      <c r="B209" s="131">
        <v>3.0</v>
      </c>
      <c r="C209" s="131">
        <v>4.0</v>
      </c>
      <c r="D209" s="131">
        <v>2.0</v>
      </c>
      <c r="E209" s="131">
        <v>2.0</v>
      </c>
      <c r="F209" s="133"/>
      <c r="G209" s="132"/>
      <c r="H209" s="131" t="s">
        <v>1043</v>
      </c>
      <c r="I209" s="132"/>
      <c r="J209" s="132"/>
      <c r="K209" s="131" t="s">
        <v>650</v>
      </c>
      <c r="L209" s="132"/>
      <c r="M209" s="131" t="s">
        <v>577</v>
      </c>
      <c r="N209" s="133"/>
    </row>
    <row r="210">
      <c r="A210" s="131" t="s">
        <v>565</v>
      </c>
      <c r="B210" s="131">
        <v>3.0</v>
      </c>
      <c r="C210" s="131">
        <v>3.0</v>
      </c>
      <c r="D210" s="131">
        <v>3.0</v>
      </c>
      <c r="E210" s="131">
        <v>3.0</v>
      </c>
      <c r="F210" s="132"/>
      <c r="G210" s="131" t="s">
        <v>582</v>
      </c>
      <c r="H210" s="132"/>
      <c r="I210" s="131" t="s">
        <v>543</v>
      </c>
      <c r="J210" s="132"/>
      <c r="K210" s="132"/>
      <c r="L210" s="131" t="s">
        <v>588</v>
      </c>
      <c r="M210" s="132"/>
      <c r="N210" s="131" t="s">
        <v>721</v>
      </c>
    </row>
    <row r="211">
      <c r="A211" s="131" t="s">
        <v>536</v>
      </c>
      <c r="B211" s="131">
        <v>4.0</v>
      </c>
      <c r="C211" s="131">
        <v>4.0</v>
      </c>
      <c r="D211" s="131">
        <v>2.0</v>
      </c>
      <c r="E211" s="131">
        <v>2.0</v>
      </c>
      <c r="F211" s="132"/>
      <c r="G211" s="131" t="s">
        <v>1044</v>
      </c>
      <c r="H211" s="132"/>
      <c r="I211" s="132"/>
      <c r="J211" s="131" t="s">
        <v>631</v>
      </c>
      <c r="K211" s="132"/>
      <c r="L211" s="132"/>
      <c r="M211" s="131" t="s">
        <v>615</v>
      </c>
      <c r="N211" s="133"/>
    </row>
    <row r="212">
      <c r="A212" s="131" t="s">
        <v>650</v>
      </c>
      <c r="B212" s="131">
        <v>4.0</v>
      </c>
      <c r="C212" s="131">
        <v>3.0</v>
      </c>
      <c r="D212" s="131">
        <v>2.0</v>
      </c>
      <c r="E212" s="131">
        <v>3.0</v>
      </c>
      <c r="F212" s="131" t="s">
        <v>1048</v>
      </c>
      <c r="G212" s="132"/>
      <c r="H212" s="131" t="s">
        <v>604</v>
      </c>
      <c r="I212" s="132"/>
      <c r="J212" s="132"/>
      <c r="K212" s="131" t="s">
        <v>1041</v>
      </c>
      <c r="L212" s="132"/>
      <c r="M212" s="132"/>
      <c r="N212" s="131" t="s">
        <v>574</v>
      </c>
    </row>
    <row r="213">
      <c r="A213" s="131" t="s">
        <v>557</v>
      </c>
      <c r="B213" s="131">
        <v>4.0</v>
      </c>
      <c r="C213" s="131">
        <v>3.0</v>
      </c>
      <c r="D213" s="131">
        <v>4.0</v>
      </c>
      <c r="E213" s="131">
        <v>4.0</v>
      </c>
      <c r="F213" s="132"/>
      <c r="G213" s="131" t="s">
        <v>574</v>
      </c>
      <c r="H213" s="132"/>
      <c r="I213" s="131" t="s">
        <v>585</v>
      </c>
      <c r="J213" s="131" t="s">
        <v>661</v>
      </c>
      <c r="K213" s="132"/>
      <c r="L213" s="131" t="s">
        <v>1049</v>
      </c>
      <c r="M213" s="132"/>
      <c r="N213" s="131" t="s">
        <v>1050</v>
      </c>
    </row>
    <row r="214">
      <c r="A214" s="131" t="s">
        <v>736</v>
      </c>
      <c r="B214" s="131">
        <v>4.0</v>
      </c>
      <c r="C214" s="131">
        <v>3.0</v>
      </c>
      <c r="D214" s="131">
        <v>4.0</v>
      </c>
      <c r="E214" s="131">
        <v>4.0</v>
      </c>
      <c r="F214" s="132"/>
      <c r="G214" s="131" t="s">
        <v>536</v>
      </c>
      <c r="H214" s="131" t="s">
        <v>631</v>
      </c>
      <c r="I214" s="132"/>
      <c r="J214" s="132"/>
      <c r="K214" s="131" t="s">
        <v>1051</v>
      </c>
      <c r="L214" s="131" t="s">
        <v>703</v>
      </c>
      <c r="M214" s="132"/>
      <c r="N214" s="131" t="s">
        <v>540</v>
      </c>
    </row>
    <row r="215">
      <c r="A215" s="131" t="s">
        <v>582</v>
      </c>
      <c r="B215" s="131">
        <v>3.0</v>
      </c>
      <c r="C215" s="131">
        <v>3.0</v>
      </c>
      <c r="D215" s="131">
        <v>3.0</v>
      </c>
      <c r="E215" s="131">
        <v>3.0</v>
      </c>
      <c r="F215" s="132"/>
      <c r="G215" s="131" t="s">
        <v>1052</v>
      </c>
      <c r="H215" s="132"/>
      <c r="I215" s="131" t="s">
        <v>1051</v>
      </c>
      <c r="J215" s="132"/>
      <c r="K215" s="132"/>
      <c r="L215" s="131" t="s">
        <v>1053</v>
      </c>
      <c r="M215" s="131" t="s">
        <v>543</v>
      </c>
      <c r="N215" s="133"/>
    </row>
    <row r="216">
      <c r="A216" s="131" t="s">
        <v>585</v>
      </c>
      <c r="B216" s="131">
        <v>3.0</v>
      </c>
      <c r="C216" s="131">
        <v>2.0</v>
      </c>
      <c r="D216" s="131">
        <v>4.0</v>
      </c>
      <c r="E216" s="131">
        <v>4.0</v>
      </c>
      <c r="F216" s="132"/>
      <c r="G216" s="131" t="s">
        <v>530</v>
      </c>
      <c r="H216" s="132"/>
      <c r="I216" s="131" t="s">
        <v>1054</v>
      </c>
      <c r="J216" s="131" t="s">
        <v>1055</v>
      </c>
      <c r="K216" s="132"/>
      <c r="L216" s="131" t="s">
        <v>631</v>
      </c>
      <c r="M216" s="133"/>
      <c r="N216" s="133"/>
    </row>
    <row r="217">
      <c r="A217" s="131" t="s">
        <v>554</v>
      </c>
      <c r="B217" s="131">
        <v>4.0</v>
      </c>
      <c r="C217" s="131">
        <v>3.0</v>
      </c>
      <c r="D217" s="131">
        <v>4.0</v>
      </c>
      <c r="E217" s="131">
        <v>4.0</v>
      </c>
      <c r="F217" s="132"/>
      <c r="G217" s="131" t="s">
        <v>1056</v>
      </c>
      <c r="H217" s="131" t="s">
        <v>1050</v>
      </c>
      <c r="I217" s="132"/>
      <c r="J217" s="131" t="s">
        <v>530</v>
      </c>
      <c r="K217" s="132"/>
      <c r="L217" s="131" t="s">
        <v>557</v>
      </c>
      <c r="M217" s="132"/>
      <c r="N217" s="131" t="s">
        <v>631</v>
      </c>
    </row>
    <row r="218">
      <c r="A218" s="131" t="s">
        <v>631</v>
      </c>
      <c r="B218" s="131">
        <v>4.0</v>
      </c>
      <c r="C218" s="131">
        <v>3.0</v>
      </c>
      <c r="D218" s="131">
        <v>4.0</v>
      </c>
      <c r="E218" s="131">
        <v>4.0</v>
      </c>
      <c r="F218" s="132"/>
      <c r="G218" s="131" t="s">
        <v>554</v>
      </c>
      <c r="H218" s="131" t="s">
        <v>1044</v>
      </c>
      <c r="I218" s="132"/>
      <c r="J218" s="131" t="s">
        <v>1057</v>
      </c>
      <c r="K218" s="132"/>
      <c r="L218" s="131" t="s">
        <v>1058</v>
      </c>
      <c r="M218" s="132"/>
      <c r="N218" s="131" t="s">
        <v>1049</v>
      </c>
    </row>
    <row r="219">
      <c r="A219" s="131" t="s">
        <v>593</v>
      </c>
      <c r="B219" s="131">
        <v>4.0</v>
      </c>
      <c r="C219" s="131">
        <v>4.0</v>
      </c>
      <c r="D219" s="131">
        <v>3.0</v>
      </c>
      <c r="E219" s="131">
        <v>4.0</v>
      </c>
      <c r="F219" s="131" t="s">
        <v>1059</v>
      </c>
      <c r="G219" s="132"/>
      <c r="H219" s="131" t="s">
        <v>543</v>
      </c>
      <c r="I219" s="132"/>
      <c r="J219" s="131" t="s">
        <v>692</v>
      </c>
      <c r="K219" s="131" t="s">
        <v>568</v>
      </c>
      <c r="L219" s="132"/>
      <c r="M219" s="131" t="s">
        <v>568</v>
      </c>
      <c r="N219" s="133"/>
    </row>
    <row r="220">
      <c r="A220" s="131" t="s">
        <v>550</v>
      </c>
      <c r="B220" s="131">
        <v>4.0</v>
      </c>
      <c r="C220" s="131">
        <v>4.0</v>
      </c>
      <c r="D220" s="131">
        <v>3.0</v>
      </c>
      <c r="E220" s="131">
        <v>3.0</v>
      </c>
      <c r="F220" s="132"/>
      <c r="G220" s="131" t="s">
        <v>1045</v>
      </c>
      <c r="H220" s="131" t="s">
        <v>718</v>
      </c>
      <c r="I220" s="132"/>
      <c r="J220" s="132"/>
      <c r="K220" s="131" t="s">
        <v>543</v>
      </c>
      <c r="L220" s="132"/>
      <c r="M220" s="131" t="s">
        <v>1060</v>
      </c>
      <c r="N220" s="131" t="s">
        <v>1061</v>
      </c>
    </row>
    <row r="221">
      <c r="A221" s="131" t="s">
        <v>530</v>
      </c>
      <c r="B221" s="131">
        <v>4.0</v>
      </c>
      <c r="C221" s="131">
        <v>2.0</v>
      </c>
      <c r="D221" s="131">
        <v>3.0</v>
      </c>
      <c r="E221" s="131">
        <v>3.0</v>
      </c>
      <c r="F221" s="132"/>
      <c r="G221" s="131" t="s">
        <v>1058</v>
      </c>
      <c r="H221" s="132"/>
      <c r="I221" s="132"/>
      <c r="J221" s="131" t="s">
        <v>1049</v>
      </c>
      <c r="K221" s="131" t="s">
        <v>1055</v>
      </c>
      <c r="L221" s="132"/>
      <c r="M221" s="132"/>
      <c r="N221" s="131" t="s">
        <v>543</v>
      </c>
    </row>
    <row r="222">
      <c r="A222" s="131" t="s">
        <v>661</v>
      </c>
      <c r="B222" s="131">
        <v>3.0</v>
      </c>
      <c r="C222" s="131">
        <v>4.0</v>
      </c>
      <c r="D222" s="131">
        <v>2.0</v>
      </c>
      <c r="E222" s="131">
        <v>3.0</v>
      </c>
      <c r="F222" s="131" t="s">
        <v>718</v>
      </c>
      <c r="G222" s="132"/>
      <c r="H222" s="131" t="s">
        <v>1062</v>
      </c>
      <c r="I222" s="132"/>
      <c r="J222" s="131" t="s">
        <v>1054</v>
      </c>
      <c r="K222" s="132"/>
      <c r="L222" s="133"/>
      <c r="M222" s="131" t="s">
        <v>1055</v>
      </c>
      <c r="N222" s="133"/>
    </row>
    <row r="223">
      <c r="A223" s="131" t="s">
        <v>692</v>
      </c>
      <c r="B223" s="131">
        <v>2.0</v>
      </c>
      <c r="C223" s="131">
        <v>4.0</v>
      </c>
      <c r="D223" s="131">
        <v>3.0</v>
      </c>
      <c r="E223" s="131">
        <v>4.0</v>
      </c>
      <c r="F223" s="131" t="s">
        <v>577</v>
      </c>
      <c r="G223" s="132"/>
      <c r="H223" s="131" t="s">
        <v>540</v>
      </c>
      <c r="I223" s="132"/>
      <c r="J223" s="131" t="s">
        <v>1039</v>
      </c>
      <c r="K223" s="132"/>
      <c r="L223" s="131" t="s">
        <v>1043</v>
      </c>
      <c r="M223" s="132"/>
      <c r="N223" s="131" t="s">
        <v>571</v>
      </c>
    </row>
    <row r="224">
      <c r="A224" s="131" t="s">
        <v>1063</v>
      </c>
      <c r="B224" s="131">
        <v>3.0</v>
      </c>
      <c r="C224" s="131">
        <v>4.0</v>
      </c>
      <c r="D224" s="131">
        <v>4.0</v>
      </c>
      <c r="E224" s="131">
        <v>4.0</v>
      </c>
      <c r="F224" s="132"/>
      <c r="G224" s="131" t="s">
        <v>609</v>
      </c>
      <c r="H224" s="131" t="s">
        <v>554</v>
      </c>
      <c r="I224" s="132"/>
      <c r="J224" s="131" t="s">
        <v>721</v>
      </c>
      <c r="K224" s="132"/>
      <c r="L224" s="131" t="s">
        <v>721</v>
      </c>
      <c r="M224" s="132"/>
      <c r="N224" s="131" t="s">
        <v>557</v>
      </c>
    </row>
    <row r="225">
      <c r="A225" s="131" t="s">
        <v>718</v>
      </c>
      <c r="B225" s="131">
        <v>4.0</v>
      </c>
      <c r="C225" s="131">
        <v>3.0</v>
      </c>
      <c r="D225" s="131">
        <v>4.0</v>
      </c>
      <c r="E225" s="131">
        <v>4.0</v>
      </c>
      <c r="F225" s="131" t="s">
        <v>1064</v>
      </c>
      <c r="G225" s="132"/>
      <c r="H225" s="131" t="s">
        <v>1065</v>
      </c>
      <c r="I225" s="132"/>
      <c r="J225" s="131" t="s">
        <v>1048</v>
      </c>
      <c r="K225" s="132"/>
      <c r="L225" s="131" t="s">
        <v>574</v>
      </c>
      <c r="M225" s="132"/>
      <c r="N225" s="131" t="s">
        <v>550</v>
      </c>
    </row>
    <row r="226">
      <c r="A226" s="131" t="s">
        <v>543</v>
      </c>
      <c r="B226" s="131">
        <v>3.0</v>
      </c>
      <c r="C226" s="131">
        <v>4.0</v>
      </c>
      <c r="D226" s="131">
        <v>3.0</v>
      </c>
      <c r="E226" s="131">
        <v>4.0</v>
      </c>
      <c r="F226" s="131" t="s">
        <v>593</v>
      </c>
      <c r="G226" s="132"/>
      <c r="H226" s="131" t="s">
        <v>1039</v>
      </c>
      <c r="I226" s="131" t="s">
        <v>1052</v>
      </c>
      <c r="J226" s="132"/>
      <c r="K226" s="131" t="s">
        <v>1065</v>
      </c>
      <c r="L226" s="133"/>
      <c r="M226" s="131" t="s">
        <v>1066</v>
      </c>
      <c r="N226" s="131" t="s">
        <v>1067</v>
      </c>
    </row>
    <row r="227">
      <c r="A227" s="131" t="s">
        <v>588</v>
      </c>
      <c r="B227" s="131">
        <v>4.0</v>
      </c>
      <c r="C227" s="131">
        <v>2.0</v>
      </c>
      <c r="D227" s="131">
        <v>3.0</v>
      </c>
      <c r="E227" s="131">
        <v>3.0</v>
      </c>
      <c r="F227" s="132"/>
      <c r="G227" s="132"/>
      <c r="H227" s="131" t="s">
        <v>1048</v>
      </c>
      <c r="I227" s="132"/>
      <c r="J227" s="131" t="s">
        <v>1053</v>
      </c>
      <c r="K227" s="132"/>
      <c r="L227" s="131" t="s">
        <v>1052</v>
      </c>
      <c r="M227" s="132"/>
      <c r="N227" s="133"/>
    </row>
    <row r="228">
      <c r="A228" s="131" t="s">
        <v>574</v>
      </c>
      <c r="B228" s="131">
        <v>3.0</v>
      </c>
      <c r="C228" s="131">
        <v>4.0</v>
      </c>
      <c r="D228" s="131">
        <v>4.0</v>
      </c>
      <c r="E228" s="131">
        <v>4.0</v>
      </c>
      <c r="F228" s="132"/>
      <c r="G228" s="131" t="s">
        <v>1054</v>
      </c>
      <c r="H228" s="131" t="s">
        <v>661</v>
      </c>
      <c r="I228" s="132"/>
      <c r="J228" s="131" t="s">
        <v>1068</v>
      </c>
      <c r="K228" s="132"/>
      <c r="L228" s="131" t="s">
        <v>1061</v>
      </c>
      <c r="M228" s="132"/>
      <c r="N228" s="131" t="s">
        <v>1047</v>
      </c>
    </row>
    <row r="229">
      <c r="A229" s="131" t="s">
        <v>609</v>
      </c>
      <c r="B229" s="131">
        <v>4.0</v>
      </c>
      <c r="C229" s="131">
        <v>3.0</v>
      </c>
      <c r="D229" s="131">
        <v>3.0</v>
      </c>
      <c r="E229" s="131">
        <v>3.0</v>
      </c>
      <c r="F229" s="132"/>
      <c r="G229" s="131" t="s">
        <v>1050</v>
      </c>
      <c r="H229" s="132"/>
      <c r="I229" s="132"/>
      <c r="J229" s="131" t="s">
        <v>585</v>
      </c>
      <c r="K229" s="131" t="s">
        <v>530</v>
      </c>
      <c r="L229" s="132"/>
      <c r="M229" s="131" t="s">
        <v>661</v>
      </c>
      <c r="N229" s="133"/>
    </row>
    <row r="230">
      <c r="A230" s="131" t="s">
        <v>703</v>
      </c>
      <c r="B230" s="131">
        <v>4.0</v>
      </c>
      <c r="C230" s="131">
        <v>2.0</v>
      </c>
      <c r="D230" s="131">
        <v>4.0</v>
      </c>
      <c r="E230" s="131">
        <v>4.0</v>
      </c>
      <c r="F230" s="132"/>
      <c r="G230" s="131" t="s">
        <v>1069</v>
      </c>
      <c r="H230" s="133"/>
      <c r="I230" s="131" t="s">
        <v>582</v>
      </c>
      <c r="J230" s="133"/>
      <c r="K230" s="131" t="s">
        <v>736</v>
      </c>
      <c r="L230" s="131" t="s">
        <v>1044</v>
      </c>
      <c r="M230" s="132"/>
      <c r="N230" s="133"/>
    </row>
    <row r="231">
      <c r="A231" s="131" t="s">
        <v>615</v>
      </c>
      <c r="B231" s="131">
        <v>4.0</v>
      </c>
      <c r="C231" s="131">
        <v>3.0</v>
      </c>
      <c r="D231" s="131">
        <v>3.0</v>
      </c>
      <c r="E231" s="131">
        <v>3.0</v>
      </c>
      <c r="F231" s="132"/>
      <c r="G231" s="131" t="s">
        <v>604</v>
      </c>
      <c r="H231" s="132"/>
      <c r="I231" s="131" t="s">
        <v>1060</v>
      </c>
      <c r="J231" s="132"/>
      <c r="K231" s="131" t="s">
        <v>1060</v>
      </c>
      <c r="L231" s="132"/>
      <c r="M231" s="131" t="s">
        <v>1057</v>
      </c>
      <c r="N231" s="133"/>
    </row>
    <row r="232">
      <c r="A232" s="131" t="s">
        <v>721</v>
      </c>
      <c r="B232" s="131">
        <v>2.0</v>
      </c>
      <c r="C232" s="131">
        <v>3.0</v>
      </c>
      <c r="D232" s="131">
        <v>3.0</v>
      </c>
      <c r="E232" s="131">
        <v>3.0</v>
      </c>
      <c r="F232" s="132"/>
      <c r="G232" s="131" t="s">
        <v>703</v>
      </c>
      <c r="H232" s="132"/>
      <c r="I232" s="133"/>
      <c r="J232" s="131" t="s">
        <v>1050</v>
      </c>
      <c r="K232" s="132"/>
      <c r="L232" s="131" t="s">
        <v>1050</v>
      </c>
      <c r="M232" s="133"/>
      <c r="N232" s="131" t="s">
        <v>1052</v>
      </c>
    </row>
    <row r="233">
      <c r="A233" s="131" t="s">
        <v>598</v>
      </c>
      <c r="B233" s="131">
        <v>3.0</v>
      </c>
      <c r="C233" s="131">
        <v>4.0</v>
      </c>
      <c r="D233" s="131">
        <v>3.0</v>
      </c>
      <c r="E233" s="131">
        <v>3.0</v>
      </c>
      <c r="F233" s="132"/>
      <c r="G233" s="131" t="s">
        <v>1068</v>
      </c>
      <c r="H233" s="132"/>
      <c r="I233" s="131" t="s">
        <v>615</v>
      </c>
      <c r="J233" s="132"/>
      <c r="K233" s="131" t="s">
        <v>615</v>
      </c>
      <c r="L233" s="132"/>
      <c r="M233" s="131" t="s">
        <v>550</v>
      </c>
      <c r="N233" s="133"/>
    </row>
    <row r="234">
      <c r="C234" s="131"/>
      <c r="D234" s="131"/>
      <c r="E234" s="133"/>
      <c r="F234" s="131" t="s">
        <v>703</v>
      </c>
      <c r="G234" s="133"/>
      <c r="H234" s="133"/>
      <c r="I234" s="131" t="s">
        <v>1050</v>
      </c>
      <c r="J234" s="133"/>
      <c r="K234" s="131" t="s">
        <v>1050</v>
      </c>
      <c r="L234" s="133"/>
      <c r="M234" s="131" t="s">
        <v>1052</v>
      </c>
    </row>
    <row r="235">
      <c r="C235" s="131"/>
      <c r="D235" s="131"/>
    </row>
    <row r="236">
      <c r="C236" s="134"/>
    </row>
  </sheetData>
  <drawing r:id="rId1"/>
</worksheet>
</file>